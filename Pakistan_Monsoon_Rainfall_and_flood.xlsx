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assification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Trend" sheetId="4" state="visible" r:id="rId4"/>
  </sheets>
  <definedNames>
    <definedName name="_xlnm._FilterDatabase" localSheetId="0" hidden="1">'Raw Data'!$A$1:$O$1761</definedName>
    <definedName name="_xlnm._FilterDatabase" localSheetId="1" hidden="1">'Classification'!$A$1:$J$1761</definedName>
    <definedName name="_xlnm._FilterDatabase" localSheetId="2" hidden="1">'Correlation'!$A$1:$E$161</definedName>
    <definedName name="_xlnm._FilterDatabase" localSheetId="3" hidden="1">'Trend'!$A$1:$J$161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"/>
    <numFmt numFmtId="165" formatCode="0.0\%"/>
    <numFmt numFmtId="166" formatCode="0.000"/>
    <numFmt numFmtId="167" formatCode="0.0000\%"/>
    <numFmt numFmtId="168" formatCode="0.0000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167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8" fontId="5" fillId="3" borderId="1" applyAlignment="1" pivotButton="0" quotePrefix="0" xfId="0">
      <alignment horizontal="general" vertical="bottom"/>
    </xf>
    <xf numFmtId="168" fontId="5" fillId="0" borderId="1" applyAlignment="1" pivotButton="0" quotePrefix="0" xfId="0">
      <alignment horizontal="general" vertical="bottom"/>
    </xf>
    <xf numFmtId="2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167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8" fontId="5" fillId="3" borderId="1" applyAlignment="1" pivotButton="0" quotePrefix="0" xfId="0">
      <alignment horizontal="general" vertical="bottom"/>
    </xf>
    <xf numFmtId="168" fontId="5" fillId="0" borderId="1" applyAlignment="1" pivotButton="0" quotePrefix="0" xfId="0">
      <alignment horizontal="general" vertical="bottom"/>
    </xf>
    <xf numFmtId="2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76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1" min="1" max="1"/>
    <col width="18" customWidth="1" style="11" min="2" max="2"/>
    <col width="7" customWidth="1" style="11" min="3" max="3"/>
    <col width="14" customWidth="1" style="11" min="4" max="5"/>
    <col width="12" customWidth="1" style="11" min="6" max="7"/>
    <col width="11" customWidth="1" style="11" min="8" max="8"/>
    <col width="9" customWidth="1" style="11" min="9" max="9"/>
    <col width="13" customWidth="1" style="11" min="10" max="10"/>
    <col width="15" customWidth="1" style="11" min="11" max="11"/>
    <col width="13" customWidth="1" style="11" min="12" max="12"/>
    <col width="12" customWidth="1" style="11" min="13" max="13"/>
    <col width="13" customWidth="1" style="11" min="14" max="14"/>
    <col width="17" customWidth="1" style="11" min="15" max="15"/>
  </cols>
  <sheetData>
    <row r="1" ht="35.05" customHeight="1" s="12">
      <c r="A1" s="13" t="inlineStr">
        <is>
          <t>District</t>
        </is>
      </c>
      <c r="B1" s="13" t="inlineStr">
        <is>
          <t>Province</t>
        </is>
      </c>
      <c r="C1" s="13" t="inlineStr">
        <is>
          <t>Year</t>
        </is>
      </c>
      <c r="D1" s="13" t="inlineStr">
        <is>
          <t>Mean Rainfall (mm)</t>
        </is>
      </c>
      <c r="E1" s="13" t="inlineStr">
        <is>
          <t>Total Rainfall (mm)</t>
        </is>
      </c>
      <c r="F1" s="13" t="inlineStr">
        <is>
          <t>Max Daily (mm)</t>
        </is>
      </c>
      <c r="G1" s="13" t="inlineStr">
        <is>
          <t>Min Daily (mm)</t>
        </is>
      </c>
      <c r="H1" s="13" t="inlineStr">
        <is>
          <t>Std Dev (mm)</t>
        </is>
      </c>
      <c r="I1" s="13" t="inlineStr">
        <is>
          <t>CV (%)</t>
        </is>
      </c>
      <c r="J1" s="13" t="inlineStr">
        <is>
          <t>Avg Rainy Days</t>
        </is>
      </c>
      <c r="K1" s="13" t="inlineStr">
        <is>
          <t>District Area (km²)</t>
        </is>
      </c>
      <c r="L1" s="13" t="inlineStr">
        <is>
          <t>11-Yr Mean (mm)</t>
        </is>
      </c>
      <c r="M1" s="13" t="inlineStr">
        <is>
          <t>Anomaly (mm)</t>
        </is>
      </c>
      <c r="N1" s="13" t="inlineStr">
        <is>
          <t>Flood Area (km²)</t>
        </is>
      </c>
      <c r="O1" s="13" t="inlineStr">
        <is>
          <t>Flood % of District Area</t>
        </is>
      </c>
    </row>
    <row r="2" ht="15" customHeight="1" s="12">
      <c r="A2" s="14" t="inlineStr">
        <is>
          <t>Abbottabad</t>
        </is>
      </c>
      <c r="B2" s="14" t="inlineStr">
        <is>
          <t>Khyber Pakhtunkhwa</t>
        </is>
      </c>
      <c r="C2" s="14" t="n">
        <v>2015</v>
      </c>
      <c r="D2" s="15" t="n">
        <v>832.916633571552</v>
      </c>
      <c r="E2" s="15" t="n">
        <v>13303.8017589684</v>
      </c>
      <c r="F2" s="15" t="n">
        <v>1086.2699098587</v>
      </c>
      <c r="G2" s="15" t="n">
        <v>620.0407595038409</v>
      </c>
      <c r="H2" s="15" t="n">
        <v>115.800996462411</v>
      </c>
      <c r="I2" s="16" t="n">
        <v>13.9030716634695</v>
      </c>
      <c r="J2" s="15" t="n">
        <v>32.635894917751</v>
      </c>
      <c r="K2" s="15" t="n">
        <v>1639.95381731524</v>
      </c>
      <c r="L2" s="15" t="n">
        <v>840.035952164169</v>
      </c>
      <c r="M2" s="15" t="n">
        <v>-7.11931859261711</v>
      </c>
      <c r="N2" s="17" t="n">
        <v>0.157820553343769</v>
      </c>
      <c r="O2" s="18" t="n">
        <v>0.009623475470921289</v>
      </c>
    </row>
    <row r="3" ht="15" customHeight="1" s="12">
      <c r="A3" s="14" t="inlineStr">
        <is>
          <t>Abbottabad</t>
        </is>
      </c>
      <c r="B3" s="14" t="inlineStr">
        <is>
          <t>Khyber Pakhtunkhwa</t>
        </is>
      </c>
      <c r="C3" s="14" t="n">
        <v>2016</v>
      </c>
      <c r="D3" s="15" t="n">
        <v>727.647108955873</v>
      </c>
      <c r="E3" s="15" t="n">
        <v>11622.3791167736</v>
      </c>
      <c r="F3" s="15" t="n">
        <v>991.2863831520081</v>
      </c>
      <c r="G3" s="15" t="n">
        <v>521.69593000412</v>
      </c>
      <c r="H3" s="15" t="n">
        <v>114.666120037178</v>
      </c>
      <c r="I3" s="16" t="n">
        <v>15.7584794367858</v>
      </c>
      <c r="J3" s="15" t="n">
        <v>29.373434814633</v>
      </c>
      <c r="K3" s="15" t="n">
        <v>1639.95381731524</v>
      </c>
      <c r="L3" s="15" t="n">
        <v>840.035952164169</v>
      </c>
      <c r="M3" s="15" t="n">
        <v>-112.388843208297</v>
      </c>
      <c r="N3" s="17" t="n">
        <v>0.574361983542768</v>
      </c>
      <c r="O3" s="18" t="n">
        <v>0.0350230584226484</v>
      </c>
    </row>
    <row r="4" ht="15" customHeight="1" s="12">
      <c r="A4" s="14" t="inlineStr">
        <is>
          <t>Abbottabad</t>
        </is>
      </c>
      <c r="B4" s="14" t="inlineStr">
        <is>
          <t>Khyber Pakhtunkhwa</t>
        </is>
      </c>
      <c r="C4" s="14" t="n">
        <v>2017</v>
      </c>
      <c r="D4" s="15" t="n">
        <v>672.5093239969769</v>
      </c>
      <c r="E4" s="15" t="n">
        <v>10741.6881436851</v>
      </c>
      <c r="F4" s="15" t="n">
        <v>888.324664592743</v>
      </c>
      <c r="G4" s="15" t="n">
        <v>510.010306119919</v>
      </c>
      <c r="H4" s="15" t="n">
        <v>92.5920915862137</v>
      </c>
      <c r="I4" s="16" t="n">
        <v>13.7681498653288</v>
      </c>
      <c r="J4" s="15" t="n">
        <v>34.6049594893199</v>
      </c>
      <c r="K4" s="15" t="n">
        <v>1639.95381731524</v>
      </c>
      <c r="L4" s="15" t="n">
        <v>840.035952164169</v>
      </c>
      <c r="M4" s="15" t="n">
        <v>-167.526628167192</v>
      </c>
      <c r="N4" s="17" t="n">
        <v>0.0461083737792968</v>
      </c>
      <c r="O4" s="18" t="n">
        <v>0.00281156538022398</v>
      </c>
    </row>
    <row r="5" ht="15" customHeight="1" s="12">
      <c r="A5" s="14" t="inlineStr">
        <is>
          <t>Abbottabad</t>
        </is>
      </c>
      <c r="B5" s="14" t="inlineStr">
        <is>
          <t>Khyber Pakhtunkhwa</t>
        </is>
      </c>
      <c r="C5" s="14" t="n">
        <v>2018</v>
      </c>
      <c r="D5" s="15" t="n">
        <v>844.8275841758</v>
      </c>
      <c r="E5" s="15" t="n">
        <v>13494.0500013648</v>
      </c>
      <c r="F5" s="15" t="n">
        <v>1083.80308055878</v>
      </c>
      <c r="G5" s="15" t="n">
        <v>651.66969203949</v>
      </c>
      <c r="H5" s="15" t="n">
        <v>98.5111328811262</v>
      </c>
      <c r="I5" s="16" t="n">
        <v>11.6605014711058</v>
      </c>
      <c r="J5" s="15" t="n">
        <v>35.3675423520746</v>
      </c>
      <c r="K5" s="15" t="n">
        <v>1639.95381731524</v>
      </c>
      <c r="L5" s="15" t="n">
        <v>840.035952164169</v>
      </c>
      <c r="M5" s="15" t="n">
        <v>4.7916320116301</v>
      </c>
      <c r="N5" s="17" t="n">
        <v>0.0622465540544098</v>
      </c>
      <c r="O5" s="18" t="n">
        <v>0.00379562847424042</v>
      </c>
    </row>
    <row r="6" ht="15" customHeight="1" s="12">
      <c r="A6" s="14" t="inlineStr">
        <is>
          <t>Abbottabad</t>
        </is>
      </c>
      <c r="B6" s="14" t="inlineStr">
        <is>
          <t>Khyber Pakhtunkhwa</t>
        </is>
      </c>
      <c r="C6" s="14" t="n">
        <v>2019</v>
      </c>
      <c r="D6" s="15" t="n">
        <v>788.815855873878</v>
      </c>
      <c r="E6" s="15" t="n">
        <v>12599.3999253894</v>
      </c>
      <c r="F6" s="15" t="n">
        <v>1040.05335440568</v>
      </c>
      <c r="G6" s="15" t="n">
        <v>575.554818689823</v>
      </c>
      <c r="H6" s="15" t="n">
        <v>113.290840220524</v>
      </c>
      <c r="I6" s="16" t="n">
        <v>14.3621403369252</v>
      </c>
      <c r="J6" s="15" t="n">
        <v>26.1726000491039</v>
      </c>
      <c r="K6" s="15" t="n">
        <v>1639.95381731524</v>
      </c>
      <c r="L6" s="15" t="n">
        <v>840.035952164169</v>
      </c>
      <c r="M6" s="15" t="n">
        <v>-51.2200962902916</v>
      </c>
      <c r="N6" s="17" t="n">
        <v>0.0388859378523284</v>
      </c>
      <c r="O6" s="18" t="n">
        <v>0.00237116054377607</v>
      </c>
    </row>
    <row r="7" ht="15" customHeight="1" s="12">
      <c r="A7" s="14" t="inlineStr">
        <is>
          <t>Abbottabad</t>
        </is>
      </c>
      <c r="B7" s="14" t="inlineStr">
        <is>
          <t>Khyber Pakhtunkhwa</t>
        </is>
      </c>
      <c r="C7" s="14" t="n">
        <v>2020</v>
      </c>
      <c r="D7" s="15" t="n">
        <v>785.446019530238</v>
      </c>
      <c r="E7" s="15" t="n">
        <v>12545.5750492026</v>
      </c>
      <c r="F7" s="15" t="n">
        <v>1029.92088660802</v>
      </c>
      <c r="G7" s="15" t="n">
        <v>609.544500447111</v>
      </c>
      <c r="H7" s="15" t="n">
        <v>111.444880285513</v>
      </c>
      <c r="I7" s="16" t="n">
        <v>14.1887383110256</v>
      </c>
      <c r="J7" s="15" t="n">
        <v>31.1959243800638</v>
      </c>
      <c r="K7" s="15" t="n">
        <v>1639.95381731524</v>
      </c>
      <c r="L7" s="15" t="n">
        <v>840.035952164169</v>
      </c>
      <c r="M7" s="15" t="n">
        <v>-54.5899326339319</v>
      </c>
      <c r="N7" s="17" t="n">
        <v>0.0446695718110925</v>
      </c>
      <c r="O7" s="18" t="n">
        <v>0.00272383108228139</v>
      </c>
    </row>
    <row r="8" ht="15" customHeight="1" s="12">
      <c r="A8" s="14" t="inlineStr">
        <is>
          <t>Abbottabad</t>
        </is>
      </c>
      <c r="B8" s="14" t="inlineStr">
        <is>
          <t>Khyber Pakhtunkhwa</t>
        </is>
      </c>
      <c r="C8" s="14" t="n">
        <v>2021</v>
      </c>
      <c r="D8" s="15" t="n">
        <v>951.737662137599</v>
      </c>
      <c r="E8" s="15" t="n">
        <v>15201.6764622998</v>
      </c>
      <c r="F8" s="15" t="n">
        <v>1330.93293762207</v>
      </c>
      <c r="G8" s="15" t="n">
        <v>660.285820260644</v>
      </c>
      <c r="H8" s="15" t="n">
        <v>166.373755717216</v>
      </c>
      <c r="I8" s="16" t="n">
        <v>17.4810520100193</v>
      </c>
      <c r="J8" s="15" t="n">
        <v>19.2936410508225</v>
      </c>
      <c r="K8" s="15" t="n">
        <v>1639.95381731524</v>
      </c>
      <c r="L8" s="15" t="n">
        <v>840.035952164169</v>
      </c>
      <c r="M8" s="15" t="n">
        <v>111.70170997343</v>
      </c>
      <c r="N8" s="17" t="n">
        <v>0.0490969500574448</v>
      </c>
      <c r="O8" s="18" t="n">
        <v>0.00299380077286696</v>
      </c>
    </row>
    <row r="9" ht="15" customHeight="1" s="12">
      <c r="A9" s="14" t="inlineStr">
        <is>
          <t>Abbottabad</t>
        </is>
      </c>
      <c r="B9" s="14" t="inlineStr">
        <is>
          <t>Khyber Pakhtunkhwa</t>
        </is>
      </c>
      <c r="C9" s="14" t="n">
        <v>2022</v>
      </c>
      <c r="D9" s="15" t="n">
        <v>808.085243329558</v>
      </c>
      <c r="E9" s="15" t="n">
        <v>12907.1811611031</v>
      </c>
      <c r="F9" s="15" t="n">
        <v>1084.42582583427</v>
      </c>
      <c r="G9" s="15" t="n">
        <v>602.879267632961</v>
      </c>
      <c r="H9" s="15" t="n">
        <v>113.449138264385</v>
      </c>
      <c r="I9" s="16" t="n">
        <v>14.0392538040839</v>
      </c>
      <c r="J9" s="15" t="n">
        <v>28.8305917014486</v>
      </c>
      <c r="K9" s="15" t="n">
        <v>1639.95381731524</v>
      </c>
      <c r="L9" s="15" t="n">
        <v>840.035952164169</v>
      </c>
      <c r="M9" s="15" t="n">
        <v>-31.9507088346113</v>
      </c>
      <c r="N9" s="17" t="n">
        <v>0.0548820047636144</v>
      </c>
      <c r="O9" s="18" t="n">
        <v>0.00334655794475125</v>
      </c>
    </row>
    <row r="10" ht="15" customHeight="1" s="12">
      <c r="A10" s="14" t="inlineStr">
        <is>
          <t>Abbottabad</t>
        </is>
      </c>
      <c r="B10" s="14" t="inlineStr">
        <is>
          <t>Khyber Pakhtunkhwa</t>
        </is>
      </c>
      <c r="C10" s="14" t="n">
        <v>2023</v>
      </c>
      <c r="D10" s="15" t="n">
        <v>933.9065257239751</v>
      </c>
      <c r="E10" s="15" t="n">
        <v>14916.8677618578</v>
      </c>
      <c r="F10" s="15" t="n">
        <v>1232.97997283936</v>
      </c>
      <c r="G10" s="15" t="n">
        <v>681.502705574036</v>
      </c>
      <c r="H10" s="15" t="n">
        <v>141.01357829923</v>
      </c>
      <c r="I10" s="16" t="n">
        <v>15.0993246556356</v>
      </c>
      <c r="J10" s="15" t="n">
        <v>22.9607169162779</v>
      </c>
      <c r="K10" s="15" t="n">
        <v>1639.95381731524</v>
      </c>
      <c r="L10" s="15" t="n">
        <v>840.035952164169</v>
      </c>
      <c r="M10" s="15" t="n">
        <v>93.87057355980519</v>
      </c>
      <c r="N10" s="17" t="n">
        <v>0.0694237484860887</v>
      </c>
      <c r="O10" s="18" t="n">
        <v>0.00423327460524115</v>
      </c>
    </row>
    <row r="11" ht="15" customHeight="1" s="12">
      <c r="A11" s="14" t="inlineStr">
        <is>
          <t>Abbottabad</t>
        </is>
      </c>
      <c r="B11" s="14" t="inlineStr">
        <is>
          <t>Khyber Pakhtunkhwa</t>
        </is>
      </c>
      <c r="C11" s="14" t="n">
        <v>2024</v>
      </c>
      <c r="D11" s="15" t="n">
        <v>807.125247261925</v>
      </c>
      <c r="E11" s="15" t="n">
        <v>12891.8475768542</v>
      </c>
      <c r="F11" s="15" t="n">
        <v>1040.78857005388</v>
      </c>
      <c r="G11" s="15" t="n">
        <v>613.086267106235</v>
      </c>
      <c r="H11" s="15" t="n">
        <v>101.959090525385</v>
      </c>
      <c r="I11" s="16" t="n">
        <v>12.6323753186099</v>
      </c>
      <c r="J11" s="15" t="n">
        <v>35.2536214092806</v>
      </c>
      <c r="K11" s="15" t="n">
        <v>1639.95381731524</v>
      </c>
      <c r="L11" s="15" t="n">
        <v>840.035952164169</v>
      </c>
      <c r="M11" s="15" t="n">
        <v>-32.9107049022441</v>
      </c>
      <c r="N11" s="17" t="n">
        <v>0.0270789220068838</v>
      </c>
      <c r="O11" s="18" t="n">
        <v>0.00165120027899411</v>
      </c>
    </row>
    <row r="12" ht="15" customHeight="1" s="12">
      <c r="A12" s="14" t="inlineStr">
        <is>
          <t>Abbottabad</t>
        </is>
      </c>
      <c r="B12" s="14" t="inlineStr">
        <is>
          <t>Khyber Pakhtunkhwa</t>
        </is>
      </c>
      <c r="C12" s="14" t="n">
        <v>2025</v>
      </c>
      <c r="D12" s="15" t="n">
        <v>1087.37826924849</v>
      </c>
      <c r="E12" s="15" t="n">
        <v>17368.2027084278</v>
      </c>
      <c r="F12" s="15" t="n">
        <v>1486.82232607342</v>
      </c>
      <c r="G12" s="15" t="n">
        <v>799.087140917778</v>
      </c>
      <c r="H12" s="15" t="n">
        <v>173.474379645563</v>
      </c>
      <c r="I12" s="16" t="n">
        <v>15.9534528647014</v>
      </c>
      <c r="J12" s="15" t="n">
        <v>46.0847041492757</v>
      </c>
      <c r="K12" s="15" t="n">
        <v>1639.95381731524</v>
      </c>
      <c r="L12" s="15" t="n">
        <v>840.035952164169</v>
      </c>
      <c r="M12" s="15" t="n">
        <v>247.342317084319</v>
      </c>
      <c r="N12" s="17" t="n">
        <v>0.0473159806044634</v>
      </c>
      <c r="O12" s="18" t="n">
        <v>0.0028852020163546</v>
      </c>
    </row>
    <row r="13" ht="15" customHeight="1" s="12">
      <c r="A13" s="14" t="inlineStr">
        <is>
          <t>Astore</t>
        </is>
      </c>
      <c r="B13" s="14" t="inlineStr">
        <is>
          <t>Gilgit Baltistan</t>
        </is>
      </c>
      <c r="C13" s="14" t="n">
        <v>2015</v>
      </c>
      <c r="D13" s="15" t="n">
        <v>232.118940845847</v>
      </c>
      <c r="E13" s="15" t="n">
        <v>11777.0778692689</v>
      </c>
      <c r="F13" s="15" t="n">
        <v>825.124106407166</v>
      </c>
      <c r="G13" s="15" t="n">
        <v>68.7954181432724</v>
      </c>
      <c r="H13" s="15" t="n">
        <v>174.850655215732</v>
      </c>
      <c r="I13" s="16" t="n">
        <v>75.32804284672829</v>
      </c>
      <c r="J13" s="15" t="n">
        <v>19.7099242541351</v>
      </c>
      <c r="K13" s="15" t="n">
        <v>5132.65714613057</v>
      </c>
      <c r="L13" s="15" t="n">
        <v>197.045855893651</v>
      </c>
      <c r="M13" s="15" t="n">
        <v>35.0730849521959</v>
      </c>
      <c r="N13" s="17" t="n">
        <v>1.50334431534376</v>
      </c>
      <c r="O13" s="18" t="n">
        <v>0.0292897864116466</v>
      </c>
    </row>
    <row r="14" ht="15" customHeight="1" s="12">
      <c r="A14" s="14" t="inlineStr">
        <is>
          <t>Astore</t>
        </is>
      </c>
      <c r="B14" s="14" t="inlineStr">
        <is>
          <t>Gilgit Baltistan</t>
        </is>
      </c>
      <c r="C14" s="14" t="n">
        <v>2016</v>
      </c>
      <c r="D14" s="15" t="n">
        <v>166.966599550847</v>
      </c>
      <c r="E14" s="15" t="n">
        <v>8471.42692152493</v>
      </c>
      <c r="F14" s="15" t="n">
        <v>638.429034948349</v>
      </c>
      <c r="G14" s="15" t="n">
        <v>43.9930996894836</v>
      </c>
      <c r="H14" s="15" t="n">
        <v>141.458354556064</v>
      </c>
      <c r="I14" s="16" t="n">
        <v>84.72254626769529</v>
      </c>
      <c r="J14" s="15" t="n">
        <v>19.483768743237</v>
      </c>
      <c r="K14" s="15" t="n">
        <v>5132.65714613057</v>
      </c>
      <c r="L14" s="15" t="n">
        <v>197.045855893651</v>
      </c>
      <c r="M14" s="15" t="n">
        <v>-30.0792563428041</v>
      </c>
      <c r="N14" s="17" t="n">
        <v>1.13899744640898</v>
      </c>
      <c r="O14" s="18" t="n">
        <v>0.0221911850719983</v>
      </c>
    </row>
    <row r="15" ht="15" customHeight="1" s="12">
      <c r="A15" s="14" t="inlineStr">
        <is>
          <t>Astore</t>
        </is>
      </c>
      <c r="B15" s="14" t="inlineStr">
        <is>
          <t>Gilgit Baltistan</t>
        </is>
      </c>
      <c r="C15" s="14" t="n">
        <v>2017</v>
      </c>
      <c r="D15" s="15" t="n">
        <v>148.649459365093</v>
      </c>
      <c r="E15" s="15" t="n">
        <v>7542.06551084536</v>
      </c>
      <c r="F15" s="15" t="n">
        <v>557.002309918404</v>
      </c>
      <c r="G15" s="15" t="n">
        <v>36.9648626446724</v>
      </c>
      <c r="H15" s="15" t="n">
        <v>123.083924441196</v>
      </c>
      <c r="I15" s="16" t="n">
        <v>82.8014612141268</v>
      </c>
      <c r="J15" s="15" t="n">
        <v>19.7289380120575</v>
      </c>
      <c r="K15" s="15" t="n">
        <v>5132.65714613057</v>
      </c>
      <c r="L15" s="15" t="n">
        <v>197.045855893651</v>
      </c>
      <c r="M15" s="15" t="n">
        <v>-48.3963965285584</v>
      </c>
      <c r="N15" s="17" t="n">
        <v>1.42336531333223</v>
      </c>
      <c r="O15" s="18" t="n">
        <v>0.0277315486464021</v>
      </c>
    </row>
    <row r="16" ht="15" customHeight="1" s="12">
      <c r="A16" s="14" t="inlineStr">
        <is>
          <t>Astore</t>
        </is>
      </c>
      <c r="B16" s="14" t="inlineStr">
        <is>
          <t>Gilgit Baltistan</t>
        </is>
      </c>
      <c r="C16" s="14" t="n">
        <v>2018</v>
      </c>
      <c r="D16" s="15" t="n">
        <v>174.526624089803</v>
      </c>
      <c r="E16" s="15" t="n">
        <v>8855.00181362303</v>
      </c>
      <c r="F16" s="15" t="n">
        <v>663.9751983881</v>
      </c>
      <c r="G16" s="15" t="n">
        <v>51.1785961724818</v>
      </c>
      <c r="H16" s="15" t="n">
        <v>142.780851953572</v>
      </c>
      <c r="I16" s="16" t="n">
        <v>81.8103556968497</v>
      </c>
      <c r="J16" s="15" t="n">
        <v>22.5139125057969</v>
      </c>
      <c r="K16" s="15" t="n">
        <v>5132.65714613057</v>
      </c>
      <c r="L16" s="15" t="n">
        <v>197.045855893651</v>
      </c>
      <c r="M16" s="15" t="n">
        <v>-22.5192318038477</v>
      </c>
      <c r="N16" s="17" t="n">
        <v>1.3743961508734</v>
      </c>
      <c r="O16" s="18" t="n">
        <v>0.0267774782484651</v>
      </c>
    </row>
    <row r="17" ht="15" customHeight="1" s="12">
      <c r="A17" s="14" t="inlineStr">
        <is>
          <t>Astore</t>
        </is>
      </c>
      <c r="B17" s="14" t="inlineStr">
        <is>
          <t>Gilgit Baltistan</t>
        </is>
      </c>
      <c r="C17" s="14" t="n">
        <v>2019</v>
      </c>
      <c r="D17" s="15" t="n">
        <v>226.809660332446</v>
      </c>
      <c r="E17" s="15" t="n">
        <v>11507.6995505144</v>
      </c>
      <c r="F17" s="15" t="n">
        <v>832.505585789681</v>
      </c>
      <c r="G17" s="15" t="n">
        <v>64.504675835371</v>
      </c>
      <c r="H17" s="15" t="n">
        <v>173.558528558639</v>
      </c>
      <c r="I17" s="16" t="n">
        <v>76.5216650403011</v>
      </c>
      <c r="J17" s="15" t="n">
        <v>24.9374710156129</v>
      </c>
      <c r="K17" s="15" t="n">
        <v>5132.65714613057</v>
      </c>
      <c r="L17" s="15" t="n">
        <v>197.045855893651</v>
      </c>
      <c r="M17" s="15" t="n">
        <v>29.7638044387947</v>
      </c>
      <c r="N17" s="17" t="n">
        <v>1.21089634012834</v>
      </c>
      <c r="O17" s="18" t="n">
        <v>0.0235919973934206</v>
      </c>
    </row>
    <row r="18" ht="15" customHeight="1" s="12">
      <c r="A18" s="14" t="inlineStr">
        <is>
          <t>Astore</t>
        </is>
      </c>
      <c r="B18" s="14" t="inlineStr">
        <is>
          <t>Gilgit Baltistan</t>
        </is>
      </c>
      <c r="C18" s="14" t="n">
        <v>2020</v>
      </c>
      <c r="D18" s="15" t="n">
        <v>182.713633522992</v>
      </c>
      <c r="E18" s="15" t="n">
        <v>9270.38819811951</v>
      </c>
      <c r="F18" s="15" t="n">
        <v>707.125477671623</v>
      </c>
      <c r="G18" s="15" t="n">
        <v>49.8549237586558</v>
      </c>
      <c r="H18" s="15" t="n">
        <v>153.27399268291</v>
      </c>
      <c r="I18" s="16" t="n">
        <v>83.8875510970679</v>
      </c>
      <c r="J18" s="15" t="n">
        <v>24.4439635183181</v>
      </c>
      <c r="K18" s="15" t="n">
        <v>5132.65714613057</v>
      </c>
      <c r="L18" s="15" t="n">
        <v>197.045855893651</v>
      </c>
      <c r="M18" s="15" t="n">
        <v>-14.3322223706587</v>
      </c>
      <c r="N18" s="17" t="n">
        <v>2.20570707899074</v>
      </c>
      <c r="O18" s="18" t="n">
        <v>0.0429739804587101</v>
      </c>
    </row>
    <row r="19" ht="15" customHeight="1" s="12">
      <c r="A19" s="14" t="inlineStr">
        <is>
          <t>Astore</t>
        </is>
      </c>
      <c r="B19" s="14" t="inlineStr">
        <is>
          <t>Gilgit Baltistan</t>
        </is>
      </c>
      <c r="C19" s="14" t="n">
        <v>2021</v>
      </c>
      <c r="D19" s="15" t="n">
        <v>187.531648116387</v>
      </c>
      <c r="E19" s="15" t="n">
        <v>9514.84103266596</v>
      </c>
      <c r="F19" s="15" t="n">
        <v>716.534240007401</v>
      </c>
      <c r="G19" s="15" t="n">
        <v>49.8476678133011</v>
      </c>
      <c r="H19" s="15" t="n">
        <v>154.813783952214</v>
      </c>
      <c r="I19" s="16" t="n">
        <v>82.5534172536747</v>
      </c>
      <c r="J19" s="15" t="n">
        <v>22.2447828103262</v>
      </c>
      <c r="K19" s="15" t="n">
        <v>5132.65714613057</v>
      </c>
      <c r="L19" s="15" t="n">
        <v>197.045855893651</v>
      </c>
      <c r="M19" s="15" t="n">
        <v>-9.514207777263611</v>
      </c>
      <c r="N19" s="17" t="n">
        <v>1.45427858343673</v>
      </c>
      <c r="O19" s="18" t="n">
        <v>0.0283338345428565</v>
      </c>
    </row>
    <row r="20" ht="15" customHeight="1" s="12">
      <c r="A20" s="14" t="inlineStr">
        <is>
          <t>Astore</t>
        </is>
      </c>
      <c r="B20" s="14" t="inlineStr">
        <is>
          <t>Gilgit Baltistan</t>
        </is>
      </c>
      <c r="C20" s="14" t="n">
        <v>2022</v>
      </c>
      <c r="D20" s="15" t="n">
        <v>196.266400104767</v>
      </c>
      <c r="E20" s="15" t="n">
        <v>9958.018370805779</v>
      </c>
      <c r="F20" s="15" t="n">
        <v>734.0945515632631</v>
      </c>
      <c r="G20" s="15" t="n">
        <v>53.9468878507614</v>
      </c>
      <c r="H20" s="15" t="n">
        <v>159.170586969891</v>
      </c>
      <c r="I20" s="16" t="n">
        <v>81.09925432214899</v>
      </c>
      <c r="J20" s="15" t="n">
        <v>24.3205286752203</v>
      </c>
      <c r="K20" s="15" t="n">
        <v>5132.65714613057</v>
      </c>
      <c r="L20" s="15" t="n">
        <v>197.045855893651</v>
      </c>
      <c r="M20" s="15" t="n">
        <v>-0.779455788884121</v>
      </c>
      <c r="N20" s="17" t="n">
        <v>1.89475758014754</v>
      </c>
      <c r="O20" s="18" t="n">
        <v>0.0369157246666274</v>
      </c>
    </row>
    <row r="21" ht="15" customHeight="1" s="12">
      <c r="A21" s="14" t="inlineStr">
        <is>
          <t>Astore</t>
        </is>
      </c>
      <c r="B21" s="14" t="inlineStr">
        <is>
          <t>Gilgit Baltistan</t>
        </is>
      </c>
      <c r="C21" s="14" t="n">
        <v>2023</v>
      </c>
      <c r="D21" s="15" t="n">
        <v>227.399801344832</v>
      </c>
      <c r="E21" s="15" t="n">
        <v>11537.641685488</v>
      </c>
      <c r="F21" s="15" t="n">
        <v>851.056970357895</v>
      </c>
      <c r="G21" s="15" t="n">
        <v>62.1573092341423</v>
      </c>
      <c r="H21" s="15" t="n">
        <v>186.549117410527</v>
      </c>
      <c r="I21" s="16" t="n">
        <v>82.0357433503826</v>
      </c>
      <c r="J21" s="15" t="n">
        <v>21.049930437471</v>
      </c>
      <c r="K21" s="15" t="n">
        <v>5132.65714613057</v>
      </c>
      <c r="L21" s="15" t="n">
        <v>197.045855893651</v>
      </c>
      <c r="M21" s="15" t="n">
        <v>30.3539454511814</v>
      </c>
      <c r="N21" s="17" t="n">
        <v>1.73273477482527</v>
      </c>
      <c r="O21" s="18" t="n">
        <v>0.0337590204350889</v>
      </c>
    </row>
    <row r="22" ht="15" customHeight="1" s="12">
      <c r="A22" s="14" t="inlineStr">
        <is>
          <t>Astore</t>
        </is>
      </c>
      <c r="B22" s="14" t="inlineStr">
        <is>
          <t>Gilgit Baltistan</t>
        </is>
      </c>
      <c r="C22" s="14" t="n">
        <v>2024</v>
      </c>
      <c r="D22" s="15" t="n">
        <v>202.243409582956</v>
      </c>
      <c r="E22" s="15" t="n">
        <v>10261.2754242521</v>
      </c>
      <c r="F22" s="15" t="n">
        <v>738.220652259886</v>
      </c>
      <c r="G22" s="15" t="n">
        <v>62.2137557733804</v>
      </c>
      <c r="H22" s="15" t="n">
        <v>157.419585945351</v>
      </c>
      <c r="I22" s="16" t="n">
        <v>77.8366950349405</v>
      </c>
      <c r="J22" s="15" t="n">
        <v>20.1130777554491</v>
      </c>
      <c r="K22" s="15" t="n">
        <v>5132.65714613057</v>
      </c>
      <c r="L22" s="15" t="n">
        <v>197.045855893651</v>
      </c>
      <c r="M22" s="15" t="n">
        <v>5.19755368930527</v>
      </c>
      <c r="N22" s="17" t="n">
        <v>1.19408671926389</v>
      </c>
      <c r="O22" s="18" t="n">
        <v>0.0232644941064122</v>
      </c>
    </row>
    <row r="23" ht="15" customHeight="1" s="12">
      <c r="A23" s="14" t="inlineStr">
        <is>
          <t>Astore</t>
        </is>
      </c>
      <c r="B23" s="14" t="inlineStr">
        <is>
          <t>Gilgit Baltistan</t>
        </is>
      </c>
      <c r="C23" s="14" t="n">
        <v>2025</v>
      </c>
      <c r="D23" s="15" t="n">
        <v>222.27823797419</v>
      </c>
      <c r="E23" s="15" t="n">
        <v>11277.7876192552</v>
      </c>
      <c r="F23" s="15" t="n">
        <v>824.332376182079</v>
      </c>
      <c r="G23" s="15" t="n">
        <v>65.5272711217403</v>
      </c>
      <c r="H23" s="15" t="n">
        <v>174.667096025286</v>
      </c>
      <c r="I23" s="16" t="n">
        <v>78.580385384181</v>
      </c>
      <c r="J23" s="15" t="n">
        <v>20.8305765960736</v>
      </c>
      <c r="K23" s="15" t="n">
        <v>5132.65714613057</v>
      </c>
      <c r="L23" s="15" t="n">
        <v>197.045855893651</v>
      </c>
      <c r="M23" s="15" t="n">
        <v>25.2323820805394</v>
      </c>
      <c r="N23" s="17" t="n">
        <v>0.924200858777574</v>
      </c>
      <c r="O23" s="18" t="n">
        <v>0.0180062847072167</v>
      </c>
    </row>
    <row r="24" ht="15" customHeight="1" s="12">
      <c r="A24" s="14" t="inlineStr">
        <is>
          <t>Attock</t>
        </is>
      </c>
      <c r="B24" s="14" t="inlineStr">
        <is>
          <t>Punjab</t>
        </is>
      </c>
      <c r="C24" s="14" t="n">
        <v>2015</v>
      </c>
      <c r="D24" s="15" t="n">
        <v>510.962877658038</v>
      </c>
      <c r="E24" s="15" t="n">
        <v>34230.5052511069</v>
      </c>
      <c r="F24" s="15" t="n">
        <v>731.702954888344</v>
      </c>
      <c r="G24" s="15" t="n">
        <v>354.79961168766</v>
      </c>
      <c r="H24" s="15" t="n">
        <v>75.94706038234089</v>
      </c>
      <c r="I24" s="16" t="n">
        <v>14.863518212994</v>
      </c>
      <c r="J24" s="15" t="n">
        <v>29.6526956623544</v>
      </c>
      <c r="K24" s="15" t="n">
        <v>6912.81427656081</v>
      </c>
      <c r="L24" s="15" t="n">
        <v>473.121433934973</v>
      </c>
      <c r="M24" s="15" t="n">
        <v>37.8414437230649</v>
      </c>
      <c r="N24" s="17" t="n">
        <v>19.5176115680522</v>
      </c>
      <c r="O24" s="18" t="n">
        <v>0.282339591188357</v>
      </c>
    </row>
    <row r="25" ht="15" customHeight="1" s="12">
      <c r="A25" s="14" t="inlineStr">
        <is>
          <t>Attock</t>
        </is>
      </c>
      <c r="B25" s="14" t="inlineStr">
        <is>
          <t>Punjab</t>
        </is>
      </c>
      <c r="C25" s="14" t="n">
        <v>2016</v>
      </c>
      <c r="D25" s="15" t="n">
        <v>429.41797709911</v>
      </c>
      <c r="E25" s="15" t="n">
        <v>28767.6364815062</v>
      </c>
      <c r="F25" s="15" t="n">
        <v>685.833306312561</v>
      </c>
      <c r="G25" s="15" t="n">
        <v>294.905452489853</v>
      </c>
      <c r="H25" s="15" t="n">
        <v>68.9571428518785</v>
      </c>
      <c r="I25" s="16" t="n">
        <v>16.0582804003017</v>
      </c>
      <c r="J25" s="15" t="n">
        <v>23.9284668969151</v>
      </c>
      <c r="K25" s="15" t="n">
        <v>6912.81427656081</v>
      </c>
      <c r="L25" s="15" t="n">
        <v>473.121433934973</v>
      </c>
      <c r="M25" s="15" t="n">
        <v>-43.7034568358636</v>
      </c>
      <c r="N25" s="17" t="n">
        <v>14.9564797043453</v>
      </c>
      <c r="O25" s="18" t="n">
        <v>0.21635876657439</v>
      </c>
    </row>
    <row r="26" ht="15" customHeight="1" s="12">
      <c r="A26" s="14" t="inlineStr">
        <is>
          <t>Attock</t>
        </is>
      </c>
      <c r="B26" s="14" t="inlineStr">
        <is>
          <t>Punjab</t>
        </is>
      </c>
      <c r="C26" s="14" t="n">
        <v>2017</v>
      </c>
      <c r="D26" s="15" t="n">
        <v>440.860479093058</v>
      </c>
      <c r="E26" s="15" t="n">
        <v>29534.1943699871</v>
      </c>
      <c r="F26" s="15" t="n">
        <v>664.572276115418</v>
      </c>
      <c r="G26" s="15" t="n">
        <v>300.918313384056</v>
      </c>
      <c r="H26" s="15" t="n">
        <v>74.3057404662753</v>
      </c>
      <c r="I26" s="16" t="n">
        <v>16.8547066453173</v>
      </c>
      <c r="J26" s="15" t="n">
        <v>29.0466545688696</v>
      </c>
      <c r="K26" s="15" t="n">
        <v>6912.81427656081</v>
      </c>
      <c r="L26" s="15" t="n">
        <v>473.121433934973</v>
      </c>
      <c r="M26" s="15" t="n">
        <v>-32.2609548419155</v>
      </c>
      <c r="N26" s="17" t="n">
        <v>18.6145476760363</v>
      </c>
      <c r="O26" s="18" t="n">
        <v>0.269275969689398</v>
      </c>
    </row>
    <row r="27" ht="15" customHeight="1" s="12">
      <c r="A27" s="14" t="inlineStr">
        <is>
          <t>Attock</t>
        </is>
      </c>
      <c r="B27" s="14" t="inlineStr">
        <is>
          <t>Punjab</t>
        </is>
      </c>
      <c r="C27" s="14" t="n">
        <v>2018</v>
      </c>
      <c r="D27" s="15" t="n">
        <v>488.410960514445</v>
      </c>
      <c r="E27" s="15" t="n">
        <v>32719.7036802677</v>
      </c>
      <c r="F27" s="15" t="n">
        <v>693.682277679443</v>
      </c>
      <c r="G27" s="15" t="n">
        <v>346.36847820878</v>
      </c>
      <c r="H27" s="15" t="n">
        <v>76.37376760075141</v>
      </c>
      <c r="I27" s="16" t="n">
        <v>15.6371936289691</v>
      </c>
      <c r="J27" s="15" t="n">
        <v>27.2054088860271</v>
      </c>
      <c r="K27" s="15" t="n">
        <v>6912.81427656081</v>
      </c>
      <c r="L27" s="15" t="n">
        <v>473.121433934973</v>
      </c>
      <c r="M27" s="15" t="n">
        <v>15.2895265794715</v>
      </c>
      <c r="N27" s="17" t="n">
        <v>18.713161289091</v>
      </c>
      <c r="O27" s="18" t="n">
        <v>0.270702503212642</v>
      </c>
    </row>
    <row r="28" ht="15" customHeight="1" s="12">
      <c r="A28" s="14" t="inlineStr">
        <is>
          <t>Attock</t>
        </is>
      </c>
      <c r="B28" s="14" t="inlineStr">
        <is>
          <t>Punjab</t>
        </is>
      </c>
      <c r="C28" s="14" t="n">
        <v>2019</v>
      </c>
      <c r="D28" s="15" t="n">
        <v>436.467058069408</v>
      </c>
      <c r="E28" s="15" t="n">
        <v>29239.8696196067</v>
      </c>
      <c r="F28" s="15" t="n">
        <v>735.452141180185</v>
      </c>
      <c r="G28" s="15" t="n">
        <v>251.334153986612</v>
      </c>
      <c r="H28" s="15" t="n">
        <v>97.87472133208151</v>
      </c>
      <c r="I28" s="16" t="n">
        <v>22.424308896301</v>
      </c>
      <c r="J28" s="15" t="n">
        <v>23.2438681730375</v>
      </c>
      <c r="K28" s="15" t="n">
        <v>6912.81427656081</v>
      </c>
      <c r="L28" s="15" t="n">
        <v>473.121433934973</v>
      </c>
      <c r="M28" s="15" t="n">
        <v>-36.6543758655647</v>
      </c>
      <c r="N28" s="17" t="n">
        <v>15.2256450758907</v>
      </c>
      <c r="O28" s="18" t="n">
        <v>0.220252482805969</v>
      </c>
    </row>
    <row r="29" ht="15" customHeight="1" s="12">
      <c r="A29" s="14" t="inlineStr">
        <is>
          <t>Attock</t>
        </is>
      </c>
      <c r="B29" s="14" t="inlineStr">
        <is>
          <t>Punjab</t>
        </is>
      </c>
      <c r="C29" s="14" t="n">
        <v>2020</v>
      </c>
      <c r="D29" s="15" t="n">
        <v>440.870674204277</v>
      </c>
      <c r="E29" s="15" t="n">
        <v>29534.8773624771</v>
      </c>
      <c r="F29" s="15" t="n">
        <v>764.310367984377</v>
      </c>
      <c r="G29" s="15" t="n">
        <v>269.516243385515</v>
      </c>
      <c r="H29" s="15" t="n">
        <v>110.700083381065</v>
      </c>
      <c r="I29" s="16" t="n">
        <v>25.1094232069</v>
      </c>
      <c r="J29" s="15" t="n">
        <v>25.3992858397237</v>
      </c>
      <c r="K29" s="15" t="n">
        <v>6912.81427656081</v>
      </c>
      <c r="L29" s="15" t="n">
        <v>473.121433934973</v>
      </c>
      <c r="M29" s="15" t="n">
        <v>-32.2507597306961</v>
      </c>
      <c r="N29" s="17" t="n">
        <v>14.4279725841399</v>
      </c>
      <c r="O29" s="18" t="n">
        <v>0.20871344154378</v>
      </c>
    </row>
    <row r="30" ht="15" customHeight="1" s="12">
      <c r="A30" s="14" t="inlineStr">
        <is>
          <t>Attock</t>
        </is>
      </c>
      <c r="B30" s="14" t="inlineStr">
        <is>
          <t>Punjab</t>
        </is>
      </c>
      <c r="C30" s="14" t="n">
        <v>2021</v>
      </c>
      <c r="D30" s="15" t="n">
        <v>532.125553273163</v>
      </c>
      <c r="E30" s="15" t="n">
        <v>35648.2385355508</v>
      </c>
      <c r="F30" s="15" t="n">
        <v>914.295016765594</v>
      </c>
      <c r="G30" s="15" t="n">
        <v>350.350334048271</v>
      </c>
      <c r="H30" s="15" t="n">
        <v>124.523254699759</v>
      </c>
      <c r="I30" s="16" t="n">
        <v>23.4011041066912</v>
      </c>
      <c r="J30" s="15" t="n">
        <v>20.5065269566236</v>
      </c>
      <c r="K30" s="15" t="n">
        <v>6912.81427656081</v>
      </c>
      <c r="L30" s="15" t="n">
        <v>473.121433934973</v>
      </c>
      <c r="M30" s="15" t="n">
        <v>59.00411933819</v>
      </c>
      <c r="N30" s="17" t="n">
        <v>15.1410505548274</v>
      </c>
      <c r="O30" s="18" t="n">
        <v>0.219028747903238</v>
      </c>
    </row>
    <row r="31" ht="15" customHeight="1" s="12">
      <c r="A31" s="14" t="inlineStr">
        <is>
          <t>Attock</t>
        </is>
      </c>
      <c r="B31" s="14" t="inlineStr">
        <is>
          <t>Punjab</t>
        </is>
      </c>
      <c r="C31" s="14" t="n">
        <v>2022</v>
      </c>
      <c r="D31" s="15" t="n">
        <v>473.692443202823</v>
      </c>
      <c r="E31" s="15" t="n">
        <v>31733.6784597405</v>
      </c>
      <c r="F31" s="15" t="n">
        <v>771.770069068181</v>
      </c>
      <c r="G31" s="15" t="n">
        <v>321.287068974326</v>
      </c>
      <c r="H31" s="15" t="n">
        <v>99.50129778629579</v>
      </c>
      <c r="I31" s="16" t="n">
        <v>21.0054644556979</v>
      </c>
      <c r="J31" s="15" t="n">
        <v>29.2253702511269</v>
      </c>
      <c r="K31" s="15" t="n">
        <v>6912.81427656081</v>
      </c>
      <c r="L31" s="15" t="n">
        <v>473.121433934973</v>
      </c>
      <c r="M31" s="15" t="n">
        <v>0.571009267849888</v>
      </c>
      <c r="N31" s="17" t="n">
        <v>19.2171493167113</v>
      </c>
      <c r="O31" s="18" t="n">
        <v>0.27799313778573</v>
      </c>
    </row>
    <row r="32" ht="15" customHeight="1" s="12">
      <c r="A32" s="14" t="inlineStr">
        <is>
          <t>Attock</t>
        </is>
      </c>
      <c r="B32" s="14" t="inlineStr">
        <is>
          <t>Punjab</t>
        </is>
      </c>
      <c r="C32" s="14" t="n">
        <v>2023</v>
      </c>
      <c r="D32" s="15" t="n">
        <v>446.458636393566</v>
      </c>
      <c r="E32" s="15" t="n">
        <v>29909.227002005</v>
      </c>
      <c r="F32" s="15" t="n">
        <v>752.962478399277</v>
      </c>
      <c r="G32" s="15" t="n">
        <v>287.792594075203</v>
      </c>
      <c r="H32" s="15" t="n">
        <v>108.142344696986</v>
      </c>
      <c r="I32" s="16" t="n">
        <v>24.2222539517984</v>
      </c>
      <c r="J32" s="15" t="n">
        <v>18.7403266405198</v>
      </c>
      <c r="K32" s="15" t="n">
        <v>6912.81427656081</v>
      </c>
      <c r="L32" s="15" t="n">
        <v>473.121433934973</v>
      </c>
      <c r="M32" s="15" t="n">
        <v>-26.6627975414076</v>
      </c>
      <c r="N32" s="17" t="n">
        <v>14.8398721401416</v>
      </c>
      <c r="O32" s="18" t="n">
        <v>0.214671934561571</v>
      </c>
    </row>
    <row r="33" ht="15" customHeight="1" s="12">
      <c r="A33" s="14" t="inlineStr">
        <is>
          <t>Attock</t>
        </is>
      </c>
      <c r="B33" s="14" t="inlineStr">
        <is>
          <t>Punjab</t>
        </is>
      </c>
      <c r="C33" s="14" t="n">
        <v>2024</v>
      </c>
      <c r="D33" s="15" t="n">
        <v>430.359734815471</v>
      </c>
      <c r="E33" s="15" t="n">
        <v>28830.7268621674</v>
      </c>
      <c r="F33" s="15" t="n">
        <v>659.71101307869</v>
      </c>
      <c r="G33" s="15" t="n">
        <v>308.328414286021</v>
      </c>
      <c r="H33" s="15" t="n">
        <v>72.7253952282085</v>
      </c>
      <c r="I33" s="16" t="n">
        <v>16.8987452460885</v>
      </c>
      <c r="J33" s="15" t="n">
        <v>32.9754141544225</v>
      </c>
      <c r="K33" s="15" t="n">
        <v>6912.81427656081</v>
      </c>
      <c r="L33" s="15" t="n">
        <v>473.121433934973</v>
      </c>
      <c r="M33" s="15" t="n">
        <v>-42.7616991195018</v>
      </c>
      <c r="N33" s="17" t="n">
        <v>17.7256602350074</v>
      </c>
      <c r="O33" s="18" t="n">
        <v>0.256417423148623</v>
      </c>
    </row>
    <row r="34" ht="15" customHeight="1" s="12">
      <c r="A34" s="14" t="inlineStr">
        <is>
          <t>Attock</t>
        </is>
      </c>
      <c r="B34" s="14" t="inlineStr">
        <is>
          <t>Punjab</t>
        </is>
      </c>
      <c r="C34" s="14" t="n">
        <v>2025</v>
      </c>
      <c r="D34" s="15" t="n">
        <v>574.7093789613471</v>
      </c>
      <c r="E34" s="15" t="n">
        <v>38501.0208658694</v>
      </c>
      <c r="F34" s="15" t="n">
        <v>980.925893172425</v>
      </c>
      <c r="G34" s="15" t="n">
        <v>365.288488479506</v>
      </c>
      <c r="H34" s="15" t="n">
        <v>131.885102671032</v>
      </c>
      <c r="I34" s="16" t="n">
        <v>22.94813822412</v>
      </c>
      <c r="J34" s="15" t="n">
        <v>36.8703389334426</v>
      </c>
      <c r="K34" s="15" t="n">
        <v>6912.81427656081</v>
      </c>
      <c r="L34" s="15" t="n">
        <v>473.121433934973</v>
      </c>
      <c r="M34" s="15" t="n">
        <v>101.587945026374</v>
      </c>
      <c r="N34" s="17" t="n">
        <v>17.8744748644624</v>
      </c>
      <c r="O34" s="18" t="n">
        <v>0.258570158973736</v>
      </c>
    </row>
    <row r="35" ht="15" customHeight="1" s="12">
      <c r="A35" s="14" t="inlineStr">
        <is>
          <t>Awaran</t>
        </is>
      </c>
      <c r="B35" s="14" t="inlineStr">
        <is>
          <t>Balochistan</t>
        </is>
      </c>
      <c r="C35" s="14" t="n">
        <v>2015</v>
      </c>
      <c r="D35" s="15" t="n">
        <v>48.8762983999576</v>
      </c>
      <c r="E35" s="15" t="n">
        <v>11024.959544963</v>
      </c>
      <c r="F35" s="15" t="n">
        <v>104.6904489398</v>
      </c>
      <c r="G35" s="15" t="n">
        <v>12.5594820827246</v>
      </c>
      <c r="H35" s="15" t="n">
        <v>22.5515177626532</v>
      </c>
      <c r="I35" s="16" t="n">
        <v>46.1399870712648</v>
      </c>
      <c r="J35" s="15" t="n">
        <v>10.3607093184979</v>
      </c>
      <c r="K35" s="15" t="n">
        <v>25036.3640121515</v>
      </c>
      <c r="L35" s="15" t="n">
        <v>109.511580122197</v>
      </c>
      <c r="M35" s="15" t="n">
        <v>-60.6352817222392</v>
      </c>
      <c r="N35" s="17" t="n">
        <v>14.3557285419596</v>
      </c>
      <c r="O35" s="18" t="n">
        <v>0.0573395103817471</v>
      </c>
    </row>
    <row r="36" ht="15" customHeight="1" s="12">
      <c r="A36" s="14" t="inlineStr">
        <is>
          <t>Awaran</t>
        </is>
      </c>
      <c r="B36" s="14" t="inlineStr">
        <is>
          <t>Balochistan</t>
        </is>
      </c>
      <c r="C36" s="14" t="n">
        <v>2016</v>
      </c>
      <c r="D36" s="15" t="n">
        <v>77.4288871533987</v>
      </c>
      <c r="E36" s="15" t="n">
        <v>17465.527800249</v>
      </c>
      <c r="F36" s="15" t="n">
        <v>202.498985528946</v>
      </c>
      <c r="G36" s="15" t="n">
        <v>10.5019751787186</v>
      </c>
      <c r="H36" s="15" t="n">
        <v>41.7673339594721</v>
      </c>
      <c r="I36" s="16" t="n">
        <v>53.9428312804296</v>
      </c>
      <c r="J36" s="15" t="n">
        <v>15.243376216968</v>
      </c>
      <c r="K36" s="15" t="n">
        <v>25036.3640121515</v>
      </c>
      <c r="L36" s="15" t="n">
        <v>109.511580122197</v>
      </c>
      <c r="M36" s="15" t="n">
        <v>-32.0826929687981</v>
      </c>
      <c r="N36" s="17" t="n">
        <v>14.3910399443125</v>
      </c>
      <c r="O36" s="18" t="n">
        <v>0.057480550839282</v>
      </c>
    </row>
    <row r="37" ht="15" customHeight="1" s="12">
      <c r="A37" s="14" t="inlineStr">
        <is>
          <t>Awaran</t>
        </is>
      </c>
      <c r="B37" s="14" t="inlineStr">
        <is>
          <t>Balochistan</t>
        </is>
      </c>
      <c r="C37" s="14" t="n">
        <v>2017</v>
      </c>
      <c r="D37" s="15" t="n">
        <v>72.46048564164801</v>
      </c>
      <c r="E37" s="15" t="n">
        <v>16344.812290618</v>
      </c>
      <c r="F37" s="15" t="n">
        <v>150.769149899483</v>
      </c>
      <c r="G37" s="15" t="n">
        <v>16.4770518243313</v>
      </c>
      <c r="H37" s="15" t="n">
        <v>30.8558395927088</v>
      </c>
      <c r="I37" s="16" t="n">
        <v>42.5829875682944</v>
      </c>
      <c r="J37" s="15" t="n">
        <v>16.0673331015299</v>
      </c>
      <c r="K37" s="15" t="n">
        <v>25036.3640121515</v>
      </c>
      <c r="L37" s="15" t="n">
        <v>109.511580122197</v>
      </c>
      <c r="M37" s="15" t="n">
        <v>-37.0510944805488</v>
      </c>
      <c r="N37" s="17" t="n">
        <v>7.55232272694977</v>
      </c>
      <c r="O37" s="18" t="n">
        <v>0.0301654134892919</v>
      </c>
    </row>
    <row r="38" ht="15" customHeight="1" s="12">
      <c r="A38" s="14" t="inlineStr">
        <is>
          <t>Awaran</t>
        </is>
      </c>
      <c r="B38" s="14" t="inlineStr">
        <is>
          <t>Balochistan</t>
        </is>
      </c>
      <c r="C38" s="14" t="n">
        <v>2018</v>
      </c>
      <c r="D38" s="15" t="n">
        <v>36.7511685775128</v>
      </c>
      <c r="E38" s="15" t="n">
        <v>8289.91065324915</v>
      </c>
      <c r="F38" s="15" t="n">
        <v>86.4005822911859</v>
      </c>
      <c r="G38" s="15" t="n">
        <v>7.59197549400051</v>
      </c>
      <c r="H38" s="15" t="n">
        <v>17.2870013372121</v>
      </c>
      <c r="I38" s="16" t="n">
        <v>47.0379637065192</v>
      </c>
      <c r="J38" s="15" t="n">
        <v>9.904572322670379</v>
      </c>
      <c r="K38" s="15" t="n">
        <v>25036.3640121515</v>
      </c>
      <c r="L38" s="15" t="n">
        <v>109.511580122197</v>
      </c>
      <c r="M38" s="15" t="n">
        <v>-72.760411544684</v>
      </c>
      <c r="N38" s="17" t="n">
        <v>4.99774988727357</v>
      </c>
      <c r="O38" s="18" t="n">
        <v>0.0199619636655222</v>
      </c>
    </row>
    <row r="39" ht="15" customHeight="1" s="12">
      <c r="A39" s="14" t="inlineStr">
        <is>
          <t>Awaran</t>
        </is>
      </c>
      <c r="B39" s="14" t="inlineStr">
        <is>
          <t>Balochistan</t>
        </is>
      </c>
      <c r="C39" s="14" t="n">
        <v>2019</v>
      </c>
      <c r="D39" s="15" t="n">
        <v>115.71086939573</v>
      </c>
      <c r="E39" s="15" t="n">
        <v>26100.7419907545</v>
      </c>
      <c r="F39" s="15" t="n">
        <v>198.553900862346</v>
      </c>
      <c r="G39" s="15" t="n">
        <v>36.6918744391078</v>
      </c>
      <c r="H39" s="15" t="n">
        <v>39.2981323617114</v>
      </c>
      <c r="I39" s="16" t="n">
        <v>33.9623516502258</v>
      </c>
      <c r="J39" s="15" t="n">
        <v>20.1909075104312</v>
      </c>
      <c r="K39" s="15" t="n">
        <v>25036.3640121515</v>
      </c>
      <c r="L39" s="15" t="n">
        <v>109.511580122197</v>
      </c>
      <c r="M39" s="15" t="n">
        <v>6.19928927353337</v>
      </c>
      <c r="N39" s="17" t="n">
        <v>6.56524611786008</v>
      </c>
      <c r="O39" s="18" t="n">
        <v>0.0262228417619811</v>
      </c>
    </row>
    <row r="40" ht="15" customHeight="1" s="12">
      <c r="A40" s="14" t="inlineStr">
        <is>
          <t>Awaran</t>
        </is>
      </c>
      <c r="B40" s="14" t="inlineStr">
        <is>
          <t>Balochistan</t>
        </is>
      </c>
      <c r="C40" s="14" t="n">
        <v>2020</v>
      </c>
      <c r="D40" s="15" t="n">
        <v>141.653674081283</v>
      </c>
      <c r="E40" s="15" t="n">
        <v>31952.6248359036</v>
      </c>
      <c r="F40" s="15" t="n">
        <v>222.804758272801</v>
      </c>
      <c r="G40" s="15" t="n">
        <v>45.1922048358496</v>
      </c>
      <c r="H40" s="15" t="n">
        <v>43.5086925398952</v>
      </c>
      <c r="I40" s="16" t="n">
        <v>30.7148351937057</v>
      </c>
      <c r="J40" s="15" t="n">
        <v>29.9391342141864</v>
      </c>
      <c r="K40" s="15" t="n">
        <v>25036.3640121515</v>
      </c>
      <c r="L40" s="15" t="n">
        <v>109.511580122197</v>
      </c>
      <c r="M40" s="15" t="n">
        <v>32.1420939590863</v>
      </c>
      <c r="N40" s="17" t="n">
        <v>38.5394294641795</v>
      </c>
      <c r="O40" s="18" t="n">
        <v>0.153933811816581</v>
      </c>
    </row>
    <row r="41" ht="15" customHeight="1" s="12">
      <c r="A41" s="14" t="inlineStr">
        <is>
          <t>Awaran</t>
        </is>
      </c>
      <c r="B41" s="14" t="inlineStr">
        <is>
          <t>Balochistan</t>
        </is>
      </c>
      <c r="C41" s="14" t="n">
        <v>2021</v>
      </c>
      <c r="D41" s="15" t="n">
        <v>91.95663615446691</v>
      </c>
      <c r="E41" s="15" t="n">
        <v>20742.5322023723</v>
      </c>
      <c r="F41" s="15" t="n">
        <v>158.009810328484</v>
      </c>
      <c r="G41" s="15" t="n">
        <v>29.0883128643036</v>
      </c>
      <c r="H41" s="15" t="n">
        <v>30.7424953139257</v>
      </c>
      <c r="I41" s="16" t="n">
        <v>33.431513591129</v>
      </c>
      <c r="J41" s="15" t="n">
        <v>11.7881432545202</v>
      </c>
      <c r="K41" s="15" t="n">
        <v>25036.3640121515</v>
      </c>
      <c r="L41" s="15" t="n">
        <v>109.511580122197</v>
      </c>
      <c r="M41" s="15" t="n">
        <v>-17.5549439677299</v>
      </c>
      <c r="N41" s="17" t="n">
        <v>10.5010299253205</v>
      </c>
      <c r="O41" s="18" t="n">
        <v>0.0419431109094906</v>
      </c>
    </row>
    <row r="42" ht="15" customHeight="1" s="12">
      <c r="A42" s="14" t="inlineStr">
        <is>
          <t>Awaran</t>
        </is>
      </c>
      <c r="B42" s="14" t="inlineStr">
        <is>
          <t>Balochistan</t>
        </is>
      </c>
      <c r="C42" s="14" t="n">
        <v>2022</v>
      </c>
      <c r="D42" s="15" t="n">
        <v>324.973369496756</v>
      </c>
      <c r="E42" s="15" t="n">
        <v>73303.7969155035</v>
      </c>
      <c r="F42" s="15" t="n">
        <v>480.467345200479</v>
      </c>
      <c r="G42" s="15" t="n">
        <v>134.349714859389</v>
      </c>
      <c r="H42" s="15" t="n">
        <v>82.508620298247</v>
      </c>
      <c r="I42" s="16" t="n">
        <v>25.3893481875199</v>
      </c>
      <c r="J42" s="15" t="n">
        <v>37.5415855354659</v>
      </c>
      <c r="K42" s="15" t="n">
        <v>25036.3640121515</v>
      </c>
      <c r="L42" s="15" t="n">
        <v>109.511580122197</v>
      </c>
      <c r="M42" s="15" t="n">
        <v>215.461789374559</v>
      </c>
      <c r="N42" s="17" t="n">
        <v>56.7430207048203</v>
      </c>
      <c r="O42" s="18" t="n">
        <v>0.226642417714009</v>
      </c>
    </row>
    <row r="43" ht="15" customHeight="1" s="12">
      <c r="A43" s="14" t="inlineStr">
        <is>
          <t>Awaran</t>
        </is>
      </c>
      <c r="B43" s="14" t="inlineStr">
        <is>
          <t>Balochistan</t>
        </is>
      </c>
      <c r="C43" s="14" t="n">
        <v>2023</v>
      </c>
      <c r="D43" s="15" t="n">
        <v>76.6902669045937</v>
      </c>
      <c r="E43" s="15" t="n">
        <v>17298.9182445185</v>
      </c>
      <c r="F43" s="15" t="n">
        <v>175.132649242878</v>
      </c>
      <c r="G43" s="15" t="n">
        <v>17.646063387394</v>
      </c>
      <c r="H43" s="15" t="n">
        <v>32.9765884560355</v>
      </c>
      <c r="I43" s="16" t="n">
        <v>42.9997049000494</v>
      </c>
      <c r="J43" s="15" t="n">
        <v>16.6477920723227</v>
      </c>
      <c r="K43" s="15" t="n">
        <v>25036.3640121515</v>
      </c>
      <c r="L43" s="15" t="n">
        <v>109.511580122197</v>
      </c>
      <c r="M43" s="15" t="n">
        <v>-32.8213132176031</v>
      </c>
      <c r="N43" s="17" t="n">
        <v>25.1830874786445</v>
      </c>
      <c r="O43" s="18" t="n">
        <v>0.10058604143326</v>
      </c>
    </row>
    <row r="44" ht="15" customHeight="1" s="12">
      <c r="A44" s="14" t="inlineStr">
        <is>
          <t>Awaran</t>
        </is>
      </c>
      <c r="B44" s="14" t="inlineStr">
        <is>
          <t>Balochistan</t>
        </is>
      </c>
      <c r="C44" s="14" t="n">
        <v>2024</v>
      </c>
      <c r="D44" s="15" t="n">
        <v>121.715647115419</v>
      </c>
      <c r="E44" s="15" t="n">
        <v>27455.2314591329</v>
      </c>
      <c r="F44" s="15" t="n">
        <v>213.880985422409</v>
      </c>
      <c r="G44" s="15" t="n">
        <v>36.9596076039597</v>
      </c>
      <c r="H44" s="15" t="n">
        <v>38.6363923577115</v>
      </c>
      <c r="I44" s="16" t="n">
        <v>31.7431597936409</v>
      </c>
      <c r="J44" s="15" t="n">
        <v>29.0759909596662</v>
      </c>
      <c r="K44" s="15" t="n">
        <v>25036.3640121515</v>
      </c>
      <c r="L44" s="15" t="n">
        <v>109.511580122197</v>
      </c>
      <c r="M44" s="15" t="n">
        <v>12.204066993222</v>
      </c>
      <c r="N44" s="17" t="n">
        <v>43.5847821552931</v>
      </c>
      <c r="O44" s="18" t="n">
        <v>0.17408591013511</v>
      </c>
    </row>
    <row r="45" ht="15" customHeight="1" s="12">
      <c r="A45" s="14" t="inlineStr">
        <is>
          <t>Awaran</t>
        </is>
      </c>
      <c r="B45" s="14" t="inlineStr">
        <is>
          <t>Balochistan</t>
        </is>
      </c>
      <c r="C45" s="14" t="n">
        <v>2025</v>
      </c>
      <c r="D45" s="15" t="n">
        <v>96.4100784233988</v>
      </c>
      <c r="E45" s="15" t="n">
        <v>21747.0890624075</v>
      </c>
      <c r="F45" s="15" t="n">
        <v>190.577343427358</v>
      </c>
      <c r="G45" s="15" t="n">
        <v>24.0507161114365</v>
      </c>
      <c r="H45" s="15" t="n">
        <v>38.5241181916153</v>
      </c>
      <c r="I45" s="16" t="n">
        <v>39.9586006168681</v>
      </c>
      <c r="J45" s="15" t="n">
        <v>18.9158031988873</v>
      </c>
      <c r="K45" s="15" t="n">
        <v>25036.3640121515</v>
      </c>
      <c r="L45" s="15" t="n">
        <v>109.511580122197</v>
      </c>
      <c r="M45" s="15" t="n">
        <v>-13.101501698798</v>
      </c>
      <c r="N45" s="17" t="n">
        <v>27.5898794016637</v>
      </c>
      <c r="O45" s="18" t="n">
        <v>0.110199226166678</v>
      </c>
    </row>
    <row r="46" ht="15" customHeight="1" s="12">
      <c r="A46" s="14" t="inlineStr">
        <is>
          <t>Badin</t>
        </is>
      </c>
      <c r="B46" s="14" t="inlineStr">
        <is>
          <t>Sindh</t>
        </is>
      </c>
      <c r="C46" s="14" t="n">
        <v>2015</v>
      </c>
      <c r="D46" s="15" t="n">
        <v>196.435649578303</v>
      </c>
      <c r="E46" s="15" t="n">
        <v>11542.7128363972</v>
      </c>
      <c r="F46" s="15" t="n">
        <v>298.060591667891</v>
      </c>
      <c r="G46" s="15" t="n">
        <v>122.912148952484</v>
      </c>
      <c r="H46" s="15" t="n">
        <v>42.9601798013064</v>
      </c>
      <c r="I46" s="16" t="n">
        <v>21.869848926878</v>
      </c>
      <c r="J46" s="15" t="n">
        <v>14.2265750133476</v>
      </c>
      <c r="K46" s="15" t="n">
        <v>6589.05787063423</v>
      </c>
      <c r="L46" s="15" t="n">
        <v>257.907026647768</v>
      </c>
      <c r="M46" s="15" t="n">
        <v>-61.4713770694647</v>
      </c>
      <c r="N46" s="17" t="n">
        <v>311.765436044646</v>
      </c>
      <c r="O46" s="18" t="n">
        <v>4.7315631789198</v>
      </c>
    </row>
    <row r="47" ht="15" customHeight="1" s="12">
      <c r="A47" s="14" t="inlineStr">
        <is>
          <t>Badin</t>
        </is>
      </c>
      <c r="B47" s="14" t="inlineStr">
        <is>
          <t>Sindh</t>
        </is>
      </c>
      <c r="C47" s="14" t="n">
        <v>2016</v>
      </c>
      <c r="D47" s="15" t="n">
        <v>163.320132309087</v>
      </c>
      <c r="E47" s="15" t="n">
        <v>9596.819068703349</v>
      </c>
      <c r="F47" s="15" t="n">
        <v>207.266465991735</v>
      </c>
      <c r="G47" s="15" t="n">
        <v>127.963798046112</v>
      </c>
      <c r="H47" s="15" t="n">
        <v>20.0384803099759</v>
      </c>
      <c r="I47" s="16" t="n">
        <v>12.269448981374</v>
      </c>
      <c r="J47" s="15" t="n">
        <v>19.4464762413241</v>
      </c>
      <c r="K47" s="15" t="n">
        <v>6589.05787063423</v>
      </c>
      <c r="L47" s="15" t="n">
        <v>257.907026647768</v>
      </c>
      <c r="M47" s="15" t="n">
        <v>-94.58689433868101</v>
      </c>
      <c r="N47" s="17" t="n">
        <v>257.99730196579</v>
      </c>
      <c r="O47" s="18" t="n">
        <v>3.91554159989425</v>
      </c>
    </row>
    <row r="48" ht="15" customHeight="1" s="12">
      <c r="A48" s="14" t="inlineStr">
        <is>
          <t>Badin</t>
        </is>
      </c>
      <c r="B48" s="14" t="inlineStr">
        <is>
          <t>Sindh</t>
        </is>
      </c>
      <c r="C48" s="14" t="n">
        <v>2017</v>
      </c>
      <c r="D48" s="15" t="n">
        <v>239.504622926388</v>
      </c>
      <c r="E48" s="15" t="n">
        <v>14073.4794899176</v>
      </c>
      <c r="F48" s="15" t="n">
        <v>306.458291262388</v>
      </c>
      <c r="G48" s="15" t="n">
        <v>202.34361115098</v>
      </c>
      <c r="H48" s="15" t="n">
        <v>25.2696592251646</v>
      </c>
      <c r="I48" s="16" t="n">
        <v>10.55080228365</v>
      </c>
      <c r="J48" s="15" t="n">
        <v>30.9039642285104</v>
      </c>
      <c r="K48" s="15" t="n">
        <v>6589.05787063423</v>
      </c>
      <c r="L48" s="15" t="n">
        <v>257.907026647768</v>
      </c>
      <c r="M48" s="15" t="n">
        <v>-18.4024037213801</v>
      </c>
      <c r="N48" s="17" t="n">
        <v>200.467283995321</v>
      </c>
      <c r="O48" s="18" t="n">
        <v>3.04242712586807</v>
      </c>
    </row>
    <row r="49" ht="15" customHeight="1" s="12">
      <c r="A49" s="14" t="inlineStr">
        <is>
          <t>Badin</t>
        </is>
      </c>
      <c r="B49" s="14" t="inlineStr">
        <is>
          <t>Sindh</t>
        </is>
      </c>
      <c r="C49" s="14" t="n">
        <v>2018</v>
      </c>
      <c r="D49" s="15" t="n">
        <v>51.6776180124772</v>
      </c>
      <c r="E49" s="15" t="n">
        <v>3036.61736587827</v>
      </c>
      <c r="F49" s="15" t="n">
        <v>70.8411637339741</v>
      </c>
      <c r="G49" s="15" t="n">
        <v>38.1615399988368</v>
      </c>
      <c r="H49" s="15" t="n">
        <v>8.97923657041037</v>
      </c>
      <c r="I49" s="16" t="n">
        <v>17.3754846212966</v>
      </c>
      <c r="J49" s="15" t="n">
        <v>10.5864255205553</v>
      </c>
      <c r="K49" s="15" t="n">
        <v>6589.05787063423</v>
      </c>
      <c r="L49" s="15" t="n">
        <v>257.907026647768</v>
      </c>
      <c r="M49" s="15" t="n">
        <v>-206.22940863529</v>
      </c>
      <c r="N49" s="17" t="n">
        <v>194.39149486061</v>
      </c>
      <c r="O49" s="18" t="n">
        <v>2.95021683945081</v>
      </c>
    </row>
    <row r="50" ht="15" customHeight="1" s="12">
      <c r="A50" s="14" t="inlineStr">
        <is>
          <t>Badin</t>
        </is>
      </c>
      <c r="B50" s="14" t="inlineStr">
        <is>
          <t>Sindh</t>
        </is>
      </c>
      <c r="C50" s="14" t="n">
        <v>2019</v>
      </c>
      <c r="D50" s="15" t="n">
        <v>312.330876412592</v>
      </c>
      <c r="E50" s="15" t="n">
        <v>18352.8072633972</v>
      </c>
      <c r="F50" s="15" t="n">
        <v>374.108309313655</v>
      </c>
      <c r="G50" s="15" t="n">
        <v>267.40696315188</v>
      </c>
      <c r="H50" s="15" t="n">
        <v>19.5048755790812</v>
      </c>
      <c r="I50" s="16" t="n">
        <v>6.24493991856093</v>
      </c>
      <c r="J50" s="15" t="n">
        <v>23.5782167645488</v>
      </c>
      <c r="K50" s="15" t="n">
        <v>6589.05787063423</v>
      </c>
      <c r="L50" s="15" t="n">
        <v>257.907026647768</v>
      </c>
      <c r="M50" s="15" t="n">
        <v>54.4238497648246</v>
      </c>
      <c r="N50" s="17" t="n">
        <v>299.083980134961</v>
      </c>
      <c r="O50" s="18" t="n">
        <v>4.5391008245337</v>
      </c>
    </row>
    <row r="51" ht="15" customHeight="1" s="12">
      <c r="A51" s="14" t="inlineStr">
        <is>
          <t>Badin</t>
        </is>
      </c>
      <c r="B51" s="14" t="inlineStr">
        <is>
          <t>Sindh</t>
        </is>
      </c>
      <c r="C51" s="14" t="n">
        <v>2020</v>
      </c>
      <c r="D51" s="15" t="n">
        <v>395.214385392698</v>
      </c>
      <c r="E51" s="15" t="n">
        <v>23223.1072577419</v>
      </c>
      <c r="F51" s="15" t="n">
        <v>486.326873803923</v>
      </c>
      <c r="G51" s="15" t="n">
        <v>331.39494722939</v>
      </c>
      <c r="H51" s="15" t="n">
        <v>32.3431929111951</v>
      </c>
      <c r="I51" s="16" t="n">
        <v>8.18370841412005</v>
      </c>
      <c r="J51" s="15" t="n">
        <v>36.9241857981847</v>
      </c>
      <c r="K51" s="15" t="n">
        <v>6589.05787063423</v>
      </c>
      <c r="L51" s="15" t="n">
        <v>257.907026647768</v>
      </c>
      <c r="M51" s="15" t="n">
        <v>137.307358744931</v>
      </c>
      <c r="N51" s="17" t="n">
        <v>254.570674394105</v>
      </c>
      <c r="O51" s="18" t="n">
        <v>3.86353678161884</v>
      </c>
    </row>
    <row r="52" ht="15" customHeight="1" s="12">
      <c r="A52" s="14" t="inlineStr">
        <is>
          <t>Badin</t>
        </is>
      </c>
      <c r="B52" s="14" t="inlineStr">
        <is>
          <t>Sindh</t>
        </is>
      </c>
      <c r="C52" s="14" t="n">
        <v>2021</v>
      </c>
      <c r="D52" s="15" t="n">
        <v>263.374046907129</v>
      </c>
      <c r="E52" s="15" t="n">
        <v>15476.0655641428</v>
      </c>
      <c r="F52" s="15" t="n">
        <v>373.057722628117</v>
      </c>
      <c r="G52" s="15" t="n">
        <v>130.332755982876</v>
      </c>
      <c r="H52" s="15" t="n">
        <v>55.5961229864594</v>
      </c>
      <c r="I52" s="16" t="n">
        <v>21.1091881069298</v>
      </c>
      <c r="J52" s="15" t="n">
        <v>26.8515082754939</v>
      </c>
      <c r="K52" s="15" t="n">
        <v>6589.05787063423</v>
      </c>
      <c r="L52" s="15" t="n">
        <v>257.907026647768</v>
      </c>
      <c r="M52" s="15" t="n">
        <v>5.46702025936156</v>
      </c>
      <c r="N52" s="17" t="n">
        <v>220.797873107967</v>
      </c>
      <c r="O52" s="18" t="n">
        <v>3.35097790067997</v>
      </c>
    </row>
    <row r="53" ht="15" customHeight="1" s="12">
      <c r="A53" s="14" t="inlineStr">
        <is>
          <t>Badin</t>
        </is>
      </c>
      <c r="B53" s="14" t="inlineStr">
        <is>
          <t>Sindh</t>
        </is>
      </c>
      <c r="C53" s="14" t="n">
        <v>2022</v>
      </c>
      <c r="D53" s="15" t="n">
        <v>450.033866363736</v>
      </c>
      <c r="E53" s="15" t="n">
        <v>26444.3429552715</v>
      </c>
      <c r="F53" s="15" t="n">
        <v>611.218433221273</v>
      </c>
      <c r="G53" s="15" t="n">
        <v>372.191896317465</v>
      </c>
      <c r="H53" s="15" t="n">
        <v>48.9446195698898</v>
      </c>
      <c r="I53" s="16" t="n">
        <v>10.8757636320487</v>
      </c>
      <c r="J53" s="15" t="n">
        <v>33.6976775226909</v>
      </c>
      <c r="K53" s="15" t="n">
        <v>6589.05787063423</v>
      </c>
      <c r="L53" s="15" t="n">
        <v>257.907026647768</v>
      </c>
      <c r="M53" s="15" t="n">
        <v>192.126839715969</v>
      </c>
      <c r="N53" s="17" t="n">
        <v>304.070265746491</v>
      </c>
      <c r="O53" s="18" t="n">
        <v>4.61477606839144</v>
      </c>
    </row>
    <row r="54" ht="15" customHeight="1" s="12">
      <c r="A54" s="14" t="inlineStr">
        <is>
          <t>Badin</t>
        </is>
      </c>
      <c r="B54" s="14" t="inlineStr">
        <is>
          <t>Sindh</t>
        </is>
      </c>
      <c r="C54" s="14" t="n">
        <v>2023</v>
      </c>
      <c r="D54" s="15" t="n">
        <v>204.91396489869</v>
      </c>
      <c r="E54" s="15" t="n">
        <v>12040.9052942822</v>
      </c>
      <c r="F54" s="15" t="n">
        <v>301.694525063038</v>
      </c>
      <c r="G54" s="15" t="n">
        <v>144.260079160333</v>
      </c>
      <c r="H54" s="15" t="n">
        <v>42.6279479864871</v>
      </c>
      <c r="I54" s="16" t="n">
        <v>20.8028515809366</v>
      </c>
      <c r="J54" s="15" t="n">
        <v>18.6797250400427</v>
      </c>
      <c r="K54" s="15" t="n">
        <v>6589.05787063423</v>
      </c>
      <c r="L54" s="15" t="n">
        <v>257.907026647768</v>
      </c>
      <c r="M54" s="15" t="n">
        <v>-52.9930617490776</v>
      </c>
      <c r="N54" s="17" t="n">
        <v>218.704225573255</v>
      </c>
      <c r="O54" s="18" t="n">
        <v>3.31920328925876</v>
      </c>
    </row>
    <row r="55" ht="15" customHeight="1" s="12">
      <c r="A55" s="14" t="inlineStr">
        <is>
          <t>Badin</t>
        </is>
      </c>
      <c r="B55" s="14" t="inlineStr">
        <is>
          <t>Sindh</t>
        </is>
      </c>
      <c r="C55" s="14" t="n">
        <v>2024</v>
      </c>
      <c r="D55" s="15" t="n">
        <v>281.34880511556</v>
      </c>
      <c r="E55" s="15" t="n">
        <v>16532.2764543198</v>
      </c>
      <c r="F55" s="15" t="n">
        <v>338.524823050462</v>
      </c>
      <c r="G55" s="15" t="n">
        <v>231.906900427794</v>
      </c>
      <c r="H55" s="15" t="n">
        <v>27.2498773898691</v>
      </c>
      <c r="I55" s="16" t="n">
        <v>9.68544272959562</v>
      </c>
      <c r="J55" s="15" t="n">
        <v>29.331420181527</v>
      </c>
      <c r="K55" s="15" t="n">
        <v>6589.05787063423</v>
      </c>
      <c r="L55" s="15" t="n">
        <v>257.907026647768</v>
      </c>
      <c r="M55" s="15" t="n">
        <v>23.4417784677919</v>
      </c>
      <c r="N55" s="17" t="n">
        <v>172.763650908505</v>
      </c>
      <c r="O55" s="18" t="n">
        <v>2.62197804755167</v>
      </c>
    </row>
    <row r="56" ht="15" customHeight="1" s="12">
      <c r="A56" s="14" t="inlineStr">
        <is>
          <t>Badin</t>
        </is>
      </c>
      <c r="B56" s="14" t="inlineStr">
        <is>
          <t>Sindh</t>
        </is>
      </c>
      <c r="C56" s="14" t="n">
        <v>2025</v>
      </c>
      <c r="D56" s="15" t="n">
        <v>278.823325208785</v>
      </c>
      <c r="E56" s="15" t="n">
        <v>16383.8772742291</v>
      </c>
      <c r="F56" s="15" t="n">
        <v>401.094967035624</v>
      </c>
      <c r="G56" s="15" t="n">
        <v>207.301467792194</v>
      </c>
      <c r="H56" s="15" t="n">
        <v>43.077629639414</v>
      </c>
      <c r="I56" s="16" t="n">
        <v>15.449794097089</v>
      </c>
      <c r="J56" s="15" t="n">
        <v>20.6516951414843</v>
      </c>
      <c r="K56" s="15" t="n">
        <v>6589.05787063423</v>
      </c>
      <c r="L56" s="15" t="n">
        <v>257.907026647768</v>
      </c>
      <c r="M56" s="15" t="n">
        <v>20.9162985610169</v>
      </c>
      <c r="N56" s="17" t="n">
        <v>183.717684180349</v>
      </c>
      <c r="O56" s="18" t="n">
        <v>2.78822386731694</v>
      </c>
    </row>
    <row r="57" ht="15" customHeight="1" s="12">
      <c r="A57" s="14" t="inlineStr">
        <is>
          <t>Bagh</t>
        </is>
      </c>
      <c r="B57" s="14" t="inlineStr">
        <is>
          <t>Azad Kashmir</t>
        </is>
      </c>
      <c r="C57" s="14" t="n">
        <v>2015</v>
      </c>
      <c r="D57" s="15" t="n">
        <v>674.524784607315</v>
      </c>
      <c r="E57" s="15" t="n">
        <v>4576.18775439473</v>
      </c>
      <c r="F57" s="15" t="n">
        <v>828.494063675404</v>
      </c>
      <c r="G57" s="15" t="n">
        <v>513.004996299744</v>
      </c>
      <c r="H57" s="15" t="n">
        <v>76.4554140511918</v>
      </c>
      <c r="I57" s="16" t="n">
        <v>11.3347079004223</v>
      </c>
      <c r="J57" s="15" t="n">
        <v>33.3520231213873</v>
      </c>
      <c r="K57" s="15" t="n">
        <v>694.618677121746</v>
      </c>
      <c r="L57" s="15" t="n">
        <v>654.091295639089</v>
      </c>
      <c r="M57" s="15" t="n">
        <v>20.433488968226</v>
      </c>
      <c r="N57" s="17" t="n">
        <v>0.0857931162422928</v>
      </c>
      <c r="O57" s="18" t="n">
        <v>0.012351109906487</v>
      </c>
    </row>
    <row r="58" ht="15" customHeight="1" s="12">
      <c r="A58" s="14" t="inlineStr">
        <is>
          <t>Bagh</t>
        </is>
      </c>
      <c r="B58" s="14" t="inlineStr">
        <is>
          <t>Azad Kashmir</t>
        </is>
      </c>
      <c r="C58" s="14" t="n">
        <v>2016</v>
      </c>
      <c r="D58" s="15" t="n">
        <v>602.414487060095</v>
      </c>
      <c r="E58" s="15" t="n">
        <v>4086.96887299594</v>
      </c>
      <c r="F58" s="15" t="n">
        <v>742.411148548126</v>
      </c>
      <c r="G58" s="15" t="n">
        <v>441.805027484894</v>
      </c>
      <c r="H58" s="15" t="n">
        <v>73.47217532588159</v>
      </c>
      <c r="I58" s="16" t="n">
        <v>12.1962829420721</v>
      </c>
      <c r="J58" s="15" t="n">
        <v>26.8075144508671</v>
      </c>
      <c r="K58" s="15" t="n">
        <v>694.618677121746</v>
      </c>
      <c r="L58" s="15" t="n">
        <v>654.091295639089</v>
      </c>
      <c r="M58" s="15" t="n">
        <v>-51.6768085789944</v>
      </c>
      <c r="N58" s="17" t="n">
        <v>0.375295674033491</v>
      </c>
      <c r="O58" s="18" t="n">
        <v>0.0540290214464983</v>
      </c>
    </row>
    <row r="59" ht="15" customHeight="1" s="12">
      <c r="A59" s="14" t="inlineStr">
        <is>
          <t>Bagh</t>
        </is>
      </c>
      <c r="B59" s="14" t="inlineStr">
        <is>
          <t>Azad Kashmir</t>
        </is>
      </c>
      <c r="C59" s="14" t="n">
        <v>2017</v>
      </c>
      <c r="D59" s="15" t="n">
        <v>511.679739212783</v>
      </c>
      <c r="E59" s="15" t="n">
        <v>3471.39587779653</v>
      </c>
      <c r="F59" s="15" t="n">
        <v>646.399202346802</v>
      </c>
      <c r="G59" s="15" t="n">
        <v>400.825356006622</v>
      </c>
      <c r="H59" s="15" t="n">
        <v>63.8566463354896</v>
      </c>
      <c r="I59" s="16" t="n">
        <v>12.4798074736617</v>
      </c>
      <c r="J59" s="15" t="n">
        <v>37.5838150289017</v>
      </c>
      <c r="K59" s="15" t="n">
        <v>694.618677121746</v>
      </c>
      <c r="L59" s="15" t="n">
        <v>654.091295639089</v>
      </c>
      <c r="M59" s="15" t="n">
        <v>-142.411556426306</v>
      </c>
      <c r="N59" s="17" t="n">
        <v>0.0370297713031843</v>
      </c>
      <c r="O59" s="18" t="n">
        <v>0.00533094955877412</v>
      </c>
    </row>
    <row r="60" ht="15" customHeight="1" s="12">
      <c r="A60" s="14" t="inlineStr">
        <is>
          <t>Bagh</t>
        </is>
      </c>
      <c r="B60" s="14" t="inlineStr">
        <is>
          <t>Azad Kashmir</t>
        </is>
      </c>
      <c r="C60" s="14" t="n">
        <v>2018</v>
      </c>
      <c r="D60" s="15" t="n">
        <v>577.892187012861</v>
      </c>
      <c r="E60" s="15" t="n">
        <v>3920.6018962049</v>
      </c>
      <c r="F60" s="15" t="n">
        <v>758.692064285278</v>
      </c>
      <c r="G60" s="15" t="n">
        <v>425.824083089829</v>
      </c>
      <c r="H60" s="15" t="n">
        <v>87.9865133461727</v>
      </c>
      <c r="I60" s="16" t="n">
        <v>15.2254201256773</v>
      </c>
      <c r="J60" s="15" t="n">
        <v>27.5121387283237</v>
      </c>
      <c r="K60" s="15" t="n">
        <v>694.618677121746</v>
      </c>
      <c r="L60" s="15" t="n">
        <v>654.091295639089</v>
      </c>
      <c r="M60" s="15" t="n">
        <v>-76.1991086262281</v>
      </c>
      <c r="N60" s="17" t="n">
        <v>0.0447417456763174</v>
      </c>
      <c r="O60" s="18" t="n">
        <v>0.00644119531333528</v>
      </c>
    </row>
    <row r="61" ht="15" customHeight="1" s="12">
      <c r="A61" s="14" t="inlineStr">
        <is>
          <t>Bagh</t>
        </is>
      </c>
      <c r="B61" s="14" t="inlineStr">
        <is>
          <t>Azad Kashmir</t>
        </is>
      </c>
      <c r="C61" s="14" t="n">
        <v>2019</v>
      </c>
      <c r="D61" s="15" t="n">
        <v>638.990671851772</v>
      </c>
      <c r="E61" s="15" t="n">
        <v>4335.11318550418</v>
      </c>
      <c r="F61" s="15" t="n">
        <v>772.30121013429</v>
      </c>
      <c r="G61" s="15" t="n">
        <v>491.719695448875</v>
      </c>
      <c r="H61" s="15" t="n">
        <v>72.041201771166</v>
      </c>
      <c r="I61" s="16" t="n">
        <v>11.2742180668136</v>
      </c>
      <c r="J61" s="15" t="n">
        <v>28.1265895953757</v>
      </c>
      <c r="K61" s="15" t="n">
        <v>694.618677121746</v>
      </c>
      <c r="L61" s="15" t="n">
        <v>654.091295639089</v>
      </c>
      <c r="M61" s="15" t="n">
        <v>-15.1006237873174</v>
      </c>
      <c r="N61" s="17" t="n">
        <v>0.0269580510711071</v>
      </c>
      <c r="O61" s="18" t="n">
        <v>0.00388098563413407</v>
      </c>
    </row>
    <row r="62" ht="15" customHeight="1" s="12">
      <c r="A62" s="14" t="inlineStr">
        <is>
          <t>Bagh</t>
        </is>
      </c>
      <c r="B62" s="14" t="inlineStr">
        <is>
          <t>Azad Kashmir</t>
        </is>
      </c>
      <c r="C62" s="14" t="n">
        <v>2020</v>
      </c>
      <c r="D62" s="15" t="n">
        <v>647.508843134819</v>
      </c>
      <c r="E62" s="15" t="n">
        <v>4392.90313185583</v>
      </c>
      <c r="F62" s="15" t="n">
        <v>766.778105309408</v>
      </c>
      <c r="G62" s="15" t="n">
        <v>521.141148985731</v>
      </c>
      <c r="H62" s="15" t="n">
        <v>64.403921620227</v>
      </c>
      <c r="I62" s="16" t="n">
        <v>9.94641575988752</v>
      </c>
      <c r="J62" s="15" t="n">
        <v>35.6225433526012</v>
      </c>
      <c r="K62" s="15" t="n">
        <v>694.618677121746</v>
      </c>
      <c r="L62" s="15" t="n">
        <v>654.091295639089</v>
      </c>
      <c r="M62" s="15" t="n">
        <v>-6.58245250427058</v>
      </c>
      <c r="N62" s="17" t="n">
        <v>0.0264751073622759</v>
      </c>
      <c r="O62" s="18" t="n">
        <v>0.00381145918390496</v>
      </c>
    </row>
    <row r="63" ht="15" customHeight="1" s="12">
      <c r="A63" s="14" t="inlineStr">
        <is>
          <t>Bagh</t>
        </is>
      </c>
      <c r="B63" s="14" t="inlineStr">
        <is>
          <t>Azad Kashmir</t>
        </is>
      </c>
      <c r="C63" s="14" t="n">
        <v>2021</v>
      </c>
      <c r="D63" s="15" t="n">
        <v>796.053179469274</v>
      </c>
      <c r="E63" s="15" t="n">
        <v>5400.67451169351</v>
      </c>
      <c r="F63" s="15" t="n">
        <v>966.29545879364</v>
      </c>
      <c r="G63" s="15" t="n">
        <v>620.229176998138</v>
      </c>
      <c r="H63" s="15" t="n">
        <v>84.788767549729</v>
      </c>
      <c r="I63" s="16" t="n">
        <v>10.65114363418</v>
      </c>
      <c r="J63" s="15" t="n">
        <v>21.2485549132948</v>
      </c>
      <c r="K63" s="15" t="n">
        <v>694.618677121746</v>
      </c>
      <c r="L63" s="15" t="n">
        <v>654.091295639089</v>
      </c>
      <c r="M63" s="15" t="n">
        <v>141.961883830185</v>
      </c>
      <c r="N63" s="17" t="n">
        <v>0.043283452005304</v>
      </c>
      <c r="O63" s="18" t="n">
        <v>0.00623125369802254</v>
      </c>
    </row>
    <row r="64" ht="15" customHeight="1" s="12">
      <c r="A64" s="14" t="inlineStr">
        <is>
          <t>Bagh</t>
        </is>
      </c>
      <c r="B64" s="14" t="inlineStr">
        <is>
          <t>Azad Kashmir</t>
        </is>
      </c>
      <c r="C64" s="14" t="n">
        <v>2022</v>
      </c>
      <c r="D64" s="15" t="n">
        <v>604.569713333163</v>
      </c>
      <c r="E64" s="15" t="n">
        <v>4101.59060418185</v>
      </c>
      <c r="F64" s="15" t="n">
        <v>760.694561719894</v>
      </c>
      <c r="G64" s="15" t="n">
        <v>443.187643885613</v>
      </c>
      <c r="H64" s="15" t="n">
        <v>87.2796936409088</v>
      </c>
      <c r="I64" s="16" t="n">
        <v>14.4366632525654</v>
      </c>
      <c r="J64" s="15" t="n">
        <v>33.835838150289</v>
      </c>
      <c r="K64" s="15" t="n">
        <v>694.618677121746</v>
      </c>
      <c r="L64" s="15" t="n">
        <v>654.091295639089</v>
      </c>
      <c r="M64" s="15" t="n">
        <v>-49.5215823059264</v>
      </c>
      <c r="N64" s="17" t="n">
        <v>0.0199091398650524</v>
      </c>
      <c r="O64" s="18" t="n">
        <v>0.00286619702590619</v>
      </c>
    </row>
    <row r="65" ht="15" customHeight="1" s="12">
      <c r="A65" s="14" t="inlineStr">
        <is>
          <t>Bagh</t>
        </is>
      </c>
      <c r="B65" s="14" t="inlineStr">
        <is>
          <t>Azad Kashmir</t>
        </is>
      </c>
      <c r="C65" s="14" t="n">
        <v>2023</v>
      </c>
      <c r="D65" s="15" t="n">
        <v>730.907652451331</v>
      </c>
      <c r="E65" s="15" t="n">
        <v>4958.70681859138</v>
      </c>
      <c r="F65" s="15" t="n">
        <v>893.367023468018</v>
      </c>
      <c r="G65" s="15" t="n">
        <v>570.110404491425</v>
      </c>
      <c r="H65" s="15" t="n">
        <v>83.73310776238711</v>
      </c>
      <c r="I65" s="16" t="n">
        <v>11.4560447522422</v>
      </c>
      <c r="J65" s="15" t="n">
        <v>25.9271676300578</v>
      </c>
      <c r="K65" s="15" t="n">
        <v>694.618677121746</v>
      </c>
      <c r="L65" s="15" t="n">
        <v>654.091295639089</v>
      </c>
      <c r="M65" s="15" t="n">
        <v>76.8163568122412</v>
      </c>
      <c r="N65" s="17" t="n">
        <v>0.0444254279923981</v>
      </c>
      <c r="O65" s="18" t="n">
        <v>0.0063956569921905</v>
      </c>
    </row>
    <row r="66" ht="15" customHeight="1" s="12">
      <c r="A66" s="14" t="inlineStr">
        <is>
          <t>Bagh</t>
        </is>
      </c>
      <c r="B66" s="14" t="inlineStr">
        <is>
          <t>Azad Kashmir</t>
        </is>
      </c>
      <c r="C66" s="14" t="n">
        <v>2024</v>
      </c>
      <c r="D66" s="15" t="n">
        <v>557.295236565306</v>
      </c>
      <c r="E66" s="15" t="n">
        <v>3780.86572258031</v>
      </c>
      <c r="F66" s="15" t="n">
        <v>724.963340267539</v>
      </c>
      <c r="G66" s="15" t="n">
        <v>416.52907975018</v>
      </c>
      <c r="H66" s="15" t="n">
        <v>88.59713183519359</v>
      </c>
      <c r="I66" s="16" t="n">
        <v>15.8977012581753</v>
      </c>
      <c r="J66" s="15" t="n">
        <v>31.6312138728324</v>
      </c>
      <c r="K66" s="15" t="n">
        <v>694.618677121746</v>
      </c>
      <c r="L66" s="15" t="n">
        <v>654.091295639089</v>
      </c>
      <c r="M66" s="15" t="n">
        <v>-96.7960590737831</v>
      </c>
      <c r="N66" s="17" t="n">
        <v>0.0223972481952742</v>
      </c>
      <c r="O66" s="18" t="n">
        <v>0.00322439475541897</v>
      </c>
    </row>
    <row r="67" ht="15" customHeight="1" s="12">
      <c r="A67" s="14" t="inlineStr">
        <is>
          <t>Bagh</t>
        </is>
      </c>
      <c r="B67" s="14" t="inlineStr">
        <is>
          <t>Azad Kashmir</t>
        </is>
      </c>
      <c r="C67" s="14" t="n">
        <v>2025</v>
      </c>
      <c r="D67" s="15" t="n">
        <v>853.1677573312641</v>
      </c>
      <c r="E67" s="15" t="n">
        <v>5788.15772620818</v>
      </c>
      <c r="F67" s="15" t="n">
        <v>1075.57432222366</v>
      </c>
      <c r="G67" s="15" t="n">
        <v>607.329157829285</v>
      </c>
      <c r="H67" s="15" t="n">
        <v>120.213442916281</v>
      </c>
      <c r="I67" s="16" t="n">
        <v>14.090246834024</v>
      </c>
      <c r="J67" s="15" t="n">
        <v>48.2670520231214</v>
      </c>
      <c r="K67" s="15" t="n">
        <v>694.618677121746</v>
      </c>
      <c r="L67" s="15" t="n">
        <v>654.091295639089</v>
      </c>
      <c r="M67" s="15" t="n">
        <v>199.076461692174</v>
      </c>
      <c r="N67" s="17" t="n">
        <v>0.0263551065649892</v>
      </c>
      <c r="O67" s="18" t="n">
        <v>0.00379418340350355</v>
      </c>
    </row>
    <row r="68" ht="15" customHeight="1" s="12">
      <c r="A68" s="14" t="inlineStr">
        <is>
          <t>Bahawalnagar</t>
        </is>
      </c>
      <c r="B68" s="14" t="inlineStr">
        <is>
          <t>Punjab</t>
        </is>
      </c>
      <c r="C68" s="14" t="n">
        <v>2015</v>
      </c>
      <c r="D68" s="15" t="n">
        <v>209.538544492471</v>
      </c>
      <c r="E68" s="15" t="n">
        <v>16699.8111361588</v>
      </c>
      <c r="F68" s="15" t="n">
        <v>261.465194225311</v>
      </c>
      <c r="G68" s="15" t="n">
        <v>171.521929502487</v>
      </c>
      <c r="H68" s="15" t="n">
        <v>19.6498320718723</v>
      </c>
      <c r="I68" s="16" t="n">
        <v>9.37766944953575</v>
      </c>
      <c r="J68" s="15" t="n">
        <v>22.4803424691237</v>
      </c>
      <c r="K68" s="15" t="n">
        <v>8587.11123374098</v>
      </c>
      <c r="L68" s="15" t="n">
        <v>214.889897090318</v>
      </c>
      <c r="M68" s="15" t="n">
        <v>-5.35135259784642</v>
      </c>
      <c r="N68" s="17" t="n">
        <v>7.9015871673182</v>
      </c>
      <c r="O68" s="18" t="n">
        <v>0.0920168255917173</v>
      </c>
    </row>
    <row r="69" ht="15" customHeight="1" s="12">
      <c r="A69" s="14" t="inlineStr">
        <is>
          <t>Bahawalnagar</t>
        </is>
      </c>
      <c r="B69" s="14" t="inlineStr">
        <is>
          <t>Punjab</t>
        </is>
      </c>
      <c r="C69" s="14" t="n">
        <v>2016</v>
      </c>
      <c r="D69" s="15" t="n">
        <v>187.561636844436</v>
      </c>
      <c r="E69" s="15" t="n">
        <v>14948.2946885862</v>
      </c>
      <c r="F69" s="15" t="n">
        <v>291.27735054493</v>
      </c>
      <c r="G69" s="15" t="n">
        <v>122.261920213699</v>
      </c>
      <c r="H69" s="15" t="n">
        <v>34.5995437371245</v>
      </c>
      <c r="I69" s="16" t="n">
        <v>18.4470259053142</v>
      </c>
      <c r="J69" s="15" t="n">
        <v>22.9723466023717</v>
      </c>
      <c r="K69" s="15" t="n">
        <v>8587.11123374098</v>
      </c>
      <c r="L69" s="15" t="n">
        <v>214.889897090318</v>
      </c>
      <c r="M69" s="15" t="n">
        <v>-27.3282602458815</v>
      </c>
      <c r="N69" s="17" t="n">
        <v>8.48714933436854</v>
      </c>
      <c r="O69" s="18" t="n">
        <v>0.0988359077150455</v>
      </c>
    </row>
    <row r="70" ht="15" customHeight="1" s="12">
      <c r="A70" s="14" t="inlineStr">
        <is>
          <t>Bahawalnagar</t>
        </is>
      </c>
      <c r="B70" s="14" t="inlineStr">
        <is>
          <t>Punjab</t>
        </is>
      </c>
      <c r="C70" s="14" t="n">
        <v>2017</v>
      </c>
      <c r="D70" s="15" t="n">
        <v>184.201590638029</v>
      </c>
      <c r="E70" s="15" t="n">
        <v>14680.5055942614</v>
      </c>
      <c r="F70" s="15" t="n">
        <v>268.691104412079</v>
      </c>
      <c r="G70" s="15" t="n">
        <v>138.139422535896</v>
      </c>
      <c r="H70" s="15" t="n">
        <v>24.8214695099787</v>
      </c>
      <c r="I70" s="16" t="n">
        <v>13.4751656725673</v>
      </c>
      <c r="J70" s="15" t="n">
        <v>20.1769915858879</v>
      </c>
      <c r="K70" s="15" t="n">
        <v>8587.11123374098</v>
      </c>
      <c r="L70" s="15" t="n">
        <v>214.889897090318</v>
      </c>
      <c r="M70" s="15" t="n">
        <v>-30.6883064522883</v>
      </c>
      <c r="N70" s="17" t="n">
        <v>5.05661047361391</v>
      </c>
      <c r="O70" s="18" t="n">
        <v>0.0588860483575102</v>
      </c>
    </row>
    <row r="71" ht="15" customHeight="1" s="12">
      <c r="A71" s="14" t="inlineStr">
        <is>
          <t>Bahawalnagar</t>
        </is>
      </c>
      <c r="B71" s="14" t="inlineStr">
        <is>
          <t>Punjab</t>
        </is>
      </c>
      <c r="C71" s="14" t="n">
        <v>2018</v>
      </c>
      <c r="D71" s="15" t="n">
        <v>167.31338907226</v>
      </c>
      <c r="E71" s="15" t="n">
        <v>13334.5490435903</v>
      </c>
      <c r="F71" s="15" t="n">
        <v>305.431056216359</v>
      </c>
      <c r="G71" s="15" t="n">
        <v>110.75040653348</v>
      </c>
      <c r="H71" s="15" t="n">
        <v>37.265660609396</v>
      </c>
      <c r="I71" s="16" t="n">
        <v>22.2729697940083</v>
      </c>
      <c r="J71" s="15" t="n">
        <v>20.9025734389608</v>
      </c>
      <c r="K71" s="15" t="n">
        <v>8587.11123374098</v>
      </c>
      <c r="L71" s="15" t="n">
        <v>214.889897090318</v>
      </c>
      <c r="M71" s="15" t="n">
        <v>-47.5765080180576</v>
      </c>
      <c r="N71" s="17" t="n">
        <v>3.82657798227707</v>
      </c>
      <c r="O71" s="18" t="n">
        <v>0.0445618774244062</v>
      </c>
    </row>
    <row r="72" ht="15" customHeight="1" s="12">
      <c r="A72" s="14" t="inlineStr">
        <is>
          <t>Bahawalnagar</t>
        </is>
      </c>
      <c r="B72" s="14" t="inlineStr">
        <is>
          <t>Punjab</t>
        </is>
      </c>
      <c r="C72" s="14" t="n">
        <v>2019</v>
      </c>
      <c r="D72" s="15" t="n">
        <v>134.402335070268</v>
      </c>
      <c r="E72" s="15" t="n">
        <v>10711.60257111</v>
      </c>
      <c r="F72" s="15" t="n">
        <v>189.307496786118</v>
      </c>
      <c r="G72" s="15" t="n">
        <v>97.020641297102</v>
      </c>
      <c r="H72" s="15" t="n">
        <v>20.5177742372143</v>
      </c>
      <c r="I72" s="16" t="n">
        <v>15.2659358384564</v>
      </c>
      <c r="J72" s="15" t="n">
        <v>16.8669979825813</v>
      </c>
      <c r="K72" s="15" t="n">
        <v>8587.11123374098</v>
      </c>
      <c r="L72" s="15" t="n">
        <v>214.889897090318</v>
      </c>
      <c r="M72" s="15" t="n">
        <v>-80.4875620200495</v>
      </c>
      <c r="N72" s="17" t="n">
        <v>5.65996226427912</v>
      </c>
      <c r="O72" s="18" t="n">
        <v>0.065912297048624</v>
      </c>
    </row>
    <row r="73" ht="15" customHeight="1" s="12">
      <c r="A73" s="14" t="inlineStr">
        <is>
          <t>Bahawalnagar</t>
        </is>
      </c>
      <c r="B73" s="14" t="inlineStr">
        <is>
          <t>Punjab</t>
        </is>
      </c>
      <c r="C73" s="14" t="n">
        <v>2020</v>
      </c>
      <c r="D73" s="15" t="n">
        <v>192.903446732433</v>
      </c>
      <c r="E73" s="15" t="n">
        <v>15374.0264625225</v>
      </c>
      <c r="F73" s="15" t="n">
        <v>271.966182913631</v>
      </c>
      <c r="G73" s="15" t="n">
        <v>148.426424918845</v>
      </c>
      <c r="H73" s="15" t="n">
        <v>22.5780714800512</v>
      </c>
      <c r="I73" s="16" t="n">
        <v>11.7043380315376</v>
      </c>
      <c r="J73" s="15" t="n">
        <v>21.1584903803572</v>
      </c>
      <c r="K73" s="15" t="n">
        <v>8587.11123374098</v>
      </c>
      <c r="L73" s="15" t="n">
        <v>214.889897090318</v>
      </c>
      <c r="M73" s="15" t="n">
        <v>-21.9864503578841</v>
      </c>
      <c r="N73" s="17" t="n">
        <v>2.36159123807254</v>
      </c>
      <c r="O73" s="18" t="n">
        <v>0.0275015796790105</v>
      </c>
    </row>
    <row r="74" ht="15" customHeight="1" s="12">
      <c r="A74" s="14" t="inlineStr">
        <is>
          <t>Bahawalnagar</t>
        </is>
      </c>
      <c r="B74" s="14" t="inlineStr">
        <is>
          <t>Punjab</t>
        </is>
      </c>
      <c r="C74" s="14" t="n">
        <v>2021</v>
      </c>
      <c r="D74" s="15" t="n">
        <v>134.96393247332</v>
      </c>
      <c r="E74" s="15" t="n">
        <v>10756.3607829619</v>
      </c>
      <c r="F74" s="15" t="n">
        <v>232.980577349663</v>
      </c>
      <c r="G74" s="15" t="n">
        <v>94.9241410493851</v>
      </c>
      <c r="H74" s="15" t="n">
        <v>26.5847786065069</v>
      </c>
      <c r="I74" s="16" t="n">
        <v>19.6976911677957</v>
      </c>
      <c r="J74" s="15" t="n">
        <v>16.8491364463908</v>
      </c>
      <c r="K74" s="15" t="n">
        <v>8587.11123374098</v>
      </c>
      <c r="L74" s="15" t="n">
        <v>214.889897090318</v>
      </c>
      <c r="M74" s="15" t="n">
        <v>-79.9259646169978</v>
      </c>
      <c r="N74" s="17" t="n">
        <v>2.57695667660678</v>
      </c>
      <c r="O74" s="18" t="n">
        <v>0.0300095877002414</v>
      </c>
    </row>
    <row r="75" ht="15" customHeight="1" s="12">
      <c r="A75" s="14" t="inlineStr">
        <is>
          <t>Bahawalnagar</t>
        </is>
      </c>
      <c r="B75" s="14" t="inlineStr">
        <is>
          <t>Punjab</t>
        </is>
      </c>
      <c r="C75" s="14" t="n">
        <v>2022</v>
      </c>
      <c r="D75" s="15" t="n">
        <v>323.110832164539</v>
      </c>
      <c r="E75" s="15" t="n">
        <v>25751.2997728624</v>
      </c>
      <c r="F75" s="15" t="n">
        <v>565.071660688479</v>
      </c>
      <c r="G75" s="15" t="n">
        <v>227.804239690304</v>
      </c>
      <c r="H75" s="15" t="n">
        <v>63.1582624610093</v>
      </c>
      <c r="I75" s="16" t="n">
        <v>19.5469344181092</v>
      </c>
      <c r="J75" s="15" t="n">
        <v>31.7531368400335</v>
      </c>
      <c r="K75" s="15" t="n">
        <v>8587.11123374098</v>
      </c>
      <c r="L75" s="15" t="n">
        <v>214.889897090318</v>
      </c>
      <c r="M75" s="15" t="n">
        <v>108.220935074221</v>
      </c>
      <c r="N75" s="17" t="n">
        <v>9.42765065641875</v>
      </c>
      <c r="O75" s="18" t="n">
        <v>0.109788384007128</v>
      </c>
    </row>
    <row r="76" ht="15" customHeight="1" s="12">
      <c r="A76" s="14" t="inlineStr">
        <is>
          <t>Bahawalnagar</t>
        </is>
      </c>
      <c r="B76" s="14" t="inlineStr">
        <is>
          <t>Punjab</t>
        </is>
      </c>
      <c r="C76" s="14" t="n">
        <v>2023</v>
      </c>
      <c r="D76" s="15" t="n">
        <v>219.14954847047</v>
      </c>
      <c r="E76" s="15" t="n">
        <v>17465.7893080994</v>
      </c>
      <c r="F76" s="15" t="n">
        <v>313.666468441486</v>
      </c>
      <c r="G76" s="15" t="n">
        <v>159.704497247934</v>
      </c>
      <c r="H76" s="15" t="n">
        <v>31.0515591288356</v>
      </c>
      <c r="I76" s="16" t="n">
        <v>14.1691184606843</v>
      </c>
      <c r="J76" s="15" t="n">
        <v>19.8291098755105</v>
      </c>
      <c r="K76" s="15" t="n">
        <v>8587.11123374098</v>
      </c>
      <c r="L76" s="15" t="n">
        <v>214.889897090318</v>
      </c>
      <c r="M76" s="15" t="n">
        <v>4.25965138015209</v>
      </c>
      <c r="N76" s="17" t="n">
        <v>7.72887977370318</v>
      </c>
      <c r="O76" s="18" t="n">
        <v>0.09000558585213631</v>
      </c>
    </row>
    <row r="77" ht="15" customHeight="1" s="12">
      <c r="A77" s="14" t="inlineStr">
        <is>
          <t>Bahawalnagar</t>
        </is>
      </c>
      <c r="B77" s="14" t="inlineStr">
        <is>
          <t>Punjab</t>
        </is>
      </c>
      <c r="C77" s="14" t="n">
        <v>2024</v>
      </c>
      <c r="D77" s="15" t="n">
        <v>288.6231536449</v>
      </c>
      <c r="E77" s="15" t="n">
        <v>23002.6994177463</v>
      </c>
      <c r="F77" s="15" t="n">
        <v>414.928059955687</v>
      </c>
      <c r="G77" s="15" t="n">
        <v>197.820474654611</v>
      </c>
      <c r="H77" s="15" t="n">
        <v>43.0122610466613</v>
      </c>
      <c r="I77" s="16" t="n">
        <v>14.9025677612754</v>
      </c>
      <c r="J77" s="15" t="n">
        <v>30.2955764404862</v>
      </c>
      <c r="K77" s="15" t="n">
        <v>8587.11123374098</v>
      </c>
      <c r="L77" s="15" t="n">
        <v>214.889897090318</v>
      </c>
      <c r="M77" s="15" t="n">
        <v>73.7332565545827</v>
      </c>
      <c r="N77" s="17" t="n">
        <v>6.35905102046329</v>
      </c>
      <c r="O77" s="18" t="n">
        <v>0.07405343714981751</v>
      </c>
    </row>
    <row r="78" ht="15" customHeight="1" s="12">
      <c r="A78" s="14" t="inlineStr">
        <is>
          <t>Bahawalnagar</t>
        </is>
      </c>
      <c r="B78" s="14" t="inlineStr">
        <is>
          <t>Punjab</t>
        </is>
      </c>
      <c r="C78" s="14" t="n">
        <v>2025</v>
      </c>
      <c r="D78" s="15" t="n">
        <v>322.020458390366</v>
      </c>
      <c r="E78" s="15" t="n">
        <v>25664.3991210487</v>
      </c>
      <c r="F78" s="15" t="n">
        <v>481.131702390263</v>
      </c>
      <c r="G78" s="15" t="n">
        <v>233.960786659765</v>
      </c>
      <c r="H78" s="15" t="n">
        <v>50.8816054893375</v>
      </c>
      <c r="I78" s="16" t="n">
        <v>15.8007369294707</v>
      </c>
      <c r="J78" s="15" t="n">
        <v>27.6040446784432</v>
      </c>
      <c r="K78" s="15" t="n">
        <v>8587.11123374098</v>
      </c>
      <c r="L78" s="15" t="n">
        <v>214.889897090318</v>
      </c>
      <c r="M78" s="15" t="n">
        <v>107.130561300049</v>
      </c>
      <c r="N78" s="17" t="n">
        <v>9.574449145095871</v>
      </c>
      <c r="O78" s="18" t="n">
        <v>0.111497905226561</v>
      </c>
    </row>
    <row r="79" ht="15" customHeight="1" s="12">
      <c r="A79" s="14" t="inlineStr">
        <is>
          <t>Bahawalpur</t>
        </is>
      </c>
      <c r="B79" s="14" t="inlineStr">
        <is>
          <t>Punjab</t>
        </is>
      </c>
      <c r="C79" s="14" t="n">
        <v>2015</v>
      </c>
      <c r="D79" s="15" t="n">
        <v>199.288472988781</v>
      </c>
      <c r="E79" s="15" t="n">
        <v>44146.6951458442</v>
      </c>
      <c r="F79" s="15" t="n">
        <v>252.302409410477</v>
      </c>
      <c r="G79" s="15" t="n">
        <v>128.537600040436</v>
      </c>
      <c r="H79" s="15" t="n">
        <v>27.1555320536062</v>
      </c>
      <c r="I79" s="16" t="n">
        <v>13.6262432273917</v>
      </c>
      <c r="J79" s="15" t="n">
        <v>19.6715939668602</v>
      </c>
      <c r="K79" s="15" t="n">
        <v>23998.7913570244</v>
      </c>
      <c r="L79" s="15" t="n">
        <v>219.458730876642</v>
      </c>
      <c r="M79" s="15" t="n">
        <v>-20.1702578878604</v>
      </c>
      <c r="N79" s="17" t="n">
        <v>8.493707606842399</v>
      </c>
      <c r="O79" s="18" t="n">
        <v>0.0353922307189704</v>
      </c>
    </row>
    <row r="80" ht="15" customHeight="1" s="12">
      <c r="A80" s="14" t="inlineStr">
        <is>
          <t>Bahawalpur</t>
        </is>
      </c>
      <c r="B80" s="14" t="inlineStr">
        <is>
          <t>Punjab</t>
        </is>
      </c>
      <c r="C80" s="14" t="n">
        <v>2016</v>
      </c>
      <c r="D80" s="15" t="n">
        <v>218.942276410968</v>
      </c>
      <c r="E80" s="15" t="n">
        <v>48500.4365094225</v>
      </c>
      <c r="F80" s="15" t="n">
        <v>303.276764690876</v>
      </c>
      <c r="G80" s="15" t="n">
        <v>112.922366321087</v>
      </c>
      <c r="H80" s="15" t="n">
        <v>46.0528639408653</v>
      </c>
      <c r="I80" s="16" t="n">
        <v>21.03424916183</v>
      </c>
      <c r="J80" s="15" t="n">
        <v>24.6288769296134</v>
      </c>
      <c r="K80" s="15" t="n">
        <v>23998.7913570244</v>
      </c>
      <c r="L80" s="15" t="n">
        <v>219.458730876642</v>
      </c>
      <c r="M80" s="15" t="n">
        <v>-0.51645446567403</v>
      </c>
      <c r="N80" s="17" t="n">
        <v>13.0678837876264</v>
      </c>
      <c r="O80" s="18" t="n">
        <v>0.0544522580042409</v>
      </c>
    </row>
    <row r="81" ht="15" customHeight="1" s="12">
      <c r="A81" s="14" t="inlineStr">
        <is>
          <t>Bahawalpur</t>
        </is>
      </c>
      <c r="B81" s="14" t="inlineStr">
        <is>
          <t>Punjab</t>
        </is>
      </c>
      <c r="C81" s="14" t="n">
        <v>2017</v>
      </c>
      <c r="D81" s="15" t="n">
        <v>219.999778574345</v>
      </c>
      <c r="E81" s="15" t="n">
        <v>48734.6960474807</v>
      </c>
      <c r="F81" s="15" t="n">
        <v>335.493413090706</v>
      </c>
      <c r="G81" s="15" t="n">
        <v>119.181620657444</v>
      </c>
      <c r="H81" s="15" t="n">
        <v>50.3560032957295</v>
      </c>
      <c r="I81" s="16" t="n">
        <v>22.8891154445925</v>
      </c>
      <c r="J81" s="15" t="n">
        <v>22.7007328990228</v>
      </c>
      <c r="K81" s="15" t="n">
        <v>23998.7913570244</v>
      </c>
      <c r="L81" s="15" t="n">
        <v>219.458730876642</v>
      </c>
      <c r="M81" s="15" t="n">
        <v>0.541047697703164</v>
      </c>
      <c r="N81" s="17" t="n">
        <v>6.92141107033261</v>
      </c>
      <c r="O81" s="18" t="n">
        <v>0.0288406652125284</v>
      </c>
    </row>
    <row r="82" ht="15" customHeight="1" s="12">
      <c r="A82" s="14" t="inlineStr">
        <is>
          <t>Bahawalpur</t>
        </is>
      </c>
      <c r="B82" s="14" t="inlineStr">
        <is>
          <t>Punjab</t>
        </is>
      </c>
      <c r="C82" s="14" t="n">
        <v>2018</v>
      </c>
      <c r="D82" s="15" t="n">
        <v>143.081239308379</v>
      </c>
      <c r="E82" s="15" t="n">
        <v>31695.5805727518</v>
      </c>
      <c r="F82" s="15" t="n">
        <v>205.89810333401</v>
      </c>
      <c r="G82" s="15" t="n">
        <v>68.004011541605</v>
      </c>
      <c r="H82" s="15" t="n">
        <v>30.3015208487817</v>
      </c>
      <c r="I82" s="16" t="n">
        <v>21.1778434372334</v>
      </c>
      <c r="J82" s="15" t="n">
        <v>18.2548328848605</v>
      </c>
      <c r="K82" s="15" t="n">
        <v>23998.7913570244</v>
      </c>
      <c r="L82" s="15" t="n">
        <v>219.458730876642</v>
      </c>
      <c r="M82" s="15" t="n">
        <v>-76.3774915682627</v>
      </c>
      <c r="N82" s="17" t="n">
        <v>3.3052250301753</v>
      </c>
      <c r="O82" s="18" t="n">
        <v>0.0137724645420857</v>
      </c>
    </row>
    <row r="83" ht="15" customHeight="1" s="12">
      <c r="A83" s="14" t="inlineStr">
        <is>
          <t>Bahawalpur</t>
        </is>
      </c>
      <c r="B83" s="14" t="inlineStr">
        <is>
          <t>Punjab</t>
        </is>
      </c>
      <c r="C83" s="14" t="n">
        <v>2019</v>
      </c>
      <c r="D83" s="15" t="n">
        <v>160.090123395974</v>
      </c>
      <c r="E83" s="15" t="n">
        <v>35463.4152564383</v>
      </c>
      <c r="F83" s="15" t="n">
        <v>223.352197289467</v>
      </c>
      <c r="G83" s="15" t="n">
        <v>88.7226101160049</v>
      </c>
      <c r="H83" s="15" t="n">
        <v>37.5211920336173</v>
      </c>
      <c r="I83" s="16" t="n">
        <v>23.4375433272737</v>
      </c>
      <c r="J83" s="15" t="n">
        <v>21.511329839966</v>
      </c>
      <c r="K83" s="15" t="n">
        <v>23998.7913570244</v>
      </c>
      <c r="L83" s="15" t="n">
        <v>219.458730876642</v>
      </c>
      <c r="M83" s="15" t="n">
        <v>-59.3686074806675</v>
      </c>
      <c r="N83" s="17" t="n">
        <v>8.95629261571022</v>
      </c>
      <c r="O83" s="18" t="n">
        <v>0.0373197653268015</v>
      </c>
    </row>
    <row r="84" ht="15" customHeight="1" s="12">
      <c r="A84" s="14" t="inlineStr">
        <is>
          <t>Bahawalpur</t>
        </is>
      </c>
      <c r="B84" s="14" t="inlineStr">
        <is>
          <t>Punjab</t>
        </is>
      </c>
      <c r="C84" s="14" t="n">
        <v>2020</v>
      </c>
      <c r="D84" s="15" t="n">
        <v>177.055311018383</v>
      </c>
      <c r="E84" s="15" t="n">
        <v>39221.5702306134</v>
      </c>
      <c r="F84" s="15" t="n">
        <v>240.402483349521</v>
      </c>
      <c r="G84" s="15" t="n">
        <v>86.0940313331521</v>
      </c>
      <c r="H84" s="15" t="n">
        <v>34.8604945891546</v>
      </c>
      <c r="I84" s="16" t="n">
        <v>19.6890420223177</v>
      </c>
      <c r="J84" s="15" t="n">
        <v>21.7281900580654</v>
      </c>
      <c r="K84" s="15" t="n">
        <v>23998.7913570244</v>
      </c>
      <c r="L84" s="15" t="n">
        <v>219.458730876642</v>
      </c>
      <c r="M84" s="15" t="n">
        <v>-42.4034198582586</v>
      </c>
      <c r="N84" s="17" t="n">
        <v>4.2034325521348</v>
      </c>
      <c r="O84" s="18" t="n">
        <v>0.017515184367418</v>
      </c>
    </row>
    <row r="85" ht="15" customHeight="1" s="12">
      <c r="A85" s="14" t="inlineStr">
        <is>
          <t>Bahawalpur</t>
        </is>
      </c>
      <c r="B85" s="14" t="inlineStr">
        <is>
          <t>Punjab</t>
        </is>
      </c>
      <c r="C85" s="14" t="n">
        <v>2021</v>
      </c>
      <c r="D85" s="15" t="n">
        <v>133.094656290603</v>
      </c>
      <c r="E85" s="15" t="n">
        <v>29483.3370374257</v>
      </c>
      <c r="F85" s="15" t="n">
        <v>224.767359942198</v>
      </c>
      <c r="G85" s="15" t="n">
        <v>49.1178252696991</v>
      </c>
      <c r="H85" s="15" t="n">
        <v>39.0532769155533</v>
      </c>
      <c r="I85" s="16" t="n">
        <v>29.3424830147074</v>
      </c>
      <c r="J85" s="15" t="n">
        <v>16.6132098852854</v>
      </c>
      <c r="K85" s="15" t="n">
        <v>23998.7913570244</v>
      </c>
      <c r="L85" s="15" t="n">
        <v>219.458730876642</v>
      </c>
      <c r="M85" s="15" t="n">
        <v>-86.3640745860388</v>
      </c>
      <c r="N85" s="17" t="n">
        <v>3.58017436046382</v>
      </c>
      <c r="O85" s="18" t="n">
        <v>0.0149181444482033</v>
      </c>
    </row>
    <row r="86" ht="15" customHeight="1" s="12">
      <c r="A86" s="14" t="inlineStr">
        <is>
          <t>Bahawalpur</t>
        </is>
      </c>
      <c r="B86" s="14" t="inlineStr">
        <is>
          <t>Punjab</t>
        </is>
      </c>
      <c r="C86" s="14" t="n">
        <v>2022</v>
      </c>
      <c r="D86" s="15" t="n">
        <v>390.221623482785</v>
      </c>
      <c r="E86" s="15" t="n">
        <v>86442.5061462572</v>
      </c>
      <c r="F86" s="15" t="n">
        <v>575.744604885833</v>
      </c>
      <c r="G86" s="15" t="n">
        <v>224.170345110819</v>
      </c>
      <c r="H86" s="15" t="n">
        <v>65.7756417808455</v>
      </c>
      <c r="I86" s="16" t="n">
        <v>16.8559705107544</v>
      </c>
      <c r="J86" s="15" t="n">
        <v>32.3831433224756</v>
      </c>
      <c r="K86" s="15" t="n">
        <v>23998.7913570244</v>
      </c>
      <c r="L86" s="15" t="n">
        <v>219.458730876642</v>
      </c>
      <c r="M86" s="15" t="n">
        <v>170.762892606144</v>
      </c>
      <c r="N86" s="17" t="n">
        <v>12.5517139972113</v>
      </c>
      <c r="O86" s="18" t="n">
        <v>0.0523014422288289</v>
      </c>
    </row>
    <row r="87" ht="15" customHeight="1" s="12">
      <c r="A87" s="14" t="inlineStr">
        <is>
          <t>Bahawalpur</t>
        </is>
      </c>
      <c r="B87" s="14" t="inlineStr">
        <is>
          <t>Punjab</t>
        </is>
      </c>
      <c r="C87" s="14" t="n">
        <v>2023</v>
      </c>
      <c r="D87" s="15" t="n">
        <v>196.897753942833</v>
      </c>
      <c r="E87" s="15" t="n">
        <v>43617.0993126383</v>
      </c>
      <c r="F87" s="15" t="n">
        <v>327.153555035591</v>
      </c>
      <c r="G87" s="15" t="n">
        <v>115.351311445236</v>
      </c>
      <c r="H87" s="15" t="n">
        <v>40.1252950440836</v>
      </c>
      <c r="I87" s="16" t="n">
        <v>20.3787469590605</v>
      </c>
      <c r="J87" s="15" t="n">
        <v>19.6788521455884</v>
      </c>
      <c r="K87" s="15" t="n">
        <v>23998.7913570244</v>
      </c>
      <c r="L87" s="15" t="n">
        <v>219.458730876642</v>
      </c>
      <c r="M87" s="15" t="n">
        <v>-22.5609769338082</v>
      </c>
      <c r="N87" s="17" t="n">
        <v>15.8093139536112</v>
      </c>
      <c r="O87" s="18" t="n">
        <v>0.065875458969661</v>
      </c>
    </row>
    <row r="88" ht="15" customHeight="1" s="12">
      <c r="A88" s="14" t="inlineStr">
        <is>
          <t>Bahawalpur</t>
        </is>
      </c>
      <c r="B88" s="14" t="inlineStr">
        <is>
          <t>Punjab</t>
        </is>
      </c>
      <c r="C88" s="14" t="n">
        <v>2024</v>
      </c>
      <c r="D88" s="15" t="n">
        <v>336.575663000295</v>
      </c>
      <c r="E88" s="15" t="n">
        <v>74558.76882964961</v>
      </c>
      <c r="F88" s="15" t="n">
        <v>494.113122039707</v>
      </c>
      <c r="G88" s="15" t="n">
        <v>174.723956177713</v>
      </c>
      <c r="H88" s="15" t="n">
        <v>61.0073258305546</v>
      </c>
      <c r="I88" s="16" t="n">
        <v>18.1258874413927</v>
      </c>
      <c r="J88" s="15" t="n">
        <v>34.116325591276</v>
      </c>
      <c r="K88" s="15" t="n">
        <v>23998.7913570244</v>
      </c>
      <c r="L88" s="15" t="n">
        <v>219.458730876642</v>
      </c>
      <c r="M88" s="15" t="n">
        <v>117.116932123653</v>
      </c>
      <c r="N88" s="17" t="n">
        <v>12.6784313573903</v>
      </c>
      <c r="O88" s="18" t="n">
        <v>0.0528294578205054</v>
      </c>
    </row>
    <row r="89" ht="15" customHeight="1" s="12">
      <c r="A89" s="14" t="inlineStr">
        <is>
          <t>Bahawalpur</t>
        </is>
      </c>
      <c r="B89" s="14" t="inlineStr">
        <is>
          <t>Punjab</t>
        </is>
      </c>
      <c r="C89" s="14" t="n">
        <v>2025</v>
      </c>
      <c r="D89" s="15" t="n">
        <v>238.799141229712</v>
      </c>
      <c r="E89" s="15" t="n">
        <v>52899.1603520939</v>
      </c>
      <c r="F89" s="15" t="n">
        <v>411.987725356536</v>
      </c>
      <c r="G89" s="15" t="n">
        <v>103.427443820532</v>
      </c>
      <c r="H89" s="15" t="n">
        <v>52.3011609882556</v>
      </c>
      <c r="I89" s="16" t="n">
        <v>21.9017374681196</v>
      </c>
      <c r="J89" s="15" t="n">
        <v>25.0456203087381</v>
      </c>
      <c r="K89" s="15" t="n">
        <v>23998.7913570244</v>
      </c>
      <c r="L89" s="15" t="n">
        <v>219.458730876642</v>
      </c>
      <c r="M89" s="15" t="n">
        <v>19.3404103530701</v>
      </c>
      <c r="N89" s="17" t="n">
        <v>11.2309908294106</v>
      </c>
      <c r="O89" s="18" t="n">
        <v>0.0467981518832751</v>
      </c>
    </row>
    <row r="90" ht="15" customHeight="1" s="12">
      <c r="A90" s="14" t="inlineStr">
        <is>
          <t>Bajaur</t>
        </is>
      </c>
      <c r="B90" s="14" t="inlineStr">
        <is>
          <t>Khyber Pakhtunkhwa</t>
        </is>
      </c>
      <c r="C90" s="14" t="n">
        <v>2015</v>
      </c>
      <c r="D90" s="15" t="n">
        <v>351.697181130342</v>
      </c>
      <c r="E90" s="15" t="n">
        <v>4714.12143177846</v>
      </c>
      <c r="F90" s="15" t="n">
        <v>476.862763166428</v>
      </c>
      <c r="G90" s="15" t="n">
        <v>173.273351252079</v>
      </c>
      <c r="H90" s="15" t="n">
        <v>85.24035760267481</v>
      </c>
      <c r="I90" s="16" t="n">
        <v>24.2368611908448</v>
      </c>
      <c r="J90" s="15" t="n">
        <v>20.490637799883</v>
      </c>
      <c r="K90" s="15" t="n">
        <v>1366.48216986811</v>
      </c>
      <c r="L90" s="15" t="n">
        <v>282.918652438864</v>
      </c>
      <c r="M90" s="15" t="n">
        <v>68.77852869147711</v>
      </c>
      <c r="N90" s="17" t="n">
        <v>0.140667260310872</v>
      </c>
      <c r="O90" s="18" t="n">
        <v>0.0102941160457622</v>
      </c>
    </row>
    <row r="91" ht="15" customHeight="1" s="12">
      <c r="A91" s="14" t="inlineStr">
        <is>
          <t>Bajaur</t>
        </is>
      </c>
      <c r="B91" s="14" t="inlineStr">
        <is>
          <t>Khyber Pakhtunkhwa</t>
        </is>
      </c>
      <c r="C91" s="14" t="n">
        <v>2016</v>
      </c>
      <c r="D91" s="15" t="n">
        <v>287.12057013059</v>
      </c>
      <c r="E91" s="15" t="n">
        <v>3848.54160277002</v>
      </c>
      <c r="F91" s="15" t="n">
        <v>364.313132047653</v>
      </c>
      <c r="G91" s="15" t="n">
        <v>159.476704001427</v>
      </c>
      <c r="H91" s="15" t="n">
        <v>55.5681962513838</v>
      </c>
      <c r="I91" s="16" t="n">
        <v>19.3536103059805</v>
      </c>
      <c r="J91" s="15" t="n">
        <v>17.775599765945</v>
      </c>
      <c r="K91" s="15" t="n">
        <v>1366.48216986811</v>
      </c>
      <c r="L91" s="15" t="n">
        <v>282.918652438864</v>
      </c>
      <c r="M91" s="15" t="n">
        <v>4.20191769172516</v>
      </c>
      <c r="N91" s="17" t="n">
        <v>0.07799914056372539</v>
      </c>
      <c r="O91" s="18" t="n">
        <v>0.00570802475756077</v>
      </c>
    </row>
    <row r="92" ht="15" customHeight="1" s="12">
      <c r="A92" s="14" t="inlineStr">
        <is>
          <t>Bajaur</t>
        </is>
      </c>
      <c r="B92" s="14" t="inlineStr">
        <is>
          <t>Khyber Pakhtunkhwa</t>
        </is>
      </c>
      <c r="C92" s="14" t="n">
        <v>2017</v>
      </c>
      <c r="D92" s="15" t="n">
        <v>363.142680775498</v>
      </c>
      <c r="E92" s="15" t="n">
        <v>4867.5360113359</v>
      </c>
      <c r="F92" s="15" t="n">
        <v>502.85004401207</v>
      </c>
      <c r="G92" s="15" t="n">
        <v>169.26318025589</v>
      </c>
      <c r="H92" s="15" t="n">
        <v>95.3670394499901</v>
      </c>
      <c r="I92" s="16" t="n">
        <v>26.261589314242</v>
      </c>
      <c r="J92" s="15" t="n">
        <v>20.7931538911644</v>
      </c>
      <c r="K92" s="15" t="n">
        <v>1366.48216986811</v>
      </c>
      <c r="L92" s="15" t="n">
        <v>282.918652438864</v>
      </c>
      <c r="M92" s="15" t="n">
        <v>80.22402833663401</v>
      </c>
      <c r="N92" s="17" t="n">
        <v>0.0513015627486883</v>
      </c>
      <c r="O92" s="18" t="n">
        <v>0.00375427970301579</v>
      </c>
    </row>
    <row r="93" ht="15" customHeight="1" s="12">
      <c r="A93" s="14" t="inlineStr">
        <is>
          <t>Bajaur</t>
        </is>
      </c>
      <c r="B93" s="14" t="inlineStr">
        <is>
          <t>Khyber Pakhtunkhwa</t>
        </is>
      </c>
      <c r="C93" s="14" t="n">
        <v>2018</v>
      </c>
      <c r="D93" s="15" t="n">
        <v>318.487836624974</v>
      </c>
      <c r="E93" s="15" t="n">
        <v>4268.98598268298</v>
      </c>
      <c r="F93" s="15" t="n">
        <v>447.392483830452</v>
      </c>
      <c r="G93" s="15" t="n">
        <v>156.408854172099</v>
      </c>
      <c r="H93" s="15" t="n">
        <v>83.9142092631425</v>
      </c>
      <c r="I93" s="16" t="n">
        <v>26.3476967134394</v>
      </c>
      <c r="J93" s="15" t="n">
        <v>23.0558806319485</v>
      </c>
      <c r="K93" s="15" t="n">
        <v>1366.48216986811</v>
      </c>
      <c r="L93" s="15" t="n">
        <v>282.918652438864</v>
      </c>
      <c r="M93" s="15" t="n">
        <v>35.5691841861095</v>
      </c>
      <c r="N93" s="17" t="n">
        <v>0.0730665472682578</v>
      </c>
      <c r="O93" s="18" t="n">
        <v>0.00534705456678662</v>
      </c>
    </row>
    <row r="94" ht="15" customHeight="1" s="12">
      <c r="A94" s="14" t="inlineStr">
        <is>
          <t>Bajaur</t>
        </is>
      </c>
      <c r="B94" s="14" t="inlineStr">
        <is>
          <t>Khyber Pakhtunkhwa</t>
        </is>
      </c>
      <c r="C94" s="14" t="n">
        <v>2019</v>
      </c>
      <c r="D94" s="15" t="n">
        <v>224.409518220814</v>
      </c>
      <c r="E94" s="15" t="n">
        <v>3007.96758148527</v>
      </c>
      <c r="F94" s="15" t="n">
        <v>328.406600682065</v>
      </c>
      <c r="G94" s="15" t="n">
        <v>116.827231200956</v>
      </c>
      <c r="H94" s="15" t="n">
        <v>59.9758744303746</v>
      </c>
      <c r="I94" s="16" t="n">
        <v>26.7260831474</v>
      </c>
      <c r="J94" s="15" t="n">
        <v>18.2919836161498</v>
      </c>
      <c r="K94" s="15" t="n">
        <v>1366.48216986811</v>
      </c>
      <c r="L94" s="15" t="n">
        <v>282.918652438864</v>
      </c>
      <c r="M94" s="15" t="n">
        <v>-58.5091342180502</v>
      </c>
      <c r="N94" s="17" t="n">
        <v>0.0450141856947954</v>
      </c>
      <c r="O94" s="18" t="n">
        <v>0.00329416560913781</v>
      </c>
    </row>
    <row r="95" ht="15" customHeight="1" s="12">
      <c r="A95" s="14" t="inlineStr">
        <is>
          <t>Bajaur</t>
        </is>
      </c>
      <c r="B95" s="14" t="inlineStr">
        <is>
          <t>Khyber Pakhtunkhwa</t>
        </is>
      </c>
      <c r="C95" s="14" t="n">
        <v>2020</v>
      </c>
      <c r="D95" s="15" t="n">
        <v>242.873125237264</v>
      </c>
      <c r="E95" s="15" t="n">
        <v>3255.45232180772</v>
      </c>
      <c r="F95" s="15" t="n">
        <v>415.644402925391</v>
      </c>
      <c r="G95" s="15" t="n">
        <v>110.93466001004</v>
      </c>
      <c r="H95" s="15" t="n">
        <v>89.42735363877171</v>
      </c>
      <c r="I95" s="16" t="n">
        <v>36.8206048122491</v>
      </c>
      <c r="J95" s="15" t="n">
        <v>26.1334113516677</v>
      </c>
      <c r="K95" s="15" t="n">
        <v>1366.48216986811</v>
      </c>
      <c r="L95" s="15" t="n">
        <v>282.918652438864</v>
      </c>
      <c r="M95" s="15" t="n">
        <v>-40.0455272016007</v>
      </c>
      <c r="N95" s="17" t="n">
        <v>0.0609113700788909</v>
      </c>
      <c r="O95" s="18" t="n">
        <v>0.00445753127424779</v>
      </c>
    </row>
    <row r="96" ht="15" customHeight="1" s="12">
      <c r="A96" s="14" t="inlineStr">
        <is>
          <t>Bajaur</t>
        </is>
      </c>
      <c r="B96" s="14" t="inlineStr">
        <is>
          <t>Khyber Pakhtunkhwa</t>
        </is>
      </c>
      <c r="C96" s="14" t="n">
        <v>2021</v>
      </c>
      <c r="D96" s="15" t="n">
        <v>249.302462799628</v>
      </c>
      <c r="E96" s="15" t="n">
        <v>3341.63065823188</v>
      </c>
      <c r="F96" s="15" t="n">
        <v>363.62113340199</v>
      </c>
      <c r="G96" s="15" t="n">
        <v>132.580933332443</v>
      </c>
      <c r="H96" s="15" t="n">
        <v>67.7634489722458</v>
      </c>
      <c r="I96" s="16" t="n">
        <v>27.1812192351703</v>
      </c>
      <c r="J96" s="15" t="n">
        <v>27.407840842598</v>
      </c>
      <c r="K96" s="15" t="n">
        <v>1366.48216986811</v>
      </c>
      <c r="L96" s="15" t="n">
        <v>282.918652438864</v>
      </c>
      <c r="M96" s="15" t="n">
        <v>-33.6161896392361</v>
      </c>
      <c r="N96" s="17" t="n">
        <v>0.504446710667509</v>
      </c>
      <c r="O96" s="18" t="n">
        <v>0.0369157184624075</v>
      </c>
    </row>
    <row r="97" ht="15" customHeight="1" s="12">
      <c r="A97" s="14" t="inlineStr">
        <is>
          <t>Bajaur</t>
        </is>
      </c>
      <c r="B97" s="14" t="inlineStr">
        <is>
          <t>Khyber Pakhtunkhwa</t>
        </is>
      </c>
      <c r="C97" s="14" t="n">
        <v>2022</v>
      </c>
      <c r="D97" s="15" t="n">
        <v>388.127273839916</v>
      </c>
      <c r="E97" s="15" t="n">
        <v>5202.42753719542</v>
      </c>
      <c r="F97" s="15" t="n">
        <v>557.349619865418</v>
      </c>
      <c r="G97" s="15" t="n">
        <v>205.097160816193</v>
      </c>
      <c r="H97" s="15" t="n">
        <v>96.31902058763021</v>
      </c>
      <c r="I97" s="16" t="n">
        <v>24.8163494501954</v>
      </c>
      <c r="J97" s="15" t="n">
        <v>21.103276770041</v>
      </c>
      <c r="K97" s="15" t="n">
        <v>1366.48216986811</v>
      </c>
      <c r="L97" s="15" t="n">
        <v>282.918652438864</v>
      </c>
      <c r="M97" s="15" t="n">
        <v>105.208621401051</v>
      </c>
      <c r="N97" s="17" t="n">
        <v>0.115287348453776</v>
      </c>
      <c r="O97" s="18" t="n">
        <v>0.00843679859100563</v>
      </c>
    </row>
    <row r="98" ht="15" customHeight="1" s="12">
      <c r="A98" s="14" t="inlineStr">
        <is>
          <t>Bajaur</t>
        </is>
      </c>
      <c r="B98" s="14" t="inlineStr">
        <is>
          <t>Khyber Pakhtunkhwa</t>
        </is>
      </c>
      <c r="C98" s="14" t="n">
        <v>2023</v>
      </c>
      <c r="D98" s="15" t="n">
        <v>205.316295646938</v>
      </c>
      <c r="E98" s="15" t="n">
        <v>2752.04352361268</v>
      </c>
      <c r="F98" s="15" t="n">
        <v>287.621643424034</v>
      </c>
      <c r="G98" s="15" t="n">
        <v>105.794077634811</v>
      </c>
      <c r="H98" s="15" t="n">
        <v>51.5755920354399</v>
      </c>
      <c r="I98" s="16" t="n">
        <v>25.1200674904682</v>
      </c>
      <c r="J98" s="15" t="n">
        <v>20.5157987126975</v>
      </c>
      <c r="K98" s="15" t="n">
        <v>1366.48216986811</v>
      </c>
      <c r="L98" s="15" t="n">
        <v>282.918652438864</v>
      </c>
      <c r="M98" s="15" t="n">
        <v>-77.60235679192679</v>
      </c>
      <c r="N98" s="17" t="n">
        <v>0.0581304155831131</v>
      </c>
      <c r="O98" s="18" t="n">
        <v>0.0042540193253106</v>
      </c>
    </row>
    <row r="99" ht="15" customHeight="1" s="12">
      <c r="A99" s="14" t="inlineStr">
        <is>
          <t>Bajaur</t>
        </is>
      </c>
      <c r="B99" s="14" t="inlineStr">
        <is>
          <t>Khyber Pakhtunkhwa</t>
        </is>
      </c>
      <c r="C99" s="14" t="n">
        <v>2024</v>
      </c>
      <c r="D99" s="15" t="n">
        <v>221.447141035869</v>
      </c>
      <c r="E99" s="15" t="n">
        <v>2968.26011004157</v>
      </c>
      <c r="F99" s="15" t="n">
        <v>300.829247161746</v>
      </c>
      <c r="G99" s="15" t="n">
        <v>115.696069983069</v>
      </c>
      <c r="H99" s="15" t="n">
        <v>53.5393053893582</v>
      </c>
      <c r="I99" s="16" t="n">
        <v>24.1770135929125</v>
      </c>
      <c r="J99" s="15" t="n">
        <v>22.7814511410181</v>
      </c>
      <c r="K99" s="15" t="n">
        <v>1366.48216986811</v>
      </c>
      <c r="L99" s="15" t="n">
        <v>282.918652438864</v>
      </c>
      <c r="M99" s="15" t="n">
        <v>-61.4715114029951</v>
      </c>
      <c r="N99" s="17" t="n">
        <v>0.0980832795168409</v>
      </c>
      <c r="O99" s="18" t="n">
        <v>0.00717779431591907</v>
      </c>
    </row>
    <row r="100" ht="15" customHeight="1" s="12">
      <c r="A100" s="14" t="inlineStr">
        <is>
          <t>Bajaur</t>
        </is>
      </c>
      <c r="B100" s="14" t="inlineStr">
        <is>
          <t>Khyber Pakhtunkhwa</t>
        </is>
      </c>
      <c r="C100" s="14" t="n">
        <v>2025</v>
      </c>
      <c r="D100" s="15" t="n">
        <v>260.181091385676</v>
      </c>
      <c r="E100" s="15" t="n">
        <v>3487.44694257349</v>
      </c>
      <c r="F100" s="15" t="n">
        <v>380.140836730599</v>
      </c>
      <c r="G100" s="15" t="n">
        <v>125.055326521397</v>
      </c>
      <c r="H100" s="15" t="n">
        <v>73.441635939355</v>
      </c>
      <c r="I100" s="16" t="n">
        <v>28.227122712192</v>
      </c>
      <c r="J100" s="15" t="n">
        <v>29.1916325336454</v>
      </c>
      <c r="K100" s="15" t="n">
        <v>1366.48216986811</v>
      </c>
      <c r="L100" s="15" t="n">
        <v>282.918652438864</v>
      </c>
      <c r="M100" s="15" t="n">
        <v>-22.7375610531884</v>
      </c>
      <c r="N100" s="17" t="n">
        <v>0.0851051930170994</v>
      </c>
      <c r="O100" s="18" t="n">
        <v>0.00622805001731662</v>
      </c>
    </row>
    <row r="101" ht="15" customHeight="1" s="12">
      <c r="A101" s="14" t="inlineStr">
        <is>
          <t>Bannu</t>
        </is>
      </c>
      <c r="B101" s="14" t="inlineStr">
        <is>
          <t>Khyber Pakhtunkhwa</t>
        </is>
      </c>
      <c r="C101" s="14" t="n">
        <v>2015</v>
      </c>
      <c r="D101" s="15" t="n">
        <v>279.610588584383</v>
      </c>
      <c r="E101" s="15" t="n">
        <v>5463.91985457247</v>
      </c>
      <c r="F101" s="15" t="n">
        <v>379.0859375</v>
      </c>
      <c r="G101" s="15" t="n">
        <v>203.749010324478</v>
      </c>
      <c r="H101" s="15" t="n">
        <v>49.0294152870675</v>
      </c>
      <c r="I101" s="16" t="n">
        <v>17.5348921996461</v>
      </c>
      <c r="J101" s="15" t="n">
        <v>24.2103150712422</v>
      </c>
      <c r="K101" s="15" t="n">
        <v>2028.78124418727</v>
      </c>
      <c r="L101" s="15" t="n">
        <v>250.177003458689</v>
      </c>
      <c r="M101" s="15" t="n">
        <v>29.433585125694</v>
      </c>
      <c r="N101" s="17" t="n">
        <v>2.02433033920923</v>
      </c>
      <c r="O101" s="18" t="n">
        <v>0.09978061188258749</v>
      </c>
    </row>
    <row r="102" ht="15" customHeight="1" s="12">
      <c r="A102" s="14" t="inlineStr">
        <is>
          <t>Bannu</t>
        </is>
      </c>
      <c r="B102" s="14" t="inlineStr">
        <is>
          <t>Khyber Pakhtunkhwa</t>
        </is>
      </c>
      <c r="C102" s="14" t="n">
        <v>2016</v>
      </c>
      <c r="D102" s="15" t="n">
        <v>290.8961118585</v>
      </c>
      <c r="E102" s="15" t="n">
        <v>5684.45225643492</v>
      </c>
      <c r="F102" s="15" t="n">
        <v>405.106089830399</v>
      </c>
      <c r="G102" s="15" t="n">
        <v>200.844518601894</v>
      </c>
      <c r="H102" s="15" t="n">
        <v>58.5593433067459</v>
      </c>
      <c r="I102" s="16" t="n">
        <v>20.1306724014348</v>
      </c>
      <c r="J102" s="15" t="n">
        <v>17.9112984146097</v>
      </c>
      <c r="K102" s="15" t="n">
        <v>2028.78124418727</v>
      </c>
      <c r="L102" s="15" t="n">
        <v>250.177003458689</v>
      </c>
      <c r="M102" s="15" t="n">
        <v>40.7191083998108</v>
      </c>
      <c r="N102" s="17" t="n">
        <v>1.59386031974571</v>
      </c>
      <c r="O102" s="18" t="n">
        <v>0.07856245340952051</v>
      </c>
    </row>
    <row r="103" ht="15" customHeight="1" s="12">
      <c r="A103" s="14" t="inlineStr">
        <is>
          <t>Bannu</t>
        </is>
      </c>
      <c r="B103" s="14" t="inlineStr">
        <is>
          <t>Khyber Pakhtunkhwa</t>
        </is>
      </c>
      <c r="C103" s="14" t="n">
        <v>2017</v>
      </c>
      <c r="D103" s="15" t="n">
        <v>301.155633431056</v>
      </c>
      <c r="E103" s="15" t="n">
        <v>5884.93537798804</v>
      </c>
      <c r="F103" s="15" t="n">
        <v>430.459147691727</v>
      </c>
      <c r="G103" s="15" t="n">
        <v>206.363925695419</v>
      </c>
      <c r="H103" s="15" t="n">
        <v>61.5403285784414</v>
      </c>
      <c r="I103" s="16" t="n">
        <v>20.4347260176788</v>
      </c>
      <c r="J103" s="15" t="n">
        <v>20.7794501304435</v>
      </c>
      <c r="K103" s="15" t="n">
        <v>2028.78124418727</v>
      </c>
      <c r="L103" s="15" t="n">
        <v>250.177003458689</v>
      </c>
      <c r="M103" s="15" t="n">
        <v>50.9786299723667</v>
      </c>
      <c r="N103" s="17" t="n">
        <v>1.49044069984251</v>
      </c>
      <c r="O103" s="18" t="n">
        <v>0.0734648303809404</v>
      </c>
    </row>
    <row r="104" ht="15" customHeight="1" s="12">
      <c r="A104" s="14" t="inlineStr">
        <is>
          <t>Bannu</t>
        </is>
      </c>
      <c r="B104" s="14" t="inlineStr">
        <is>
          <t>Khyber Pakhtunkhwa</t>
        </is>
      </c>
      <c r="C104" s="14" t="n">
        <v>2018</v>
      </c>
      <c r="D104" s="15" t="n">
        <v>232.227774371961</v>
      </c>
      <c r="E104" s="15" t="n">
        <v>4538.00392037443</v>
      </c>
      <c r="F104" s="15" t="n">
        <v>322.793810725212</v>
      </c>
      <c r="G104" s="15" t="n">
        <v>182.924973845482</v>
      </c>
      <c r="H104" s="15" t="n">
        <v>35.8107163773706</v>
      </c>
      <c r="I104" s="16" t="n">
        <v>15.4205139648853</v>
      </c>
      <c r="J104" s="15" t="n">
        <v>22.0876981737909</v>
      </c>
      <c r="K104" s="15" t="n">
        <v>2028.78124418727</v>
      </c>
      <c r="L104" s="15" t="n">
        <v>250.177003458689</v>
      </c>
      <c r="M104" s="15" t="n">
        <v>-17.9492290867284</v>
      </c>
      <c r="N104" s="17" t="n">
        <v>0.908450925682876</v>
      </c>
      <c r="O104" s="18" t="n">
        <v>0.0447781606955265</v>
      </c>
    </row>
    <row r="105" ht="15" customHeight="1" s="12">
      <c r="A105" s="14" t="inlineStr">
        <is>
          <t>Bannu</t>
        </is>
      </c>
      <c r="B105" s="14" t="inlineStr">
        <is>
          <t>Khyber Pakhtunkhwa</t>
        </is>
      </c>
      <c r="C105" s="14" t="n">
        <v>2019</v>
      </c>
      <c r="D105" s="15" t="n">
        <v>289.466415314205</v>
      </c>
      <c r="E105" s="15" t="n">
        <v>5656.51430396346</v>
      </c>
      <c r="F105" s="15" t="n">
        <v>380.142776964089</v>
      </c>
      <c r="G105" s="15" t="n">
        <v>216.370920313039</v>
      </c>
      <c r="H105" s="15" t="n">
        <v>42.8866631631911</v>
      </c>
      <c r="I105" s="16" t="n">
        <v>14.8157647638118</v>
      </c>
      <c r="J105" s="15" t="n">
        <v>18.6634557495485</v>
      </c>
      <c r="K105" s="15" t="n">
        <v>2028.78124418727</v>
      </c>
      <c r="L105" s="15" t="n">
        <v>250.177003458689</v>
      </c>
      <c r="M105" s="15" t="n">
        <v>39.2894118555154</v>
      </c>
      <c r="N105" s="17" t="n">
        <v>1.66783383778028</v>
      </c>
      <c r="O105" s="18" t="n">
        <v>0.082208658156657</v>
      </c>
    </row>
    <row r="106" ht="15" customHeight="1" s="12">
      <c r="A106" s="14" t="inlineStr">
        <is>
          <t>Bannu</t>
        </is>
      </c>
      <c r="B106" s="14" t="inlineStr">
        <is>
          <t>Khyber Pakhtunkhwa</t>
        </is>
      </c>
      <c r="C106" s="14" t="n">
        <v>2020</v>
      </c>
      <c r="D106" s="15" t="n">
        <v>160.419002695929</v>
      </c>
      <c r="E106" s="15" t="n">
        <v>3134.77604091691</v>
      </c>
      <c r="F106" s="15" t="n">
        <v>259.157119980082</v>
      </c>
      <c r="G106" s="15" t="n">
        <v>107.136369124055</v>
      </c>
      <c r="H106" s="15" t="n">
        <v>42.915392743254</v>
      </c>
      <c r="I106" s="16" t="n">
        <v>26.7520630486647</v>
      </c>
      <c r="J106" s="15" t="n">
        <v>20.7007826610476</v>
      </c>
      <c r="K106" s="15" t="n">
        <v>2028.78124418727</v>
      </c>
      <c r="L106" s="15" t="n">
        <v>250.177003458689</v>
      </c>
      <c r="M106" s="15" t="n">
        <v>-89.7580007627605</v>
      </c>
      <c r="N106" s="17" t="n">
        <v>0.697676240607049</v>
      </c>
      <c r="O106" s="18" t="n">
        <v>0.0343889338787011</v>
      </c>
    </row>
    <row r="107" ht="15" customHeight="1" s="12">
      <c r="A107" s="14" t="inlineStr">
        <is>
          <t>Bannu</t>
        </is>
      </c>
      <c r="B107" s="14" t="inlineStr">
        <is>
          <t>Khyber Pakhtunkhwa</t>
        </is>
      </c>
      <c r="C107" s="14" t="n">
        <v>2021</v>
      </c>
      <c r="D107" s="15" t="n">
        <v>218.928761057219</v>
      </c>
      <c r="E107" s="15" t="n">
        <v>4278.12555430637</v>
      </c>
      <c r="F107" s="15" t="n">
        <v>314.673425555229</v>
      </c>
      <c r="G107" s="15" t="n">
        <v>157.220122337341</v>
      </c>
      <c r="H107" s="15" t="n">
        <v>42.4664558459955</v>
      </c>
      <c r="I107" s="16" t="n">
        <v>19.3973855426407</v>
      </c>
      <c r="J107" s="15" t="n">
        <v>20.4326710816777</v>
      </c>
      <c r="K107" s="15" t="n">
        <v>2028.78124418727</v>
      </c>
      <c r="L107" s="15" t="n">
        <v>250.177003458689</v>
      </c>
      <c r="M107" s="15" t="n">
        <v>-31.2482424014699</v>
      </c>
      <c r="N107" s="17" t="n">
        <v>3.07226758183115</v>
      </c>
      <c r="O107" s="18" t="n">
        <v>0.151434147502774</v>
      </c>
    </row>
    <row r="108" ht="15" customHeight="1" s="12">
      <c r="A108" s="14" t="inlineStr">
        <is>
          <t>Bannu</t>
        </is>
      </c>
      <c r="B108" s="14" t="inlineStr">
        <is>
          <t>Khyber Pakhtunkhwa</t>
        </is>
      </c>
      <c r="C108" s="14" t="n">
        <v>2022</v>
      </c>
      <c r="D108" s="15" t="n">
        <v>300.471375431193</v>
      </c>
      <c r="E108" s="15" t="n">
        <v>5871.56417166131</v>
      </c>
      <c r="F108" s="15" t="n">
        <v>374.649603213649</v>
      </c>
      <c r="G108" s="15" t="n">
        <v>239.858162747463</v>
      </c>
      <c r="H108" s="15" t="n">
        <v>38.5764309152408</v>
      </c>
      <c r="I108" s="16" t="n">
        <v>12.8386375773338</v>
      </c>
      <c r="J108" s="15" t="n">
        <v>22.4033714629741</v>
      </c>
      <c r="K108" s="15" t="n">
        <v>2028.78124418727</v>
      </c>
      <c r="L108" s="15" t="n">
        <v>250.177003458689</v>
      </c>
      <c r="M108" s="15" t="n">
        <v>50.2943719725035</v>
      </c>
      <c r="N108" s="17" t="n">
        <v>4.72201965313073</v>
      </c>
      <c r="O108" s="18" t="n">
        <v>0.232751543157251</v>
      </c>
    </row>
    <row r="109" ht="15" customHeight="1" s="12">
      <c r="A109" s="14" t="inlineStr">
        <is>
          <t>Bannu</t>
        </is>
      </c>
      <c r="B109" s="14" t="inlineStr">
        <is>
          <t>Khyber Pakhtunkhwa</t>
        </is>
      </c>
      <c r="C109" s="14" t="n">
        <v>2023</v>
      </c>
      <c r="D109" s="15" t="n">
        <v>187.13622436684</v>
      </c>
      <c r="E109" s="15" t="n">
        <v>3656.86198439201</v>
      </c>
      <c r="F109" s="15" t="n">
        <v>264.227745056152</v>
      </c>
      <c r="G109" s="15" t="n">
        <v>133.30706512928</v>
      </c>
      <c r="H109" s="15" t="n">
        <v>35.4949181826423</v>
      </c>
      <c r="I109" s="16" t="n">
        <v>18.9674224232836</v>
      </c>
      <c r="J109" s="15" t="n">
        <v>15.5578968492876</v>
      </c>
      <c r="K109" s="15" t="n">
        <v>2028.78124418727</v>
      </c>
      <c r="L109" s="15" t="n">
        <v>250.177003458689</v>
      </c>
      <c r="M109" s="15" t="n">
        <v>-63.0407790918495</v>
      </c>
      <c r="N109" s="17" t="n">
        <v>1.5523473786231</v>
      </c>
      <c r="O109" s="18" t="n">
        <v>0.0765162524580105</v>
      </c>
    </row>
    <row r="110" ht="15" customHeight="1" s="12">
      <c r="A110" s="14" t="inlineStr">
        <is>
          <t>Bannu</t>
        </is>
      </c>
      <c r="B110" s="14" t="inlineStr">
        <is>
          <t>Khyber Pakhtunkhwa</t>
        </is>
      </c>
      <c r="C110" s="14" t="n">
        <v>2024</v>
      </c>
      <c r="D110" s="15" t="n">
        <v>221.748408658118</v>
      </c>
      <c r="E110" s="15" t="n">
        <v>4333.2247856604</v>
      </c>
      <c r="F110" s="15" t="n">
        <v>305.880024360507</v>
      </c>
      <c r="G110" s="15" t="n">
        <v>156.929172565928</v>
      </c>
      <c r="H110" s="15" t="n">
        <v>38.7295850386198</v>
      </c>
      <c r="I110" s="16" t="n">
        <v>17.4655526382294</v>
      </c>
      <c r="J110" s="15" t="n">
        <v>25.4025687336946</v>
      </c>
      <c r="K110" s="15" t="n">
        <v>2028.78124418727</v>
      </c>
      <c r="L110" s="15" t="n">
        <v>250.177003458689</v>
      </c>
      <c r="M110" s="15" t="n">
        <v>-28.4285948005709</v>
      </c>
      <c r="N110" s="17" t="n">
        <v>0.685386217046042</v>
      </c>
      <c r="O110" s="18" t="n">
        <v>0.033783150303157</v>
      </c>
    </row>
    <row r="111" ht="15" customHeight="1" s="12">
      <c r="A111" s="14" t="inlineStr">
        <is>
          <t>Bannu</t>
        </is>
      </c>
      <c r="B111" s="14" t="inlineStr">
        <is>
          <t>Khyber Pakhtunkhwa</t>
        </is>
      </c>
      <c r="C111" s="14" t="n">
        <v>2025</v>
      </c>
      <c r="D111" s="15" t="n">
        <v>269.886742276178</v>
      </c>
      <c r="E111" s="15" t="n">
        <v>5273.90445789095</v>
      </c>
      <c r="F111" s="15" t="n">
        <v>364.283190473914</v>
      </c>
      <c r="G111" s="15" t="n">
        <v>200.524173051119</v>
      </c>
      <c r="H111" s="15" t="n">
        <v>47.829647599931</v>
      </c>
      <c r="I111" s="16" t="n">
        <v>17.7221182472856</v>
      </c>
      <c r="J111" s="15" t="n">
        <v>22.0766606461971</v>
      </c>
      <c r="K111" s="15" t="n">
        <v>2028.78124418727</v>
      </c>
      <c r="L111" s="15" t="n">
        <v>250.177003458689</v>
      </c>
      <c r="M111" s="15" t="n">
        <v>19.7097388174884</v>
      </c>
      <c r="N111" s="17" t="n">
        <v>1.75363099339313</v>
      </c>
      <c r="O111" s="18" t="n">
        <v>0.0864376579987377</v>
      </c>
    </row>
    <row r="112" ht="15" customHeight="1" s="12">
      <c r="A112" s="14" t="inlineStr">
        <is>
          <t>Barkhan</t>
        </is>
      </c>
      <c r="B112" s="14" t="inlineStr">
        <is>
          <t>Balochistan</t>
        </is>
      </c>
      <c r="C112" s="14" t="n">
        <v>2015</v>
      </c>
      <c r="D112" s="15" t="n">
        <v>276.022105572492</v>
      </c>
      <c r="E112" s="15" t="n">
        <v>9054.60750240742</v>
      </c>
      <c r="F112" s="15" t="n">
        <v>306.314733982086</v>
      </c>
      <c r="G112" s="15" t="n">
        <v>230.150607585907</v>
      </c>
      <c r="H112" s="15" t="n">
        <v>17.9346259823257</v>
      </c>
      <c r="I112" s="16" t="n">
        <v>6.49753248752591</v>
      </c>
      <c r="J112" s="15" t="n">
        <v>22.6306037059175</v>
      </c>
      <c r="K112" s="15" t="n">
        <v>3519.44177795698</v>
      </c>
      <c r="L112" s="15" t="n">
        <v>277.555111068838</v>
      </c>
      <c r="M112" s="15" t="n">
        <v>-1.53300549634594</v>
      </c>
      <c r="N112" s="17" t="n">
        <v>0.741440236511231</v>
      </c>
      <c r="O112" s="18" t="n">
        <v>0.0210669840073795</v>
      </c>
    </row>
    <row r="113" ht="15" customHeight="1" s="12">
      <c r="A113" s="14" t="inlineStr">
        <is>
          <t>Barkhan</t>
        </is>
      </c>
      <c r="B113" s="14" t="inlineStr">
        <is>
          <t>Balochistan</t>
        </is>
      </c>
      <c r="C113" s="14" t="n">
        <v>2016</v>
      </c>
      <c r="D113" s="15" t="n">
        <v>313.43301424755</v>
      </c>
      <c r="E113" s="15" t="n">
        <v>10281.8320163951</v>
      </c>
      <c r="F113" s="15" t="n">
        <v>366.988260626793</v>
      </c>
      <c r="G113" s="15" t="n">
        <v>236.000197887421</v>
      </c>
      <c r="H113" s="15" t="n">
        <v>32.6509901431587</v>
      </c>
      <c r="I113" s="16" t="n">
        <v>10.417214734556</v>
      </c>
      <c r="J113" s="15" t="n">
        <v>31.3096234309623</v>
      </c>
      <c r="K113" s="15" t="n">
        <v>3519.44177795698</v>
      </c>
      <c r="L113" s="15" t="n">
        <v>277.555111068838</v>
      </c>
      <c r="M113" s="15" t="n">
        <v>35.8779031787123</v>
      </c>
      <c r="N113" s="17" t="n">
        <v>1.05717718440588</v>
      </c>
      <c r="O113" s="18" t="n">
        <v>0.030038206372022</v>
      </c>
    </row>
    <row r="114" ht="15" customHeight="1" s="12">
      <c r="A114" s="14" t="inlineStr">
        <is>
          <t>Barkhan</t>
        </is>
      </c>
      <c r="B114" s="14" t="inlineStr">
        <is>
          <t>Balochistan</t>
        </is>
      </c>
      <c r="C114" s="14" t="n">
        <v>2017</v>
      </c>
      <c r="D114" s="15" t="n">
        <v>246.730679749449</v>
      </c>
      <c r="E114" s="15" t="n">
        <v>8093.73386707505</v>
      </c>
      <c r="F114" s="15" t="n">
        <v>290.988613605499</v>
      </c>
      <c r="G114" s="15" t="n">
        <v>186.15375828743</v>
      </c>
      <c r="H114" s="15" t="n">
        <v>26.107448195653</v>
      </c>
      <c r="I114" s="16" t="n">
        <v>10.5813546260906</v>
      </c>
      <c r="J114" s="15" t="n">
        <v>26.901016138673</v>
      </c>
      <c r="K114" s="15" t="n">
        <v>3519.44177795698</v>
      </c>
      <c r="L114" s="15" t="n">
        <v>277.555111068838</v>
      </c>
      <c r="M114" s="15" t="n">
        <v>-30.824431319389</v>
      </c>
      <c r="N114" s="17" t="n">
        <v>0.983420702289177</v>
      </c>
      <c r="O114" s="18" t="n">
        <v>0.027942519420226</v>
      </c>
    </row>
    <row r="115" ht="15" customHeight="1" s="12">
      <c r="A115" s="14" t="inlineStr">
        <is>
          <t>Barkhan</t>
        </is>
      </c>
      <c r="B115" s="14" t="inlineStr">
        <is>
          <t>Balochistan</t>
        </is>
      </c>
      <c r="C115" s="14" t="n">
        <v>2018</v>
      </c>
      <c r="D115" s="15" t="n">
        <v>193.457520262987</v>
      </c>
      <c r="E115" s="15" t="n">
        <v>6346.16532156818</v>
      </c>
      <c r="F115" s="15" t="n">
        <v>224.111251831055</v>
      </c>
      <c r="G115" s="15" t="n">
        <v>133.113997019827</v>
      </c>
      <c r="H115" s="15" t="n">
        <v>22.5265091998837</v>
      </c>
      <c r="I115" s="16" t="n">
        <v>11.6441631058131</v>
      </c>
      <c r="J115" s="15" t="n">
        <v>26.2011954572624</v>
      </c>
      <c r="K115" s="15" t="n">
        <v>3519.44177795698</v>
      </c>
      <c r="L115" s="15" t="n">
        <v>277.555111068838</v>
      </c>
      <c r="M115" s="15" t="n">
        <v>-84.0975908058506</v>
      </c>
      <c r="N115" s="17" t="n">
        <v>1.08962766705322</v>
      </c>
      <c r="O115" s="18" t="n">
        <v>0.0309602413052489</v>
      </c>
    </row>
    <row r="116" ht="15" customHeight="1" s="12">
      <c r="A116" s="14" t="inlineStr">
        <is>
          <t>Barkhan</t>
        </is>
      </c>
      <c r="B116" s="14" t="inlineStr">
        <is>
          <t>Balochistan</t>
        </is>
      </c>
      <c r="C116" s="14" t="n">
        <v>2019</v>
      </c>
      <c r="D116" s="15" t="n">
        <v>229.061046357628</v>
      </c>
      <c r="E116" s="15" t="n">
        <v>7514.10059914337</v>
      </c>
      <c r="F116" s="15" t="n">
        <v>269.081391453743</v>
      </c>
      <c r="G116" s="15" t="n">
        <v>189.489218831062</v>
      </c>
      <c r="H116" s="15" t="n">
        <v>19.6906402235519</v>
      </c>
      <c r="I116" s="16" t="n">
        <v>8.596241280068771</v>
      </c>
      <c r="J116" s="15" t="n">
        <v>31.2325164375374</v>
      </c>
      <c r="K116" s="15" t="n">
        <v>3519.44177795698</v>
      </c>
      <c r="L116" s="15" t="n">
        <v>277.555111068838</v>
      </c>
      <c r="M116" s="15" t="n">
        <v>-48.4940647112095</v>
      </c>
      <c r="N116" s="17" t="n">
        <v>0.783202567199707</v>
      </c>
      <c r="O116" s="18" t="n">
        <v>0.0222536020372627</v>
      </c>
    </row>
    <row r="117" ht="15" customHeight="1" s="12">
      <c r="A117" s="14" t="inlineStr">
        <is>
          <t>Barkhan</t>
        </is>
      </c>
      <c r="B117" s="14" t="inlineStr">
        <is>
          <t>Balochistan</t>
        </is>
      </c>
      <c r="C117" s="14" t="n">
        <v>2020</v>
      </c>
      <c r="D117" s="15" t="n">
        <v>193.938647076963</v>
      </c>
      <c r="E117" s="15" t="n">
        <v>6361.94816783842</v>
      </c>
      <c r="F117" s="15" t="n">
        <v>219.80638780507</v>
      </c>
      <c r="G117" s="15" t="n">
        <v>167.01891140594</v>
      </c>
      <c r="H117" s="15" t="n">
        <v>12.9841289024748</v>
      </c>
      <c r="I117" s="16" t="n">
        <v>6.69496724772041</v>
      </c>
      <c r="J117" s="15" t="n">
        <v>26.8640765092648</v>
      </c>
      <c r="K117" s="15" t="n">
        <v>3519.44177795698</v>
      </c>
      <c r="L117" s="15" t="n">
        <v>277.555111068838</v>
      </c>
      <c r="M117" s="15" t="n">
        <v>-83.6164639918744</v>
      </c>
      <c r="N117" s="17" t="n">
        <v>0.902730567382812</v>
      </c>
      <c r="O117" s="18" t="n">
        <v>0.025649822453004</v>
      </c>
    </row>
    <row r="118" ht="15" customHeight="1" s="12">
      <c r="A118" s="14" t="inlineStr">
        <is>
          <t>Barkhan</t>
        </is>
      </c>
      <c r="B118" s="14" t="inlineStr">
        <is>
          <t>Balochistan</t>
        </is>
      </c>
      <c r="C118" s="14" t="n">
        <v>2021</v>
      </c>
      <c r="D118" s="15" t="n">
        <v>213.390363760067</v>
      </c>
      <c r="E118" s="15" t="n">
        <v>7000.04075628612</v>
      </c>
      <c r="F118" s="15" t="n">
        <v>241.009907722473</v>
      </c>
      <c r="G118" s="15" t="n">
        <v>177.470002293587</v>
      </c>
      <c r="H118" s="15" t="n">
        <v>17.225410396663</v>
      </c>
      <c r="I118" s="16" t="n">
        <v>8.07225316698508</v>
      </c>
      <c r="J118" s="15" t="n">
        <v>20.5096234309623</v>
      </c>
      <c r="K118" s="15" t="n">
        <v>3519.44177795698</v>
      </c>
      <c r="L118" s="15" t="n">
        <v>277.555111068838</v>
      </c>
      <c r="M118" s="15" t="n">
        <v>-64.1647473087704</v>
      </c>
      <c r="N118" s="17" t="n">
        <v>1.35440306854248</v>
      </c>
      <c r="O118" s="18" t="n">
        <v>0.0384834628328106</v>
      </c>
    </row>
    <row r="119" ht="15" customHeight="1" s="12">
      <c r="A119" s="14" t="inlineStr">
        <is>
          <t>Barkhan</t>
        </is>
      </c>
      <c r="B119" s="14" t="inlineStr">
        <is>
          <t>Balochistan</t>
        </is>
      </c>
      <c r="C119" s="14" t="n">
        <v>2022</v>
      </c>
      <c r="D119" s="15" t="n">
        <v>506.664322765278</v>
      </c>
      <c r="E119" s="15" t="n">
        <v>16620.5767056139</v>
      </c>
      <c r="F119" s="15" t="n">
        <v>587.282408273159</v>
      </c>
      <c r="G119" s="15" t="n">
        <v>399.910006299615</v>
      </c>
      <c r="H119" s="15" t="n">
        <v>44.7421889041589</v>
      </c>
      <c r="I119" s="16" t="n">
        <v>8.83073603050723</v>
      </c>
      <c r="J119" s="15" t="n">
        <v>37.8673042438733</v>
      </c>
      <c r="K119" s="15" t="n">
        <v>3519.44177795698</v>
      </c>
      <c r="L119" s="15" t="n">
        <v>277.555111068838</v>
      </c>
      <c r="M119" s="15" t="n">
        <v>229.10921169644</v>
      </c>
      <c r="N119" s="17" t="n">
        <v>1.59322563934326</v>
      </c>
      <c r="O119" s="18" t="n">
        <v>0.0452692710907161</v>
      </c>
    </row>
    <row r="120" ht="15" customHeight="1" s="12">
      <c r="A120" s="14" t="inlineStr">
        <is>
          <t>Barkhan</t>
        </is>
      </c>
      <c r="B120" s="14" t="inlineStr">
        <is>
          <t>Balochistan</t>
        </is>
      </c>
      <c r="C120" s="14" t="n">
        <v>2023</v>
      </c>
      <c r="D120" s="15" t="n">
        <v>301.814272598848</v>
      </c>
      <c r="E120" s="15" t="n">
        <v>9900.691726624969</v>
      </c>
      <c r="F120" s="15" t="n">
        <v>339.883778572083</v>
      </c>
      <c r="G120" s="15" t="n">
        <v>234.256147921085</v>
      </c>
      <c r="H120" s="15" t="n">
        <v>26.1164723799025</v>
      </c>
      <c r="I120" s="16" t="n">
        <v>8.653160155422739</v>
      </c>
      <c r="J120" s="15" t="n">
        <v>26.0863120143455</v>
      </c>
      <c r="K120" s="15" t="n">
        <v>3519.44177795698</v>
      </c>
      <c r="L120" s="15" t="n">
        <v>277.555111068838</v>
      </c>
      <c r="M120" s="15" t="n">
        <v>24.2591615300109</v>
      </c>
      <c r="N120" s="17" t="n">
        <v>0.444496808410644</v>
      </c>
      <c r="O120" s="18" t="n">
        <v>0.012629753138541</v>
      </c>
    </row>
    <row r="121" ht="15" customHeight="1" s="12">
      <c r="A121" s="14" t="inlineStr">
        <is>
          <t>Barkhan</t>
        </is>
      </c>
      <c r="B121" s="14" t="inlineStr">
        <is>
          <t>Balochistan</t>
        </is>
      </c>
      <c r="C121" s="14" t="n">
        <v>2024</v>
      </c>
      <c r="D121" s="15" t="n">
        <v>329.814086270098</v>
      </c>
      <c r="E121" s="15" t="n">
        <v>10819.1954182328</v>
      </c>
      <c r="F121" s="15" t="n">
        <v>382.119692849226</v>
      </c>
      <c r="G121" s="15" t="n">
        <v>252.216754771769</v>
      </c>
      <c r="H121" s="15" t="n">
        <v>35.5122477234791</v>
      </c>
      <c r="I121" s="16" t="n">
        <v>10.7673532459122</v>
      </c>
      <c r="J121" s="15" t="n">
        <v>38.5011356843993</v>
      </c>
      <c r="K121" s="15" t="n">
        <v>3519.44177795698</v>
      </c>
      <c r="L121" s="15" t="n">
        <v>277.555111068838</v>
      </c>
      <c r="M121" s="15" t="n">
        <v>52.2589752012603</v>
      </c>
      <c r="N121" s="17" t="n">
        <v>1.09265993078613</v>
      </c>
      <c r="O121" s="18" t="n">
        <v>0.0310463988246573</v>
      </c>
    </row>
    <row r="122" ht="15" customHeight="1" s="12">
      <c r="A122" s="14" t="inlineStr">
        <is>
          <t>Barkhan</t>
        </is>
      </c>
      <c r="B122" s="14" t="inlineStr">
        <is>
          <t>Balochistan</t>
        </is>
      </c>
      <c r="C122" s="14" t="n">
        <v>2025</v>
      </c>
      <c r="D122" s="15" t="n">
        <v>248.780163095853</v>
      </c>
      <c r="E122" s="15" t="n">
        <v>8160.96495802672</v>
      </c>
      <c r="F122" s="15" t="n">
        <v>284.137100770371</v>
      </c>
      <c r="G122" s="15" t="n">
        <v>191.012494765397</v>
      </c>
      <c r="H122" s="15" t="n">
        <v>24.7727460896634</v>
      </c>
      <c r="I122" s="16" t="n">
        <v>9.95768544460622</v>
      </c>
      <c r="J122" s="15" t="n">
        <v>26.9069934249851</v>
      </c>
      <c r="K122" s="15" t="n">
        <v>3519.44177795698</v>
      </c>
      <c r="L122" s="15" t="n">
        <v>277.555111068838</v>
      </c>
      <c r="M122" s="15" t="n">
        <v>-28.7749479729843</v>
      </c>
      <c r="N122" s="17" t="n">
        <v>0.698825003173828</v>
      </c>
      <c r="O122" s="18" t="n">
        <v>0.0198561319454329</v>
      </c>
    </row>
    <row r="123" ht="15" customHeight="1" s="12">
      <c r="A123" s="14" t="inlineStr">
        <is>
          <t>Batagram</t>
        </is>
      </c>
      <c r="B123" s="14" t="inlineStr">
        <is>
          <t>Khyber Pakhtunkhwa</t>
        </is>
      </c>
      <c r="C123" s="14" t="n">
        <v>2015</v>
      </c>
      <c r="D123" s="15" t="n">
        <v>610.909915481373</v>
      </c>
      <c r="E123" s="15" t="n">
        <v>8876.161713170541</v>
      </c>
      <c r="F123" s="15" t="n">
        <v>717.391817569733</v>
      </c>
      <c r="G123" s="15" t="n">
        <v>456.881890773773</v>
      </c>
      <c r="H123" s="15" t="n">
        <v>65.7964442912384</v>
      </c>
      <c r="I123" s="16" t="n">
        <v>10.7702367605858</v>
      </c>
      <c r="J123" s="15" t="n">
        <v>25.3120107962213</v>
      </c>
      <c r="K123" s="15" t="n">
        <v>1485.35442852251</v>
      </c>
      <c r="L123" s="15" t="n">
        <v>582.3433007777689</v>
      </c>
      <c r="M123" s="15" t="n">
        <v>28.5666147036042</v>
      </c>
      <c r="N123" s="17" t="n">
        <v>0.428957930334233</v>
      </c>
      <c r="O123" s="18" t="n">
        <v>0.0288791632553935</v>
      </c>
    </row>
    <row r="124" ht="15" customHeight="1" s="12">
      <c r="A124" s="14" t="inlineStr">
        <is>
          <t>Batagram</t>
        </is>
      </c>
      <c r="B124" s="14" t="inlineStr">
        <is>
          <t>Khyber Pakhtunkhwa</t>
        </is>
      </c>
      <c r="C124" s="14" t="n">
        <v>2016</v>
      </c>
      <c r="D124" s="15" t="n">
        <v>581.812302001671</v>
      </c>
      <c r="E124" s="15" t="n">
        <v>8453.390505553691</v>
      </c>
      <c r="F124" s="15" t="n">
        <v>695.59358215332</v>
      </c>
      <c r="G124" s="15" t="n">
        <v>430.206709861755</v>
      </c>
      <c r="H124" s="15" t="n">
        <v>68.49761451987889</v>
      </c>
      <c r="I124" s="16" t="n">
        <v>11.7731464742528</v>
      </c>
      <c r="J124" s="15" t="n">
        <v>18.4450742240216</v>
      </c>
      <c r="K124" s="15" t="n">
        <v>1485.35442852251</v>
      </c>
      <c r="L124" s="15" t="n">
        <v>582.3433007777689</v>
      </c>
      <c r="M124" s="15" t="n">
        <v>-0.530998776097704</v>
      </c>
      <c r="N124" s="17" t="n">
        <v>0.650780984453268</v>
      </c>
      <c r="O124" s="18" t="n">
        <v>0.043813178320046</v>
      </c>
    </row>
    <row r="125" ht="15" customHeight="1" s="12">
      <c r="A125" s="14" t="inlineStr">
        <is>
          <t>Batagram</t>
        </is>
      </c>
      <c r="B125" s="14" t="inlineStr">
        <is>
          <t>Khyber Pakhtunkhwa</t>
        </is>
      </c>
      <c r="C125" s="14" t="n">
        <v>2017</v>
      </c>
      <c r="D125" s="15" t="n">
        <v>532.940082205999</v>
      </c>
      <c r="E125" s="15" t="n">
        <v>7743.30590028716</v>
      </c>
      <c r="F125" s="15" t="n">
        <v>618.888818025589</v>
      </c>
      <c r="G125" s="15" t="n">
        <v>416.352806329727</v>
      </c>
      <c r="H125" s="15" t="n">
        <v>54.5268356118253</v>
      </c>
      <c r="I125" s="16" t="n">
        <v>10.231325702905</v>
      </c>
      <c r="J125" s="15" t="n">
        <v>26.8920377867746</v>
      </c>
      <c r="K125" s="15" t="n">
        <v>1485.35442852251</v>
      </c>
      <c r="L125" s="15" t="n">
        <v>582.3433007777689</v>
      </c>
      <c r="M125" s="15" t="n">
        <v>-49.4032185717701</v>
      </c>
      <c r="N125" s="17" t="n">
        <v>0.20515437639974</v>
      </c>
      <c r="O125" s="18" t="n">
        <v>0.0138118130232262</v>
      </c>
    </row>
    <row r="126" ht="15" customHeight="1" s="12">
      <c r="A126" s="14" t="inlineStr">
        <is>
          <t>Batagram</t>
        </is>
      </c>
      <c r="B126" s="14" t="inlineStr">
        <is>
          <t>Khyber Pakhtunkhwa</t>
        </is>
      </c>
      <c r="C126" s="14" t="n">
        <v>2018</v>
      </c>
      <c r="D126" s="15" t="n">
        <v>594.738213635167</v>
      </c>
      <c r="E126" s="15" t="n">
        <v>8641.196398110949</v>
      </c>
      <c r="F126" s="15" t="n">
        <v>719.942518949509</v>
      </c>
      <c r="G126" s="15" t="n">
        <v>414.691539406776</v>
      </c>
      <c r="H126" s="15" t="n">
        <v>80.69907481621171</v>
      </c>
      <c r="I126" s="16" t="n">
        <v>13.5688396955295</v>
      </c>
      <c r="J126" s="15" t="n">
        <v>36.4461538461539</v>
      </c>
      <c r="K126" s="15" t="n">
        <v>1485.35442852251</v>
      </c>
      <c r="L126" s="15" t="n">
        <v>582.3433007777689</v>
      </c>
      <c r="M126" s="15" t="n">
        <v>12.3949128573979</v>
      </c>
      <c r="N126" s="17" t="n">
        <v>0.388348834769215</v>
      </c>
      <c r="O126" s="18" t="n">
        <v>0.0261451965478373</v>
      </c>
    </row>
    <row r="127" ht="15" customHeight="1" s="12">
      <c r="A127" s="14" t="inlineStr">
        <is>
          <t>Batagram</t>
        </is>
      </c>
      <c r="B127" s="14" t="inlineStr">
        <is>
          <t>Khyber Pakhtunkhwa</t>
        </is>
      </c>
      <c r="C127" s="14" t="n">
        <v>2019</v>
      </c>
      <c r="D127" s="15" t="n">
        <v>529.916807309471</v>
      </c>
      <c r="E127" s="15" t="n">
        <v>7699.37949443761</v>
      </c>
      <c r="F127" s="15" t="n">
        <v>652.364035189152</v>
      </c>
      <c r="G127" s="15" t="n">
        <v>356.031054869294</v>
      </c>
      <c r="H127" s="15" t="n">
        <v>74.37389972635241</v>
      </c>
      <c r="I127" s="16" t="n">
        <v>14.0350143079946</v>
      </c>
      <c r="J127" s="15" t="n">
        <v>21.289338731444</v>
      </c>
      <c r="K127" s="15" t="n">
        <v>1485.35442852251</v>
      </c>
      <c r="L127" s="15" t="n">
        <v>582.3433007777689</v>
      </c>
      <c r="M127" s="15" t="n">
        <v>-52.4264934682982</v>
      </c>
      <c r="N127" s="17" t="n">
        <v>0.384325395559034</v>
      </c>
      <c r="O127" s="18" t="n">
        <v>0.0258743225306383</v>
      </c>
    </row>
    <row r="128" ht="15" customHeight="1" s="12">
      <c r="A128" s="14" t="inlineStr">
        <is>
          <t>Batagram</t>
        </is>
      </c>
      <c r="B128" s="14" t="inlineStr">
        <is>
          <t>Khyber Pakhtunkhwa</t>
        </is>
      </c>
      <c r="C128" s="14" t="n">
        <v>2020</v>
      </c>
      <c r="D128" s="15" t="n">
        <v>647.750506740329</v>
      </c>
      <c r="E128" s="15" t="n">
        <v>9411.43383322714</v>
      </c>
      <c r="F128" s="15" t="n">
        <v>775.766505390406</v>
      </c>
      <c r="G128" s="15" t="n">
        <v>463.999567508698</v>
      </c>
      <c r="H128" s="15" t="n">
        <v>78.7380977341864</v>
      </c>
      <c r="I128" s="16" t="n">
        <v>12.1556211712469</v>
      </c>
      <c r="J128" s="15" t="n">
        <v>28.7654520917679</v>
      </c>
      <c r="K128" s="15" t="n">
        <v>1485.35442852251</v>
      </c>
      <c r="L128" s="15" t="n">
        <v>582.3433007777689</v>
      </c>
      <c r="M128" s="15" t="n">
        <v>65.4072059625604</v>
      </c>
      <c r="N128" s="17" t="n">
        <v>0.468600151393516</v>
      </c>
      <c r="O128" s="18" t="n">
        <v>0.0315480361047319</v>
      </c>
    </row>
    <row r="129" ht="15" customHeight="1" s="12">
      <c r="A129" s="14" t="inlineStr">
        <is>
          <t>Batagram</t>
        </is>
      </c>
      <c r="B129" s="14" t="inlineStr">
        <is>
          <t>Khyber Pakhtunkhwa</t>
        </is>
      </c>
      <c r="C129" s="14" t="n">
        <v>2021</v>
      </c>
      <c r="D129" s="15" t="n">
        <v>657.830793004694</v>
      </c>
      <c r="E129" s="15" t="n">
        <v>9557.8944630682</v>
      </c>
      <c r="F129" s="15" t="n">
        <v>780.012534050067</v>
      </c>
      <c r="G129" s="15" t="n">
        <v>496.588692635298</v>
      </c>
      <c r="H129" s="15" t="n">
        <v>65.75044821892121</v>
      </c>
      <c r="I129" s="16" t="n">
        <v>9.99503959347977</v>
      </c>
      <c r="J129" s="15" t="n">
        <v>29.4437246963563</v>
      </c>
      <c r="K129" s="15" t="n">
        <v>1485.35442852251</v>
      </c>
      <c r="L129" s="15" t="n">
        <v>582.3433007777689</v>
      </c>
      <c r="M129" s="15" t="n">
        <v>75.4874922269254</v>
      </c>
      <c r="N129" s="17" t="n">
        <v>0.354594820808919</v>
      </c>
      <c r="O129" s="18" t="n">
        <v>0.023872741347103</v>
      </c>
    </row>
    <row r="130" ht="15" customHeight="1" s="12">
      <c r="A130" s="14" t="inlineStr">
        <is>
          <t>Batagram</t>
        </is>
      </c>
      <c r="B130" s="14" t="inlineStr">
        <is>
          <t>Khyber Pakhtunkhwa</t>
        </is>
      </c>
      <c r="C130" s="14" t="n">
        <v>2022</v>
      </c>
      <c r="D130" s="15" t="n">
        <v>518.831909989973</v>
      </c>
      <c r="E130" s="15" t="n">
        <v>7538.32245691313</v>
      </c>
      <c r="F130" s="15" t="n">
        <v>594.48935508728</v>
      </c>
      <c r="G130" s="15" t="n">
        <v>414.739276409149</v>
      </c>
      <c r="H130" s="15" t="n">
        <v>47.107603119355</v>
      </c>
      <c r="I130" s="16" t="n">
        <v>9.079550084008011</v>
      </c>
      <c r="J130" s="15" t="n">
        <v>29.2572199730094</v>
      </c>
      <c r="K130" s="15" t="n">
        <v>1485.35442852251</v>
      </c>
      <c r="L130" s="15" t="n">
        <v>582.3433007777689</v>
      </c>
      <c r="M130" s="15" t="n">
        <v>-63.5113907877961</v>
      </c>
      <c r="N130" s="17" t="n">
        <v>0.397873595861816</v>
      </c>
      <c r="O130" s="18" t="n">
        <v>0.0267864415537229</v>
      </c>
    </row>
    <row r="131" ht="15" customHeight="1" s="12">
      <c r="A131" s="14" t="inlineStr">
        <is>
          <t>Batagram</t>
        </is>
      </c>
      <c r="B131" s="14" t="inlineStr">
        <is>
          <t>Khyber Pakhtunkhwa</t>
        </is>
      </c>
      <c r="C131" s="14" t="n">
        <v>2023</v>
      </c>
      <c r="D131" s="15" t="n">
        <v>590.3684539696141</v>
      </c>
      <c r="E131" s="15" t="n">
        <v>8577.70636061734</v>
      </c>
      <c r="F131" s="15" t="n">
        <v>724.52241563797</v>
      </c>
      <c r="G131" s="15" t="n">
        <v>372.291166543961</v>
      </c>
      <c r="H131" s="15" t="n">
        <v>94.16671032618891</v>
      </c>
      <c r="I131" s="16" t="n">
        <v>15.9504983189762</v>
      </c>
      <c r="J131" s="15" t="n">
        <v>19.1414304993252</v>
      </c>
      <c r="K131" s="15" t="n">
        <v>1485.35442852251</v>
      </c>
      <c r="L131" s="15" t="n">
        <v>582.3433007777689</v>
      </c>
      <c r="M131" s="15" t="n">
        <v>8.025153191845449</v>
      </c>
      <c r="N131" s="17" t="n">
        <v>0.368023203754978</v>
      </c>
      <c r="O131" s="18" t="n">
        <v>0.0247767937865882</v>
      </c>
    </row>
    <row r="132" ht="15" customHeight="1" s="12">
      <c r="A132" s="14" t="inlineStr">
        <is>
          <t>Batagram</t>
        </is>
      </c>
      <c r="B132" s="14" t="inlineStr">
        <is>
          <t>Khyber Pakhtunkhwa</t>
        </is>
      </c>
      <c r="C132" s="14" t="n">
        <v>2024</v>
      </c>
      <c r="D132" s="15" t="n">
        <v>529.974216853309</v>
      </c>
      <c r="E132" s="15" t="n">
        <v>7700.21362133925</v>
      </c>
      <c r="F132" s="15" t="n">
        <v>637.012898519635</v>
      </c>
      <c r="G132" s="15" t="n">
        <v>351.402413869277</v>
      </c>
      <c r="H132" s="15" t="n">
        <v>75.2274114261876</v>
      </c>
      <c r="I132" s="16" t="n">
        <v>14.1945417406994</v>
      </c>
      <c r="J132" s="15" t="n">
        <v>29.361673414305</v>
      </c>
      <c r="K132" s="15" t="n">
        <v>1485.35442852251</v>
      </c>
      <c r="L132" s="15" t="n">
        <v>582.3433007777689</v>
      </c>
      <c r="M132" s="15" t="n">
        <v>-52.3690839244605</v>
      </c>
      <c r="N132" s="17" t="n">
        <v>0.454910094107833</v>
      </c>
      <c r="O132" s="18" t="n">
        <v>0.0306263667022783</v>
      </c>
    </row>
    <row r="133" ht="15" customHeight="1" s="12">
      <c r="A133" s="14" t="inlineStr">
        <is>
          <t>Batagram</t>
        </is>
      </c>
      <c r="B133" s="14" t="inlineStr">
        <is>
          <t>Khyber Pakhtunkhwa</t>
        </is>
      </c>
      <c r="C133" s="14" t="n">
        <v>2025</v>
      </c>
      <c r="D133" s="15" t="n">
        <v>610.703107363858</v>
      </c>
      <c r="E133" s="15" t="n">
        <v>8873.15691287488</v>
      </c>
      <c r="F133" s="15" t="n">
        <v>735.55911000073</v>
      </c>
      <c r="G133" s="15" t="n">
        <v>422.420136213303</v>
      </c>
      <c r="H133" s="15" t="n">
        <v>85.25746645085771</v>
      </c>
      <c r="I133" s="16" t="n">
        <v>13.960542434257</v>
      </c>
      <c r="J133" s="15" t="n">
        <v>40.0067476383266</v>
      </c>
      <c r="K133" s="15" t="n">
        <v>1485.35442852251</v>
      </c>
      <c r="L133" s="15" t="n">
        <v>582.3433007777689</v>
      </c>
      <c r="M133" s="15" t="n">
        <v>28.3598065860891</v>
      </c>
      <c r="N133" s="17" t="n">
        <v>0.27674797939501</v>
      </c>
      <c r="O133" s="18" t="n">
        <v>0.0186317806767704</v>
      </c>
    </row>
    <row r="134" ht="15" customHeight="1" s="12">
      <c r="A134" s="14" t="inlineStr">
        <is>
          <t>Bhakkar</t>
        </is>
      </c>
      <c r="B134" s="14" t="inlineStr">
        <is>
          <t>Punjab</t>
        </is>
      </c>
      <c r="C134" s="14" t="n">
        <v>2015</v>
      </c>
      <c r="D134" s="15" t="n">
        <v>342.523392084522</v>
      </c>
      <c r="E134" s="15" t="n">
        <v>27607.3854020125</v>
      </c>
      <c r="F134" s="15" t="n">
        <v>540.073832511902</v>
      </c>
      <c r="G134" s="15" t="n">
        <v>199.86028060317</v>
      </c>
      <c r="H134" s="15" t="n">
        <v>78.9479409987223</v>
      </c>
      <c r="I134" s="16" t="n">
        <v>23.0489195258352</v>
      </c>
      <c r="J134" s="15" t="n">
        <v>23.1748163285165</v>
      </c>
      <c r="K134" s="15" t="n">
        <v>8479.805665745311</v>
      </c>
      <c r="L134" s="15" t="n">
        <v>280.437469539703</v>
      </c>
      <c r="M134" s="15" t="n">
        <v>62.0859225448191</v>
      </c>
      <c r="N134" s="17" t="n">
        <v>24.7691453743968</v>
      </c>
      <c r="O134" s="18" t="n">
        <v>0.292095672362554</v>
      </c>
    </row>
    <row r="135" ht="15" customHeight="1" s="12">
      <c r="A135" s="14" t="inlineStr">
        <is>
          <t>Bhakkar</t>
        </is>
      </c>
      <c r="B135" s="14" t="inlineStr">
        <is>
          <t>Punjab</t>
        </is>
      </c>
      <c r="C135" s="14" t="n">
        <v>2016</v>
      </c>
      <c r="D135" s="15" t="n">
        <v>314.534678377453</v>
      </c>
      <c r="E135" s="15" t="n">
        <v>25351.4950772227</v>
      </c>
      <c r="F135" s="15" t="n">
        <v>501.158616364002</v>
      </c>
      <c r="G135" s="15" t="n">
        <v>190.082522809505</v>
      </c>
      <c r="H135" s="15" t="n">
        <v>84.7909435990324</v>
      </c>
      <c r="I135" s="16" t="n">
        <v>26.9575819227412</v>
      </c>
      <c r="J135" s="15" t="n">
        <v>24.5518902350022</v>
      </c>
      <c r="K135" s="15" t="n">
        <v>8479.805665745311</v>
      </c>
      <c r="L135" s="15" t="n">
        <v>280.437469539703</v>
      </c>
      <c r="M135" s="15" t="n">
        <v>34.0972088377502</v>
      </c>
      <c r="N135" s="17" t="n">
        <v>9.500834571639521</v>
      </c>
      <c r="O135" s="18" t="n">
        <v>0.112040711145289</v>
      </c>
    </row>
    <row r="136" ht="15" customHeight="1" s="12">
      <c r="A136" s="14" t="inlineStr">
        <is>
          <t>Bhakkar</t>
        </is>
      </c>
      <c r="B136" s="14" t="inlineStr">
        <is>
          <t>Punjab</t>
        </is>
      </c>
      <c r="C136" s="14" t="n">
        <v>2017</v>
      </c>
      <c r="D136" s="15" t="n">
        <v>236.297344581116</v>
      </c>
      <c r="E136" s="15" t="n">
        <v>19045.565973238</v>
      </c>
      <c r="F136" s="15" t="n">
        <v>309.710506677628</v>
      </c>
      <c r="G136" s="15" t="n">
        <v>143.778959989548</v>
      </c>
      <c r="H136" s="15" t="n">
        <v>41.3630241243965</v>
      </c>
      <c r="I136" s="16" t="n">
        <v>17.5046504215782</v>
      </c>
      <c r="J136" s="15" t="n">
        <v>19.9718289300832</v>
      </c>
      <c r="K136" s="15" t="n">
        <v>8479.805665745311</v>
      </c>
      <c r="L136" s="15" t="n">
        <v>280.437469539703</v>
      </c>
      <c r="M136" s="15" t="n">
        <v>-44.1401249585865</v>
      </c>
      <c r="N136" s="17" t="n">
        <v>10.3541935219602</v>
      </c>
      <c r="O136" s="18" t="n">
        <v>0.122104136935433</v>
      </c>
    </row>
    <row r="137" ht="15" customHeight="1" s="12">
      <c r="A137" s="14" t="inlineStr">
        <is>
          <t>Bhakkar</t>
        </is>
      </c>
      <c r="B137" s="14" t="inlineStr">
        <is>
          <t>Punjab</t>
        </is>
      </c>
      <c r="C137" s="14" t="n">
        <v>2018</v>
      </c>
      <c r="D137" s="15" t="n">
        <v>167.621001669416</v>
      </c>
      <c r="E137" s="15" t="n">
        <v>13510.2527345549</v>
      </c>
      <c r="F137" s="15" t="n">
        <v>264.655087590218</v>
      </c>
      <c r="G137" s="15" t="n">
        <v>98.0388645529747</v>
      </c>
      <c r="H137" s="15" t="n">
        <v>43.5006525118319</v>
      </c>
      <c r="I137" s="16" t="n">
        <v>25.9517912902253</v>
      </c>
      <c r="J137" s="15" t="n">
        <v>18.8198803094439</v>
      </c>
      <c r="K137" s="15" t="n">
        <v>8479.805665745311</v>
      </c>
      <c r="L137" s="15" t="n">
        <v>280.437469539703</v>
      </c>
      <c r="M137" s="15" t="n">
        <v>-112.816467870287</v>
      </c>
      <c r="N137" s="17" t="n">
        <v>13.7892114663075</v>
      </c>
      <c r="O137" s="18" t="n">
        <v>0.16261235233267</v>
      </c>
    </row>
    <row r="138" ht="15" customHeight="1" s="12">
      <c r="A138" s="14" t="inlineStr">
        <is>
          <t>Bhakkar</t>
        </is>
      </c>
      <c r="B138" s="14" t="inlineStr">
        <is>
          <t>Punjab</t>
        </is>
      </c>
      <c r="C138" s="14" t="n">
        <v>2019</v>
      </c>
      <c r="D138" s="15" t="n">
        <v>282.87534702441</v>
      </c>
      <c r="E138" s="15" t="n">
        <v>22799.7529701675</v>
      </c>
      <c r="F138" s="15" t="n">
        <v>446.085743686708</v>
      </c>
      <c r="G138" s="15" t="n">
        <v>175.464762444841</v>
      </c>
      <c r="H138" s="15" t="n">
        <v>70.0089205641341</v>
      </c>
      <c r="I138" s="16" t="n">
        <v>24.7490356796956</v>
      </c>
      <c r="J138" s="15" t="n">
        <v>24.3909404953048</v>
      </c>
      <c r="K138" s="15" t="n">
        <v>8479.805665745311</v>
      </c>
      <c r="L138" s="15" t="n">
        <v>280.437469539703</v>
      </c>
      <c r="M138" s="15" t="n">
        <v>2.4378774847076</v>
      </c>
      <c r="N138" s="17" t="n">
        <v>13.2104536882567</v>
      </c>
      <c r="O138" s="18" t="n">
        <v>0.155787222124926</v>
      </c>
    </row>
    <row r="139" ht="15" customHeight="1" s="12">
      <c r="A139" s="14" t="inlineStr">
        <is>
          <t>Bhakkar</t>
        </is>
      </c>
      <c r="B139" s="14" t="inlineStr">
        <is>
          <t>Punjab</t>
        </is>
      </c>
      <c r="C139" s="14" t="n">
        <v>2020</v>
      </c>
      <c r="D139" s="15" t="n">
        <v>274.095974530321</v>
      </c>
      <c r="E139" s="15" t="n">
        <v>22092.1355471438</v>
      </c>
      <c r="F139" s="15" t="n">
        <v>390.101627256731</v>
      </c>
      <c r="G139" s="15" t="n">
        <v>167.648875781535</v>
      </c>
      <c r="H139" s="15" t="n">
        <v>56.6829272156985</v>
      </c>
      <c r="I139" s="16" t="n">
        <v>20.679956103999</v>
      </c>
      <c r="J139" s="15" t="n">
        <v>25.5133557144943</v>
      </c>
      <c r="K139" s="15" t="n">
        <v>8479.805665745311</v>
      </c>
      <c r="L139" s="15" t="n">
        <v>280.437469539703</v>
      </c>
      <c r="M139" s="15" t="n">
        <v>-6.34149500938224</v>
      </c>
      <c r="N139" s="17" t="n">
        <v>15.1415673146666</v>
      </c>
      <c r="O139" s="18" t="n">
        <v>0.178560310359846</v>
      </c>
    </row>
    <row r="140" ht="15" customHeight="1" s="12">
      <c r="A140" s="14" t="inlineStr">
        <is>
          <t>Bhakkar</t>
        </is>
      </c>
      <c r="B140" s="14" t="inlineStr">
        <is>
          <t>Punjab</t>
        </is>
      </c>
      <c r="C140" s="14" t="n">
        <v>2021</v>
      </c>
      <c r="D140" s="15" t="n">
        <v>231.793999087016</v>
      </c>
      <c r="E140" s="15" t="n">
        <v>18682.5963264135</v>
      </c>
      <c r="F140" s="15" t="n">
        <v>350.309391260147</v>
      </c>
      <c r="G140" s="15" t="n">
        <v>153.328465998173</v>
      </c>
      <c r="H140" s="15" t="n">
        <v>56.4702453365001</v>
      </c>
      <c r="I140" s="16" t="n">
        <v>24.3622550881057</v>
      </c>
      <c r="J140" s="15" t="n">
        <v>18.2072203571255</v>
      </c>
      <c r="K140" s="15" t="n">
        <v>8479.805665745311</v>
      </c>
      <c r="L140" s="15" t="n">
        <v>280.437469539703</v>
      </c>
      <c r="M140" s="15" t="n">
        <v>-48.6434704526871</v>
      </c>
      <c r="N140" s="17" t="n">
        <v>21.761185574892</v>
      </c>
      <c r="O140" s="18" t="n">
        <v>0.25662363540709</v>
      </c>
    </row>
    <row r="141" ht="15" customHeight="1" s="12">
      <c r="A141" s="14" t="inlineStr">
        <is>
          <t>Bhakkar</t>
        </is>
      </c>
      <c r="B141" s="14" t="inlineStr">
        <is>
          <t>Punjab</t>
        </is>
      </c>
      <c r="C141" s="14" t="n">
        <v>2022</v>
      </c>
      <c r="D141" s="15" t="n">
        <v>380.759407745269</v>
      </c>
      <c r="E141" s="15" t="n">
        <v>30689.2082642686</v>
      </c>
      <c r="F141" s="15" t="n">
        <v>534.23938972794</v>
      </c>
      <c r="G141" s="15" t="n">
        <v>270.101834148169</v>
      </c>
      <c r="H141" s="15" t="n">
        <v>70.66702598787759</v>
      </c>
      <c r="I141" s="16" t="n">
        <v>18.5594957210235</v>
      </c>
      <c r="J141" s="15" t="n">
        <v>26.9687150294361</v>
      </c>
      <c r="K141" s="15" t="n">
        <v>8479.805665745311</v>
      </c>
      <c r="L141" s="15" t="n">
        <v>280.437469539703</v>
      </c>
      <c r="M141" s="15" t="n">
        <v>100.321938205566</v>
      </c>
      <c r="N141" s="17" t="n">
        <v>11.9407881773781</v>
      </c>
      <c r="O141" s="18" t="n">
        <v>0.140814408349163</v>
      </c>
    </row>
    <row r="142" ht="15" customHeight="1" s="12">
      <c r="A142" s="14" t="inlineStr">
        <is>
          <t>Bhakkar</t>
        </is>
      </c>
      <c r="B142" s="14" t="inlineStr">
        <is>
          <t>Punjab</t>
        </is>
      </c>
      <c r="C142" s="14" t="n">
        <v>2023</v>
      </c>
      <c r="D142" s="15" t="n">
        <v>228.987916378243</v>
      </c>
      <c r="E142" s="15" t="n">
        <v>18456.4260600864</v>
      </c>
      <c r="F142" s="15" t="n">
        <v>324.325700759888</v>
      </c>
      <c r="G142" s="15" t="n">
        <v>142.799505352974</v>
      </c>
      <c r="H142" s="15" t="n">
        <v>50.7071115880605</v>
      </c>
      <c r="I142" s="16" t="n">
        <v>22.1440119592609</v>
      </c>
      <c r="J142" s="15" t="n">
        <v>15.6949350459787</v>
      </c>
      <c r="K142" s="15" t="n">
        <v>8479.805665745311</v>
      </c>
      <c r="L142" s="15" t="n">
        <v>280.437469539703</v>
      </c>
      <c r="M142" s="15" t="n">
        <v>-51.4495531614599</v>
      </c>
      <c r="N142" s="17" t="n">
        <v>11.943919110204</v>
      </c>
      <c r="O142" s="18" t="n">
        <v>0.140851330572965</v>
      </c>
    </row>
    <row r="143" ht="15" customHeight="1" s="12">
      <c r="A143" s="14" t="inlineStr">
        <is>
          <t>Bhakkar</t>
        </is>
      </c>
      <c r="B143" s="14" t="inlineStr">
        <is>
          <t>Punjab</t>
        </is>
      </c>
      <c r="C143" s="14" t="n">
        <v>2024</v>
      </c>
      <c r="D143" s="15" t="n">
        <v>299.020977277429</v>
      </c>
      <c r="E143" s="15" t="n">
        <v>24101.0907685608</v>
      </c>
      <c r="F143" s="15" t="n">
        <v>374.40048661828</v>
      </c>
      <c r="G143" s="15" t="n">
        <v>214.278059023083</v>
      </c>
      <c r="H143" s="15" t="n">
        <v>37.2224519521155</v>
      </c>
      <c r="I143" s="16" t="n">
        <v>12.4481072502083</v>
      </c>
      <c r="J143" s="15" t="n">
        <v>30.415316498808</v>
      </c>
      <c r="K143" s="15" t="n">
        <v>8479.805665745311</v>
      </c>
      <c r="L143" s="15" t="n">
        <v>280.437469539703</v>
      </c>
      <c r="M143" s="15" t="n">
        <v>18.5835077377266</v>
      </c>
      <c r="N143" s="17" t="n">
        <v>13.2932407304257</v>
      </c>
      <c r="O143" s="18" t="n">
        <v>0.156763506787951</v>
      </c>
    </row>
    <row r="144" ht="15" customHeight="1" s="12">
      <c r="A144" s="14" t="inlineStr">
        <is>
          <t>Bhakkar</t>
        </is>
      </c>
      <c r="B144" s="14" t="inlineStr">
        <is>
          <t>Punjab</t>
        </is>
      </c>
      <c r="C144" s="14" t="n">
        <v>2025</v>
      </c>
      <c r="D144" s="15" t="n">
        <v>326.302126181537</v>
      </c>
      <c r="E144" s="15" t="n">
        <v>26299.9513702318</v>
      </c>
      <c r="F144" s="15" t="n">
        <v>460.678915416131</v>
      </c>
      <c r="G144" s="15" t="n">
        <v>216.518064735748</v>
      </c>
      <c r="H144" s="15" t="n">
        <v>74.0755794789907</v>
      </c>
      <c r="I144" s="16" t="n">
        <v>22.7015313525046</v>
      </c>
      <c r="J144" s="15" t="n">
        <v>23.0218459592274</v>
      </c>
      <c r="K144" s="15" t="n">
        <v>8479.805665745311</v>
      </c>
      <c r="L144" s="15" t="n">
        <v>280.437469539703</v>
      </c>
      <c r="M144" s="15" t="n">
        <v>45.8646566418338</v>
      </c>
      <c r="N144" s="17" t="n">
        <v>8.58744934969336</v>
      </c>
      <c r="O144" s="18" t="n">
        <v>0.101269412156258</v>
      </c>
    </row>
    <row r="145" ht="15" customHeight="1" s="12">
      <c r="A145" s="14" t="inlineStr">
        <is>
          <t>Bhimber</t>
        </is>
      </c>
      <c r="B145" s="14" t="inlineStr">
        <is>
          <t>Azad Kashmir</t>
        </is>
      </c>
      <c r="C145" s="14" t="n">
        <v>2015</v>
      </c>
      <c r="D145" s="15" t="n">
        <v>809.118509686353</v>
      </c>
      <c r="E145" s="15" t="n">
        <v>9471.446083975539</v>
      </c>
      <c r="F145" s="15" t="n">
        <v>943.965521156788</v>
      </c>
      <c r="G145" s="15" t="n">
        <v>713.693947672844</v>
      </c>
      <c r="H145" s="15" t="n">
        <v>63.4899452304398</v>
      </c>
      <c r="I145" s="16" t="n">
        <v>7.8468042036328</v>
      </c>
      <c r="J145" s="15" t="n">
        <v>40.8740368509213</v>
      </c>
      <c r="K145" s="15" t="n">
        <v>1213.55687850015</v>
      </c>
      <c r="L145" s="15" t="n">
        <v>897.0692617896819</v>
      </c>
      <c r="M145" s="15" t="n">
        <v>-87.95075210332961</v>
      </c>
      <c r="N145" s="17" t="n">
        <v>0.300491297024117</v>
      </c>
      <c r="O145" s="18" t="n">
        <v>0.0247612042210578</v>
      </c>
    </row>
    <row r="146" ht="15" customHeight="1" s="12">
      <c r="A146" s="14" t="inlineStr">
        <is>
          <t>Bhimber</t>
        </is>
      </c>
      <c r="B146" s="14" t="inlineStr">
        <is>
          <t>Azad Kashmir</t>
        </is>
      </c>
      <c r="C146" s="14" t="n">
        <v>2016</v>
      </c>
      <c r="D146" s="15" t="n">
        <v>837.968054288955</v>
      </c>
      <c r="E146" s="15" t="n">
        <v>9809.15545902954</v>
      </c>
      <c r="F146" s="15" t="n">
        <v>910.978584289551</v>
      </c>
      <c r="G146" s="15" t="n">
        <v>773.16659963131</v>
      </c>
      <c r="H146" s="15" t="n">
        <v>31.7445497182267</v>
      </c>
      <c r="I146" s="16" t="n">
        <v>3.78827683892592</v>
      </c>
      <c r="J146" s="15" t="n">
        <v>41.9092127303183</v>
      </c>
      <c r="K146" s="15" t="n">
        <v>1213.55687850015</v>
      </c>
      <c r="L146" s="15" t="n">
        <v>897.0692617896819</v>
      </c>
      <c r="M146" s="15" t="n">
        <v>-59.1012075007269</v>
      </c>
      <c r="N146" s="17" t="n">
        <v>0.608959171661736</v>
      </c>
      <c r="O146" s="18" t="n">
        <v>0.0501796975856917</v>
      </c>
    </row>
    <row r="147" ht="15" customHeight="1" s="12">
      <c r="A147" s="14" t="inlineStr">
        <is>
          <t>Bhimber</t>
        </is>
      </c>
      <c r="B147" s="14" t="inlineStr">
        <is>
          <t>Azad Kashmir</t>
        </is>
      </c>
      <c r="C147" s="14" t="n">
        <v>2017</v>
      </c>
      <c r="D147" s="15" t="n">
        <v>750.805008733352</v>
      </c>
      <c r="E147" s="15" t="n">
        <v>8788.8351022316</v>
      </c>
      <c r="F147" s="15" t="n">
        <v>802.684787869453</v>
      </c>
      <c r="G147" s="15" t="n">
        <v>692.0145196914669</v>
      </c>
      <c r="H147" s="15" t="n">
        <v>29.2550030349322</v>
      </c>
      <c r="I147" s="16" t="n">
        <v>3.89648479893428</v>
      </c>
      <c r="J147" s="15" t="n">
        <v>34.0298157453936</v>
      </c>
      <c r="K147" s="15" t="n">
        <v>1213.55687850015</v>
      </c>
      <c r="L147" s="15" t="n">
        <v>897.0692617896819</v>
      </c>
      <c r="M147" s="15" t="n">
        <v>-146.26425305633</v>
      </c>
      <c r="N147" s="17" t="n">
        <v>0.340829107228717</v>
      </c>
      <c r="O147" s="18" t="n">
        <v>0.0280851366151005</v>
      </c>
    </row>
    <row r="148" ht="15" customHeight="1" s="12">
      <c r="A148" s="14" t="inlineStr">
        <is>
          <t>Bhimber</t>
        </is>
      </c>
      <c r="B148" s="14" t="inlineStr">
        <is>
          <t>Azad Kashmir</t>
        </is>
      </c>
      <c r="C148" s="14" t="n">
        <v>2018</v>
      </c>
      <c r="D148" s="15" t="n">
        <v>766.602198476957</v>
      </c>
      <c r="E148" s="15" t="n">
        <v>8973.75514687732</v>
      </c>
      <c r="F148" s="15" t="n">
        <v>862.92310911417</v>
      </c>
      <c r="G148" s="15" t="n">
        <v>614.231775343418</v>
      </c>
      <c r="H148" s="15" t="n">
        <v>72.42175821555659</v>
      </c>
      <c r="I148" s="16" t="n">
        <v>9.447110686538609</v>
      </c>
      <c r="J148" s="15" t="n">
        <v>33.4492462311558</v>
      </c>
      <c r="K148" s="15" t="n">
        <v>1213.55687850015</v>
      </c>
      <c r="L148" s="15" t="n">
        <v>897.0692617896819</v>
      </c>
      <c r="M148" s="15" t="n">
        <v>-130.467063312725</v>
      </c>
      <c r="N148" s="17" t="n">
        <v>0.419766502681478</v>
      </c>
      <c r="O148" s="18" t="n">
        <v>0.0345897674940685</v>
      </c>
    </row>
    <row r="149" ht="15" customHeight="1" s="12">
      <c r="A149" s="14" t="inlineStr">
        <is>
          <t>Bhimber</t>
        </is>
      </c>
      <c r="B149" s="14" t="inlineStr">
        <is>
          <t>Azad Kashmir</t>
        </is>
      </c>
      <c r="C149" s="14" t="n">
        <v>2019</v>
      </c>
      <c r="D149" s="15" t="n">
        <v>881.064057294951</v>
      </c>
      <c r="E149" s="15" t="n">
        <v>10313.6322000997</v>
      </c>
      <c r="F149" s="15" t="n">
        <v>962.8733788934589</v>
      </c>
      <c r="G149" s="15" t="n">
        <v>782.036503013753</v>
      </c>
      <c r="H149" s="15" t="n">
        <v>52.5861050358181</v>
      </c>
      <c r="I149" s="16" t="n">
        <v>5.9684769342729</v>
      </c>
      <c r="J149" s="15" t="n">
        <v>33.4030150753769</v>
      </c>
      <c r="K149" s="15" t="n">
        <v>1213.55687850015</v>
      </c>
      <c r="L149" s="15" t="n">
        <v>897.0692617896819</v>
      </c>
      <c r="M149" s="15" t="n">
        <v>-16.0052044947311</v>
      </c>
      <c r="N149" s="17" t="n">
        <v>0.240248994068819</v>
      </c>
      <c r="O149" s="18" t="n">
        <v>0.0197970938425025</v>
      </c>
    </row>
    <row r="150" ht="15" customHeight="1" s="12">
      <c r="A150" s="14" t="inlineStr">
        <is>
          <t>Bhimber</t>
        </is>
      </c>
      <c r="B150" s="14" t="inlineStr">
        <is>
          <t>Azad Kashmir</t>
        </is>
      </c>
      <c r="C150" s="14" t="n">
        <v>2020</v>
      </c>
      <c r="D150" s="15" t="n">
        <v>832.7734620612119</v>
      </c>
      <c r="E150" s="15" t="n">
        <v>9748.348173540069</v>
      </c>
      <c r="F150" s="15" t="n">
        <v>903.492043534665</v>
      </c>
      <c r="G150" s="15" t="n">
        <v>767.292669307889</v>
      </c>
      <c r="H150" s="15" t="n">
        <v>30.7067442408928</v>
      </c>
      <c r="I150" s="16" t="n">
        <v>3.68728659591169</v>
      </c>
      <c r="J150" s="15" t="n">
        <v>36.6318257956449</v>
      </c>
      <c r="K150" s="15" t="n">
        <v>1213.55687850015</v>
      </c>
      <c r="L150" s="15" t="n">
        <v>897.0692617896819</v>
      </c>
      <c r="M150" s="15" t="n">
        <v>-64.29579972847</v>
      </c>
      <c r="N150" s="17" t="n">
        <v>0.173298797990627</v>
      </c>
      <c r="O150" s="18" t="n">
        <v>0.0142802369679457</v>
      </c>
    </row>
    <row r="151" ht="15" customHeight="1" s="12">
      <c r="A151" s="14" t="inlineStr">
        <is>
          <t>Bhimber</t>
        </is>
      </c>
      <c r="B151" s="14" t="inlineStr">
        <is>
          <t>Azad Kashmir</t>
        </is>
      </c>
      <c r="C151" s="14" t="n">
        <v>2021</v>
      </c>
      <c r="D151" s="15" t="n">
        <v>1151.19719855079</v>
      </c>
      <c r="E151" s="15" t="n">
        <v>13475.778971271</v>
      </c>
      <c r="F151" s="15" t="n">
        <v>1240.39121961594</v>
      </c>
      <c r="G151" s="15" t="n">
        <v>1050.81800365448</v>
      </c>
      <c r="H151" s="15" t="n">
        <v>52.3240242451333</v>
      </c>
      <c r="I151" s="16" t="n">
        <v>4.54518342391754</v>
      </c>
      <c r="J151" s="15" t="n">
        <v>28.6670016750419</v>
      </c>
      <c r="K151" s="15" t="n">
        <v>1213.55687850015</v>
      </c>
      <c r="L151" s="15" t="n">
        <v>897.0692617896819</v>
      </c>
      <c r="M151" s="15" t="n">
        <v>254.127936761102</v>
      </c>
      <c r="N151" s="17" t="n">
        <v>0.195953573447313</v>
      </c>
      <c r="O151" s="18" t="n">
        <v>0.0161470448496402</v>
      </c>
    </row>
    <row r="152" ht="15" customHeight="1" s="12">
      <c r="A152" s="14" t="inlineStr">
        <is>
          <t>Bhimber</t>
        </is>
      </c>
      <c r="B152" s="14" t="inlineStr">
        <is>
          <t>Azad Kashmir</t>
        </is>
      </c>
      <c r="C152" s="14" t="n">
        <v>2022</v>
      </c>
      <c r="D152" s="15" t="n">
        <v>826.5164723838971</v>
      </c>
      <c r="E152" s="15" t="n">
        <v>9675.10458849385</v>
      </c>
      <c r="F152" s="15" t="n">
        <v>910.681867867708</v>
      </c>
      <c r="G152" s="15" t="n">
        <v>768.633787304163</v>
      </c>
      <c r="H152" s="15" t="n">
        <v>37.7328025556983</v>
      </c>
      <c r="I152" s="16" t="n">
        <v>4.56528137265876</v>
      </c>
      <c r="J152" s="15" t="n">
        <v>37.1963149078727</v>
      </c>
      <c r="K152" s="15" t="n">
        <v>1213.55687850015</v>
      </c>
      <c r="L152" s="15" t="n">
        <v>897.0692617896819</v>
      </c>
      <c r="M152" s="15" t="n">
        <v>-70.5527894057855</v>
      </c>
      <c r="N152" s="17" t="n">
        <v>0.376821604112573</v>
      </c>
      <c r="O152" s="18" t="n">
        <v>0.0310510047603447</v>
      </c>
    </row>
    <row r="153" ht="15" customHeight="1" s="12">
      <c r="A153" s="14" t="inlineStr">
        <is>
          <t>Bhimber</t>
        </is>
      </c>
      <c r="B153" s="14" t="inlineStr">
        <is>
          <t>Azad Kashmir</t>
        </is>
      </c>
      <c r="C153" s="14" t="n">
        <v>2023</v>
      </c>
      <c r="D153" s="15" t="n">
        <v>886.711346729836</v>
      </c>
      <c r="E153" s="15" t="n">
        <v>10379.7387058375</v>
      </c>
      <c r="F153" s="15" t="n">
        <v>1017.77991962433</v>
      </c>
      <c r="G153" s="15" t="n">
        <v>790.286226034164</v>
      </c>
      <c r="H153" s="15" t="n">
        <v>61.3191836379304</v>
      </c>
      <c r="I153" s="16" t="n">
        <v>6.91534893108942</v>
      </c>
      <c r="J153" s="15" t="n">
        <v>25.2298157453936</v>
      </c>
      <c r="K153" s="15" t="n">
        <v>1213.55687850015</v>
      </c>
      <c r="L153" s="15" t="n">
        <v>897.0692617896819</v>
      </c>
      <c r="M153" s="15" t="n">
        <v>-10.3579150598462</v>
      </c>
      <c r="N153" s="17" t="n">
        <v>0.284243874499751</v>
      </c>
      <c r="O153" s="18" t="n">
        <v>0.0234223776021978</v>
      </c>
    </row>
    <row r="154" ht="15" customHeight="1" s="12">
      <c r="A154" s="14" t="inlineStr">
        <is>
          <t>Bhimber</t>
        </is>
      </c>
      <c r="B154" s="14" t="inlineStr">
        <is>
          <t>Azad Kashmir</t>
        </is>
      </c>
      <c r="C154" s="14" t="n">
        <v>2024</v>
      </c>
      <c r="D154" s="15" t="n">
        <v>953.423505565603</v>
      </c>
      <c r="E154" s="15" t="n">
        <v>11160.6633886797</v>
      </c>
      <c r="F154" s="15" t="n">
        <v>1009.10411746986</v>
      </c>
      <c r="G154" s="15" t="n">
        <v>900.833509992342</v>
      </c>
      <c r="H154" s="15" t="n">
        <v>24.8653320704087</v>
      </c>
      <c r="I154" s="16" t="n">
        <v>2.60800493435053</v>
      </c>
      <c r="J154" s="15" t="n">
        <v>46.4988274706868</v>
      </c>
      <c r="K154" s="15" t="n">
        <v>1213.55687850015</v>
      </c>
      <c r="L154" s="15" t="n">
        <v>897.0692617896819</v>
      </c>
      <c r="M154" s="15" t="n">
        <v>56.3542437759206</v>
      </c>
      <c r="N154" s="17" t="n">
        <v>0.247264655566167</v>
      </c>
      <c r="O154" s="18" t="n">
        <v>0.0203752011913742</v>
      </c>
    </row>
    <row r="155" ht="15" customHeight="1" s="12">
      <c r="A155" s="14" t="inlineStr">
        <is>
          <t>Bhimber</t>
        </is>
      </c>
      <c r="B155" s="14" t="inlineStr">
        <is>
          <t>Azad Kashmir</t>
        </is>
      </c>
      <c r="C155" s="14" t="n">
        <v>2025</v>
      </c>
      <c r="D155" s="15" t="n">
        <v>1171.5820659146</v>
      </c>
      <c r="E155" s="15" t="n">
        <v>13714.4018304121</v>
      </c>
      <c r="F155" s="15" t="n">
        <v>1250.11709398439</v>
      </c>
      <c r="G155" s="15" t="n">
        <v>1050.73275811715</v>
      </c>
      <c r="H155" s="15" t="n">
        <v>48.4569920552463</v>
      </c>
      <c r="I155" s="16" t="n">
        <v>4.13603054067049</v>
      </c>
      <c r="J155" s="15" t="n">
        <v>39.5963149078727</v>
      </c>
      <c r="K155" s="15" t="n">
        <v>1213.55687850015</v>
      </c>
      <c r="L155" s="15" t="n">
        <v>897.0692617896819</v>
      </c>
      <c r="M155" s="15" t="n">
        <v>274.51280412492</v>
      </c>
      <c r="N155" s="17" t="n">
        <v>0.534515856908461</v>
      </c>
      <c r="O155" s="18" t="n">
        <v>0.044045389744655</v>
      </c>
    </row>
    <row r="156" ht="15" customHeight="1" s="12">
      <c r="A156" s="14" t="inlineStr">
        <is>
          <t>Buner</t>
        </is>
      </c>
      <c r="B156" s="14" t="inlineStr">
        <is>
          <t>Khyber Pakhtunkhwa</t>
        </is>
      </c>
      <c r="C156" s="14" t="n">
        <v>2015</v>
      </c>
      <c r="D156" s="15" t="n">
        <v>606.116691085875</v>
      </c>
      <c r="E156" s="15" t="n">
        <v>10496.5149326872</v>
      </c>
      <c r="F156" s="15" t="n">
        <v>704.321092605591</v>
      </c>
      <c r="G156" s="15" t="n">
        <v>440.60869216919</v>
      </c>
      <c r="H156" s="15" t="n">
        <v>80.847016634702</v>
      </c>
      <c r="I156" s="16" t="n">
        <v>13.3385233938802</v>
      </c>
      <c r="J156" s="15" t="n">
        <v>23.5627264492754</v>
      </c>
      <c r="K156" s="15" t="n">
        <v>1774.38241695262</v>
      </c>
      <c r="L156" s="15" t="n">
        <v>597.229340733335</v>
      </c>
      <c r="M156" s="15" t="n">
        <v>8.887350352539331</v>
      </c>
      <c r="N156" s="17" t="n">
        <v>0.0176861589175953</v>
      </c>
      <c r="O156" s="18" t="n">
        <v>0.000996750122669165</v>
      </c>
    </row>
    <row r="157" ht="15" customHeight="1" s="12">
      <c r="A157" s="14" t="inlineStr">
        <is>
          <t>Buner</t>
        </is>
      </c>
      <c r="B157" s="14" t="inlineStr">
        <is>
          <t>Khyber Pakhtunkhwa</t>
        </is>
      </c>
      <c r="C157" s="14" t="n">
        <v>2016</v>
      </c>
      <c r="D157" s="15" t="n">
        <v>555.705414706584</v>
      </c>
      <c r="E157" s="15" t="n">
        <v>9623.510240565791</v>
      </c>
      <c r="F157" s="15" t="n">
        <v>658.589577913284</v>
      </c>
      <c r="G157" s="15" t="n">
        <v>369.762684464455</v>
      </c>
      <c r="H157" s="15" t="n">
        <v>86.26413102672539</v>
      </c>
      <c r="I157" s="16" t="n">
        <v>15.5233562142405</v>
      </c>
      <c r="J157" s="15" t="n">
        <v>25.2180706521739</v>
      </c>
      <c r="K157" s="15" t="n">
        <v>1774.38241695262</v>
      </c>
      <c r="L157" s="15" t="n">
        <v>597.229340733335</v>
      </c>
      <c r="M157" s="15" t="n">
        <v>-41.5239260267508</v>
      </c>
      <c r="N157" s="17" t="n">
        <v>0.0420404735200769</v>
      </c>
      <c r="O157" s="18" t="n">
        <v>0.00236930174230866</v>
      </c>
    </row>
    <row r="158" ht="15" customHeight="1" s="12">
      <c r="A158" s="14" t="inlineStr">
        <is>
          <t>Buner</t>
        </is>
      </c>
      <c r="B158" s="14" t="inlineStr">
        <is>
          <t>Khyber Pakhtunkhwa</t>
        </is>
      </c>
      <c r="C158" s="14" t="n">
        <v>2017</v>
      </c>
      <c r="D158" s="15" t="n">
        <v>602.956782946363</v>
      </c>
      <c r="E158" s="15" t="n">
        <v>10441.7927587888</v>
      </c>
      <c r="F158" s="15" t="n">
        <v>695.832821130753</v>
      </c>
      <c r="G158" s="15" t="n">
        <v>446.051213502884</v>
      </c>
      <c r="H158" s="15" t="n">
        <v>80.40978088856031</v>
      </c>
      <c r="I158" s="16" t="n">
        <v>13.3359111569549</v>
      </c>
      <c r="J158" s="15" t="n">
        <v>33.4848278985507</v>
      </c>
      <c r="K158" s="15" t="n">
        <v>1774.38241695262</v>
      </c>
      <c r="L158" s="15" t="n">
        <v>597.229340733335</v>
      </c>
      <c r="M158" s="15" t="n">
        <v>5.72744221302776</v>
      </c>
      <c r="N158" s="17" t="n">
        <v>0.0223288324264227</v>
      </c>
      <c r="O158" s="18" t="n">
        <v>0.00125840023058676</v>
      </c>
    </row>
    <row r="159" ht="15" customHeight="1" s="12">
      <c r="A159" s="14" t="inlineStr">
        <is>
          <t>Buner</t>
        </is>
      </c>
      <c r="B159" s="14" t="inlineStr">
        <is>
          <t>Khyber Pakhtunkhwa</t>
        </is>
      </c>
      <c r="C159" s="14" t="n">
        <v>2018</v>
      </c>
      <c r="D159" s="15" t="n">
        <v>723.719825142212</v>
      </c>
      <c r="E159" s="15" t="n">
        <v>12533.1245012863</v>
      </c>
      <c r="F159" s="15" t="n">
        <v>884.239338517189</v>
      </c>
      <c r="G159" s="15" t="n">
        <v>485.523717582226</v>
      </c>
      <c r="H159" s="15" t="n">
        <v>120.846270368239</v>
      </c>
      <c r="I159" s="16" t="n">
        <v>16.6979356057425</v>
      </c>
      <c r="J159" s="15" t="n">
        <v>34.2735507246377</v>
      </c>
      <c r="K159" s="15" t="n">
        <v>1774.38241695262</v>
      </c>
      <c r="L159" s="15" t="n">
        <v>597.229340733335</v>
      </c>
      <c r="M159" s="15" t="n">
        <v>126.490484408876</v>
      </c>
      <c r="N159" s="17" t="n">
        <v>0.0429127150050743</v>
      </c>
      <c r="O159" s="18" t="n">
        <v>0.00241845921122089</v>
      </c>
    </row>
    <row r="160" ht="15" customHeight="1" s="12">
      <c r="A160" s="14" t="inlineStr">
        <is>
          <t>Buner</t>
        </is>
      </c>
      <c r="B160" s="14" t="inlineStr">
        <is>
          <t>Khyber Pakhtunkhwa</t>
        </is>
      </c>
      <c r="C160" s="14" t="n">
        <v>2019</v>
      </c>
      <c r="D160" s="15" t="n">
        <v>510.513665670639</v>
      </c>
      <c r="E160" s="15" t="n">
        <v>8840.89548079037</v>
      </c>
      <c r="F160" s="15" t="n">
        <v>648.447269135831</v>
      </c>
      <c r="G160" s="15" t="n">
        <v>326.107944244985</v>
      </c>
      <c r="H160" s="15" t="n">
        <v>94.18716935097569</v>
      </c>
      <c r="I160" s="16" t="n">
        <v>18.4494903240731</v>
      </c>
      <c r="J160" s="15" t="n">
        <v>21.8645833333333</v>
      </c>
      <c r="K160" s="15" t="n">
        <v>1774.38241695262</v>
      </c>
      <c r="L160" s="15" t="n">
        <v>597.229340733335</v>
      </c>
      <c r="M160" s="15" t="n">
        <v>-86.71567506269611</v>
      </c>
      <c r="N160" s="17" t="n">
        <v>0.0022229589233398</v>
      </c>
      <c r="O160" s="18" t="n">
        <v>0.000125280711874816</v>
      </c>
    </row>
    <row r="161" ht="15" customHeight="1" s="12">
      <c r="A161" s="14" t="inlineStr">
        <is>
          <t>Buner</t>
        </is>
      </c>
      <c r="B161" s="14" t="inlineStr">
        <is>
          <t>Khyber Pakhtunkhwa</t>
        </is>
      </c>
      <c r="C161" s="14" t="n">
        <v>2020</v>
      </c>
      <c r="D161" s="15" t="n">
        <v>540.5348077946931</v>
      </c>
      <c r="E161" s="15" t="n">
        <v>9360.7910243975</v>
      </c>
      <c r="F161" s="15" t="n">
        <v>642.776965405792</v>
      </c>
      <c r="G161" s="15" t="n">
        <v>370.590161569417</v>
      </c>
      <c r="H161" s="15" t="n">
        <v>76.74631426216681</v>
      </c>
      <c r="I161" s="16" t="n">
        <v>14.1982187188428</v>
      </c>
      <c r="J161" s="15" t="n">
        <v>26.1551177536232</v>
      </c>
      <c r="K161" s="15" t="n">
        <v>1774.38241695262</v>
      </c>
      <c r="L161" s="15" t="n">
        <v>597.229340733335</v>
      </c>
      <c r="M161" s="15" t="n">
        <v>-56.6945329386427</v>
      </c>
      <c r="N161" s="17" t="n">
        <v>0.0152856682933134</v>
      </c>
      <c r="O161" s="18" t="n">
        <v>0.00086146414365205</v>
      </c>
    </row>
    <row r="162" ht="15" customHeight="1" s="12">
      <c r="A162" s="14" t="inlineStr">
        <is>
          <t>Buner</t>
        </is>
      </c>
      <c r="B162" s="14" t="inlineStr">
        <is>
          <t>Khyber Pakhtunkhwa</t>
        </is>
      </c>
      <c r="C162" s="14" t="n">
        <v>2021</v>
      </c>
      <c r="D162" s="15" t="n">
        <v>616.629709529053</v>
      </c>
      <c r="E162" s="15" t="n">
        <v>10678.575675609</v>
      </c>
      <c r="F162" s="15" t="n">
        <v>724.3185979127881</v>
      </c>
      <c r="G162" s="15" t="n">
        <v>447.280524969101</v>
      </c>
      <c r="H162" s="15" t="n">
        <v>79.79720149637809</v>
      </c>
      <c r="I162" s="16" t="n">
        <v>12.9408622814043</v>
      </c>
      <c r="J162" s="15" t="n">
        <v>33.3516757246377</v>
      </c>
      <c r="K162" s="15" t="n">
        <v>1774.38241695262</v>
      </c>
      <c r="L162" s="15" t="n">
        <v>597.229340733335</v>
      </c>
      <c r="M162" s="15" t="n">
        <v>19.4003687957176</v>
      </c>
      <c r="N162" s="17" t="n">
        <v>0.000608580384258196</v>
      </c>
      <c r="O162" s="18" t="n">
        <v>3.4298152328594e-05</v>
      </c>
    </row>
    <row r="163" ht="15" customHeight="1" s="12">
      <c r="A163" s="14" t="inlineStr">
        <is>
          <t>Buner</t>
        </is>
      </c>
      <c r="B163" s="14" t="inlineStr">
        <is>
          <t>Khyber Pakhtunkhwa</t>
        </is>
      </c>
      <c r="C163" s="14" t="n">
        <v>2022</v>
      </c>
      <c r="D163" s="15" t="n">
        <v>565.526242818888</v>
      </c>
      <c r="E163" s="15" t="n">
        <v>9793.583875640041</v>
      </c>
      <c r="F163" s="15" t="n">
        <v>696.1654058362039</v>
      </c>
      <c r="G163" s="15" t="n">
        <v>384.74316799577</v>
      </c>
      <c r="H163" s="15" t="n">
        <v>89.8349540959981</v>
      </c>
      <c r="I163" s="16" t="n">
        <v>15.8851963523765</v>
      </c>
      <c r="J163" s="15" t="n">
        <v>24.9259510869565</v>
      </c>
      <c r="K163" s="15" t="n">
        <v>1774.38241695262</v>
      </c>
      <c r="L163" s="15" t="n">
        <v>597.229340733335</v>
      </c>
      <c r="M163" s="15" t="n">
        <v>-31.7030979144469</v>
      </c>
      <c r="N163" s="17" t="n">
        <v>0.0353528924072265</v>
      </c>
      <c r="O163" s="18" t="n">
        <v>0.00199240547412225</v>
      </c>
    </row>
    <row r="164" ht="15" customHeight="1" s="12">
      <c r="A164" s="14" t="inlineStr">
        <is>
          <t>Buner</t>
        </is>
      </c>
      <c r="B164" s="14" t="inlineStr">
        <is>
          <t>Khyber Pakhtunkhwa</t>
        </is>
      </c>
      <c r="C164" s="14" t="n">
        <v>2023</v>
      </c>
      <c r="D164" s="15" t="n">
        <v>600.957366965724</v>
      </c>
      <c r="E164" s="15" t="n">
        <v>10407.1675785123</v>
      </c>
      <c r="F164" s="15" t="n">
        <v>779.934609889984</v>
      </c>
      <c r="G164" s="15" t="n">
        <v>346.092885255814</v>
      </c>
      <c r="H164" s="15" t="n">
        <v>123.193987288479</v>
      </c>
      <c r="I164" s="16" t="n">
        <v>20.4996217802427</v>
      </c>
      <c r="J164" s="15" t="n">
        <v>17.963768115942</v>
      </c>
      <c r="K164" s="15" t="n">
        <v>1774.38241695262</v>
      </c>
      <c r="L164" s="15" t="n">
        <v>597.229340733335</v>
      </c>
      <c r="M164" s="15" t="n">
        <v>3.7280262323892</v>
      </c>
      <c r="N164" s="17" t="n">
        <v>0.005928353515625</v>
      </c>
      <c r="O164" s="18" t="n">
        <v>0.000334107994927416</v>
      </c>
    </row>
    <row r="165" ht="15" customHeight="1" s="12">
      <c r="A165" s="14" t="inlineStr">
        <is>
          <t>Buner</t>
        </is>
      </c>
      <c r="B165" s="14" t="inlineStr">
        <is>
          <t>Khyber Pakhtunkhwa</t>
        </is>
      </c>
      <c r="C165" s="14" t="n">
        <v>2024</v>
      </c>
      <c r="D165" s="15" t="n">
        <v>578.125235595889</v>
      </c>
      <c r="E165" s="15" t="n">
        <v>10011.7687858488</v>
      </c>
      <c r="F165" s="15" t="n">
        <v>707.710041857679</v>
      </c>
      <c r="G165" s="15" t="n">
        <v>357.365790866315</v>
      </c>
      <c r="H165" s="15" t="n">
        <v>105.78829080627</v>
      </c>
      <c r="I165" s="16" t="n">
        <v>18.2985077095331</v>
      </c>
      <c r="J165" s="15" t="n">
        <v>30.9816576086957</v>
      </c>
      <c r="K165" s="15" t="n">
        <v>1774.38241695262</v>
      </c>
      <c r="L165" s="15" t="n">
        <v>597.229340733335</v>
      </c>
      <c r="M165" s="15" t="n">
        <v>-19.1041051374464</v>
      </c>
      <c r="N165" s="17" t="n">
        <v>0.009616901184082</v>
      </c>
      <c r="O165" s="18" t="n">
        <v>0.000541985825163799</v>
      </c>
    </row>
    <row r="166" ht="15" customHeight="1" s="12">
      <c r="A166" s="14" t="inlineStr">
        <is>
          <t>Buner</t>
        </is>
      </c>
      <c r="B166" s="14" t="inlineStr">
        <is>
          <t>Khyber Pakhtunkhwa</t>
        </is>
      </c>
      <c r="C166" s="14" t="n">
        <v>2025</v>
      </c>
      <c r="D166" s="15" t="n">
        <v>668.737005810768</v>
      </c>
      <c r="E166" s="15" t="n">
        <v>11580.9514418053</v>
      </c>
      <c r="F166" s="15" t="n">
        <v>803.093385076849</v>
      </c>
      <c r="G166" s="15" t="n">
        <v>412.932182147963</v>
      </c>
      <c r="H166" s="15" t="n">
        <v>123.548024909857</v>
      </c>
      <c r="I166" s="16" t="n">
        <v>18.4748299909123</v>
      </c>
      <c r="J166" s="15" t="n">
        <v>37.7434329710145</v>
      </c>
      <c r="K166" s="15" t="n">
        <v>1774.38241695262</v>
      </c>
      <c r="L166" s="15" t="n">
        <v>597.229340733335</v>
      </c>
      <c r="M166" s="15" t="n">
        <v>71.5076650774327</v>
      </c>
      <c r="N166" s="17" t="n">
        <v>0.0107428925553864</v>
      </c>
      <c r="O166" s="18" t="n">
        <v>0.000605444038035307</v>
      </c>
    </row>
    <row r="167" ht="15" customHeight="1" s="12">
      <c r="A167" s="14" t="inlineStr">
        <is>
          <t>Central Karachi</t>
        </is>
      </c>
      <c r="B167" s="14" t="inlineStr">
        <is>
          <t>Sindh</t>
        </is>
      </c>
      <c r="C167" s="14" t="n">
        <v>2015</v>
      </c>
      <c r="D167" s="15" t="n">
        <v>136.384365867166</v>
      </c>
      <c r="E167" s="15" t="n">
        <v>81.83061952029961</v>
      </c>
      <c r="F167" s="15" t="n">
        <v>147.206085681915</v>
      </c>
      <c r="G167" s="15" t="n">
        <v>125.811366975308</v>
      </c>
      <c r="H167" s="15" t="n">
        <v>8.73819552591292</v>
      </c>
      <c r="I167" s="16" t="n">
        <v>6.40703607803819</v>
      </c>
      <c r="J167" s="15" t="n">
        <v>8.98039215686275</v>
      </c>
      <c r="K167" s="15" t="n">
        <v>65.2815417979109</v>
      </c>
      <c r="L167" s="15" t="n">
        <v>240.456963966825</v>
      </c>
      <c r="M167" s="15" t="n">
        <v>-104.072598099659</v>
      </c>
      <c r="N167" s="17" t="n">
        <v>0.0040633334960937</v>
      </c>
      <c r="O167" s="18" t="n">
        <v>0.00622432219611536</v>
      </c>
    </row>
    <row r="168" ht="15" customHeight="1" s="12">
      <c r="A168" s="14" t="inlineStr">
        <is>
          <t>Central Karachi</t>
        </is>
      </c>
      <c r="B168" s="14" t="inlineStr">
        <is>
          <t>Sindh</t>
        </is>
      </c>
      <c r="C168" s="14" t="n">
        <v>2016</v>
      </c>
      <c r="D168" s="15" t="n">
        <v>160.607590695612</v>
      </c>
      <c r="E168" s="15" t="n">
        <v>96.3645544173671</v>
      </c>
      <c r="F168" s="15" t="n">
        <v>162.835657596588</v>
      </c>
      <c r="G168" s="15" t="n">
        <v>156.50694835186</v>
      </c>
      <c r="H168" s="15" t="n">
        <v>2.62345744575608</v>
      </c>
      <c r="I168" s="16" t="n">
        <v>1.63345794205215</v>
      </c>
      <c r="J168" s="15" t="n">
        <v>14.9150326797386</v>
      </c>
      <c r="K168" s="15" t="n">
        <v>65.2815417979109</v>
      </c>
      <c r="L168" s="15" t="n">
        <v>240.456963966825</v>
      </c>
      <c r="M168" s="15" t="n">
        <v>-79.84937327121349</v>
      </c>
      <c r="N168" s="17" t="n">
        <v>0</v>
      </c>
      <c r="O168" s="18" t="n">
        <v>0</v>
      </c>
    </row>
    <row r="169" ht="15" customHeight="1" s="12">
      <c r="A169" s="14" t="inlineStr">
        <is>
          <t>Central Karachi</t>
        </is>
      </c>
      <c r="B169" s="14" t="inlineStr">
        <is>
          <t>Sindh</t>
        </is>
      </c>
      <c r="C169" s="14" t="n">
        <v>2017</v>
      </c>
      <c r="D169" s="15" t="n">
        <v>237.041928063031</v>
      </c>
      <c r="E169" s="15" t="n">
        <v>142.225156837819</v>
      </c>
      <c r="F169" s="15" t="n">
        <v>245.280645728111</v>
      </c>
      <c r="G169" s="15" t="n">
        <v>236.202438235283</v>
      </c>
      <c r="H169" s="15" t="n">
        <v>4.00781868364792</v>
      </c>
      <c r="I169" s="16" t="n">
        <v>1.69076361992053</v>
      </c>
      <c r="J169" s="15" t="n">
        <v>21.2222222222222</v>
      </c>
      <c r="K169" s="15" t="n">
        <v>65.2815417979109</v>
      </c>
      <c r="L169" s="15" t="n">
        <v>240.456963966825</v>
      </c>
      <c r="M169" s="15" t="n">
        <v>-3.41503590379418</v>
      </c>
      <c r="N169" s="17" t="n">
        <v>0</v>
      </c>
      <c r="O169" s="18" t="n">
        <v>0</v>
      </c>
    </row>
    <row r="170" ht="15" customHeight="1" s="12">
      <c r="A170" s="14" t="inlineStr">
        <is>
          <t>Central Karachi</t>
        </is>
      </c>
      <c r="B170" s="14" t="inlineStr">
        <is>
          <t>Sindh</t>
        </is>
      </c>
      <c r="C170" s="14" t="n">
        <v>2018</v>
      </c>
      <c r="D170" s="15" t="n">
        <v>42.6862209231708</v>
      </c>
      <c r="E170" s="15" t="n">
        <v>25.6117325539025</v>
      </c>
      <c r="F170" s="15" t="n">
        <v>43.5458199828863</v>
      </c>
      <c r="G170" s="15" t="n">
        <v>40.8760134582408</v>
      </c>
      <c r="H170" s="15" t="n">
        <v>1.11517378306764</v>
      </c>
      <c r="I170" s="16" t="n">
        <v>2.61249124178689</v>
      </c>
      <c r="J170" s="15" t="n">
        <v>8.915032679738561</v>
      </c>
      <c r="K170" s="15" t="n">
        <v>65.2815417979109</v>
      </c>
      <c r="L170" s="15" t="n">
        <v>240.456963966825</v>
      </c>
      <c r="M170" s="15" t="n">
        <v>-197.770743043654</v>
      </c>
      <c r="N170" s="17" t="n">
        <v>0.00081262158203125</v>
      </c>
      <c r="O170" s="18" t="n">
        <v>0.00124479532751669</v>
      </c>
    </row>
    <row r="171" ht="15" customHeight="1" s="12">
      <c r="A171" s="14" t="inlineStr">
        <is>
          <t>Central Karachi</t>
        </is>
      </c>
      <c r="B171" s="14" t="inlineStr">
        <is>
          <t>Sindh</t>
        </is>
      </c>
      <c r="C171" s="14" t="n">
        <v>2019</v>
      </c>
      <c r="D171" s="15" t="n">
        <v>358.133667077019</v>
      </c>
      <c r="E171" s="15" t="n">
        <v>214.880200246212</v>
      </c>
      <c r="F171" s="15" t="n">
        <v>365.660736915219</v>
      </c>
      <c r="G171" s="15" t="n">
        <v>351.313259810559</v>
      </c>
      <c r="H171" s="15" t="n">
        <v>5.86613086374924</v>
      </c>
      <c r="I171" s="16" t="n">
        <v>1.63797246755013</v>
      </c>
      <c r="J171" s="15" t="n">
        <v>21.8627450980392</v>
      </c>
      <c r="K171" s="15" t="n">
        <v>65.2815417979109</v>
      </c>
      <c r="L171" s="15" t="n">
        <v>240.456963966825</v>
      </c>
      <c r="M171" s="15" t="n">
        <v>117.676703110194</v>
      </c>
      <c r="N171" s="17" t="n">
        <v>0.0008125937499999999</v>
      </c>
      <c r="O171" s="18" t="n">
        <v>0.00124475269367183</v>
      </c>
    </row>
    <row r="172" ht="15" customHeight="1" s="12">
      <c r="A172" s="14" t="inlineStr">
        <is>
          <t>Central Karachi</t>
        </is>
      </c>
      <c r="B172" s="14" t="inlineStr">
        <is>
          <t>Sindh</t>
        </is>
      </c>
      <c r="C172" s="14" t="n">
        <v>2020</v>
      </c>
      <c r="D172" s="15" t="n">
        <v>405.538624420221</v>
      </c>
      <c r="E172" s="15" t="n">
        <v>243.323174652133</v>
      </c>
      <c r="F172" s="15" t="n">
        <v>406.582272553085</v>
      </c>
      <c r="G172" s="15" t="n">
        <v>394.961280603568</v>
      </c>
      <c r="H172" s="15" t="n">
        <v>5.24307533090452</v>
      </c>
      <c r="I172" s="16" t="n">
        <v>1.29286706991234</v>
      </c>
      <c r="J172" s="15" t="n">
        <v>32.7581699346405</v>
      </c>
      <c r="K172" s="15" t="n">
        <v>65.2815417979109</v>
      </c>
      <c r="L172" s="15" t="n">
        <v>240.456963966825</v>
      </c>
      <c r="M172" s="15" t="n">
        <v>165.081660453396</v>
      </c>
      <c r="N172" s="17" t="n">
        <v>0.00081262158203125</v>
      </c>
      <c r="O172" s="18" t="n">
        <v>0.00124479532751669</v>
      </c>
    </row>
    <row r="173" ht="15" customHeight="1" s="12">
      <c r="A173" s="14" t="inlineStr">
        <is>
          <t>Central Karachi</t>
        </is>
      </c>
      <c r="B173" s="14" t="inlineStr">
        <is>
          <t>Sindh</t>
        </is>
      </c>
      <c r="C173" s="14" t="n">
        <v>2021</v>
      </c>
      <c r="D173" s="15" t="n">
        <v>153.729861740193</v>
      </c>
      <c r="E173" s="15" t="n">
        <v>92.237917044116</v>
      </c>
      <c r="F173" s="15" t="n">
        <v>154.022154629231</v>
      </c>
      <c r="G173" s="15" t="n">
        <v>150.309235796332</v>
      </c>
      <c r="H173" s="15" t="n">
        <v>1.55142260317665</v>
      </c>
      <c r="I173" s="16" t="n">
        <v>1.00918753559968</v>
      </c>
      <c r="J173" s="15" t="n">
        <v>20.1372549019608</v>
      </c>
      <c r="K173" s="15" t="n">
        <v>65.2815417979109</v>
      </c>
      <c r="L173" s="15" t="n">
        <v>240.456963966825</v>
      </c>
      <c r="M173" s="15" t="n">
        <v>-86.7271022266319</v>
      </c>
      <c r="N173" s="17" t="n">
        <v>0</v>
      </c>
      <c r="O173" s="18" t="n">
        <v>0</v>
      </c>
    </row>
    <row r="174" ht="15" customHeight="1" s="12">
      <c r="A174" s="14" t="inlineStr">
        <is>
          <t>Central Karachi</t>
        </is>
      </c>
      <c r="B174" s="14" t="inlineStr">
        <is>
          <t>Sindh</t>
        </is>
      </c>
      <c r="C174" s="14" t="n">
        <v>2022</v>
      </c>
      <c r="D174" s="15" t="n">
        <v>557.766224518129</v>
      </c>
      <c r="E174" s="15" t="n">
        <v>334.659734710877</v>
      </c>
      <c r="F174" s="15" t="n">
        <v>559.184619970567</v>
      </c>
      <c r="G174" s="15" t="n">
        <v>545.156739628037</v>
      </c>
      <c r="H174" s="15" t="n">
        <v>5.74808483358198</v>
      </c>
      <c r="I174" s="16" t="n">
        <v>1.03055448338557</v>
      </c>
      <c r="J174" s="15" t="n">
        <v>35.8104575163399</v>
      </c>
      <c r="K174" s="15" t="n">
        <v>65.2815417979109</v>
      </c>
      <c r="L174" s="15" t="n">
        <v>240.456963966825</v>
      </c>
      <c r="M174" s="15" t="n">
        <v>317.309260551303</v>
      </c>
      <c r="N174" s="17" t="n">
        <v>0</v>
      </c>
      <c r="O174" s="18" t="n">
        <v>0</v>
      </c>
    </row>
    <row r="175" ht="15" customHeight="1" s="12">
      <c r="A175" s="14" t="inlineStr">
        <is>
          <t>Central Karachi</t>
        </is>
      </c>
      <c r="B175" s="14" t="inlineStr">
        <is>
          <t>Sindh</t>
        </is>
      </c>
      <c r="C175" s="14" t="n">
        <v>2023</v>
      </c>
      <c r="D175" s="15" t="n">
        <v>144.265928254408</v>
      </c>
      <c r="E175" s="15" t="n">
        <v>86.5595569526448</v>
      </c>
      <c r="F175" s="15" t="n">
        <v>146.225211381912</v>
      </c>
      <c r="G175" s="15" t="n">
        <v>132.563210427761</v>
      </c>
      <c r="H175" s="15" t="n">
        <v>6.12859218179856</v>
      </c>
      <c r="I175" s="16" t="n">
        <v>4.24812168469259</v>
      </c>
      <c r="J175" s="15" t="n">
        <v>16.0196078431373</v>
      </c>
      <c r="K175" s="15" t="n">
        <v>65.2815417979109</v>
      </c>
      <c r="L175" s="15" t="n">
        <v>240.456963966825</v>
      </c>
      <c r="M175" s="15" t="n">
        <v>-96.1910357124173</v>
      </c>
      <c r="N175" s="17" t="n">
        <v>0</v>
      </c>
      <c r="O175" s="18" t="n">
        <v>0</v>
      </c>
    </row>
    <row r="176" ht="15" customHeight="1" s="12">
      <c r="A176" s="14" t="inlineStr">
        <is>
          <t>Central Karachi</t>
        </is>
      </c>
      <c r="B176" s="14" t="inlineStr">
        <is>
          <t>Sindh</t>
        </is>
      </c>
      <c r="C176" s="14" t="n">
        <v>2024</v>
      </c>
      <c r="D176" s="15" t="n">
        <v>236.505982379131</v>
      </c>
      <c r="E176" s="15" t="n">
        <v>141.903589427479</v>
      </c>
      <c r="F176" s="15" t="n">
        <v>236.838733752724</v>
      </c>
      <c r="G176" s="15" t="n">
        <v>233.171612150036</v>
      </c>
      <c r="H176" s="15" t="n">
        <v>1.64162524138242</v>
      </c>
      <c r="I176" s="16" t="n">
        <v>0.69411573646827</v>
      </c>
      <c r="J176" s="15" t="n">
        <v>23.3790849673203</v>
      </c>
      <c r="K176" s="15" t="n">
        <v>65.2815417979109</v>
      </c>
      <c r="L176" s="15" t="n">
        <v>240.456963966825</v>
      </c>
      <c r="M176" s="15" t="n">
        <v>-3.95098158769454</v>
      </c>
      <c r="N176" s="17" t="n">
        <v>0</v>
      </c>
      <c r="O176" s="18" t="n">
        <v>0</v>
      </c>
    </row>
    <row r="177" ht="15" customHeight="1" s="12">
      <c r="A177" s="14" t="inlineStr">
        <is>
          <t>Central Karachi</t>
        </is>
      </c>
      <c r="B177" s="14" t="inlineStr">
        <is>
          <t>Sindh</t>
        </is>
      </c>
      <c r="C177" s="14" t="n">
        <v>2025</v>
      </c>
      <c r="D177" s="15" t="n">
        <v>212.366209696997</v>
      </c>
      <c r="E177" s="15" t="n">
        <v>127.419725818198</v>
      </c>
      <c r="F177" s="15" t="n">
        <v>213.714675336204</v>
      </c>
      <c r="G177" s="15" t="n">
        <v>202.312331183057</v>
      </c>
      <c r="H177" s="15" t="n">
        <v>4.71267540028332</v>
      </c>
      <c r="I177" s="16" t="n">
        <v>2.21912676550914</v>
      </c>
      <c r="J177" s="15" t="n">
        <v>17</v>
      </c>
      <c r="K177" s="15" t="n">
        <v>65.2815417979109</v>
      </c>
      <c r="L177" s="15" t="n">
        <v>240.456963966825</v>
      </c>
      <c r="M177" s="15" t="n">
        <v>-28.0907542698284</v>
      </c>
      <c r="N177" s="17" t="n">
        <v>0.000812619812011719</v>
      </c>
      <c r="O177" s="18" t="n">
        <v>0.00124479261615375</v>
      </c>
    </row>
    <row r="178" ht="15" customHeight="1" s="12">
      <c r="A178" s="14" t="inlineStr">
        <is>
          <t>Chagai</t>
        </is>
      </c>
      <c r="B178" s="14" t="inlineStr">
        <is>
          <t>Balochistan</t>
        </is>
      </c>
      <c r="C178" s="14" t="n">
        <v>2015</v>
      </c>
      <c r="D178" s="15" t="n">
        <v>0.123583437930373</v>
      </c>
      <c r="E178" s="15" t="n">
        <v>50.8654891293423</v>
      </c>
      <c r="F178" s="15" t="n">
        <v>4.02657985687256</v>
      </c>
      <c r="G178" s="15" t="n">
        <v>0</v>
      </c>
      <c r="H178" s="15" t="n">
        <v>0.551815612282513</v>
      </c>
      <c r="I178" s="16" t="n">
        <v>446.512592240238</v>
      </c>
      <c r="J178" s="15" t="n">
        <v>0.0513743985517602</v>
      </c>
      <c r="K178" s="15" t="n">
        <v>44536.2869149495</v>
      </c>
      <c r="L178" s="15" t="n">
        <v>3.5543337625252</v>
      </c>
      <c r="M178" s="15" t="n">
        <v>-3.43075032459483</v>
      </c>
      <c r="N178" s="17" t="n">
        <v>3.57315883624267</v>
      </c>
      <c r="O178" s="18" t="n">
        <v>0.008023028150205469</v>
      </c>
    </row>
    <row r="179" ht="15" customHeight="1" s="12">
      <c r="A179" s="14" t="inlineStr">
        <is>
          <t>Chagai</t>
        </is>
      </c>
      <c r="B179" s="14" t="inlineStr">
        <is>
          <t>Balochistan</t>
        </is>
      </c>
      <c r="C179" s="14" t="n">
        <v>2016</v>
      </c>
      <c r="D179" s="15" t="n">
        <v>2.4493647159489</v>
      </c>
      <c r="E179" s="15" t="n">
        <v>1008.12970102909</v>
      </c>
      <c r="F179" s="15" t="n">
        <v>9.05754470825195</v>
      </c>
      <c r="G179" s="15" t="n">
        <v>0</v>
      </c>
      <c r="H179" s="15" t="n">
        <v>3.12517201103053</v>
      </c>
      <c r="I179" s="16" t="n">
        <v>127.591125596002</v>
      </c>
      <c r="J179" s="15" t="n">
        <v>0.851545900624077</v>
      </c>
      <c r="K179" s="15" t="n">
        <v>44536.2869149495</v>
      </c>
      <c r="L179" s="15" t="n">
        <v>3.5543337625252</v>
      </c>
      <c r="M179" s="15" t="n">
        <v>-1.1049690465763</v>
      </c>
      <c r="N179" s="17" t="n">
        <v>3.11474736732177</v>
      </c>
      <c r="O179" s="18" t="n">
        <v>0.00699372934539866</v>
      </c>
    </row>
    <row r="180" ht="15" customHeight="1" s="12">
      <c r="A180" s="14" t="inlineStr">
        <is>
          <t>Chagai</t>
        </is>
      </c>
      <c r="B180" s="14" t="inlineStr">
        <is>
          <t>Balochistan</t>
        </is>
      </c>
      <c r="C180" s="14" t="n">
        <v>2017</v>
      </c>
      <c r="D180" s="15" t="n">
        <v>0.212060617177729</v>
      </c>
      <c r="E180" s="15" t="n">
        <v>87.28165519956281</v>
      </c>
      <c r="F180" s="15" t="n">
        <v>5.13733381032944</v>
      </c>
      <c r="G180" s="15" t="n">
        <v>0</v>
      </c>
      <c r="H180" s="15" t="n">
        <v>0.855588794740844</v>
      </c>
      <c r="I180" s="16" t="n">
        <v>403.464257591862</v>
      </c>
      <c r="J180" s="15" t="n">
        <v>0.0680958506026392</v>
      </c>
      <c r="K180" s="15" t="n">
        <v>44536.2869149495</v>
      </c>
      <c r="L180" s="15" t="n">
        <v>3.5543337625252</v>
      </c>
      <c r="M180" s="15" t="n">
        <v>-3.34227314534747</v>
      </c>
      <c r="N180" s="17" t="n">
        <v>1.69636944140625</v>
      </c>
      <c r="O180" s="18" t="n">
        <v>0.00380896019608862</v>
      </c>
    </row>
    <row r="181" ht="15" customHeight="1" s="12">
      <c r="A181" s="14" t="inlineStr">
        <is>
          <t>Chagai</t>
        </is>
      </c>
      <c r="B181" s="14" t="inlineStr">
        <is>
          <t>Balochistan</t>
        </is>
      </c>
      <c r="C181" s="14" t="n">
        <v>2018</v>
      </c>
      <c r="D181" s="15" t="n">
        <v>0.77496878347537</v>
      </c>
      <c r="E181" s="15" t="n">
        <v>318.968033998657</v>
      </c>
      <c r="F181" s="15" t="n">
        <v>7.09216269850731</v>
      </c>
      <c r="G181" s="15" t="n">
        <v>0.14649090920102</v>
      </c>
      <c r="H181" s="15" t="n">
        <v>0.6376844378058411</v>
      </c>
      <c r="I181" s="16" t="n">
        <v>82.2851773391603</v>
      </c>
      <c r="J181" s="15" t="n">
        <v>0.074336620456386</v>
      </c>
      <c r="K181" s="15" t="n">
        <v>44536.2869149495</v>
      </c>
      <c r="L181" s="15" t="n">
        <v>3.5543337625252</v>
      </c>
      <c r="M181" s="15" t="n">
        <v>-2.77936497904983</v>
      </c>
      <c r="N181" s="17" t="n">
        <v>0.690489980285644</v>
      </c>
      <c r="O181" s="18" t="n">
        <v>0.00155039862574145</v>
      </c>
    </row>
    <row r="182" ht="15" customHeight="1" s="12">
      <c r="A182" s="14" t="inlineStr">
        <is>
          <t>Chagai</t>
        </is>
      </c>
      <c r="B182" s="14" t="inlineStr">
        <is>
          <t>Balochistan</t>
        </is>
      </c>
      <c r="C182" s="14" t="n">
        <v>2019</v>
      </c>
      <c r="D182" s="15" t="n">
        <v>0.747194082139739</v>
      </c>
      <c r="E182" s="15" t="n">
        <v>307.536293690103</v>
      </c>
      <c r="F182" s="15" t="n">
        <v>8.98320114053786</v>
      </c>
      <c r="G182" s="15" t="n">
        <v>0</v>
      </c>
      <c r="H182" s="15" t="n">
        <v>1.55687138779167</v>
      </c>
      <c r="I182" s="16" t="n">
        <v>208.362382011012</v>
      </c>
      <c r="J182" s="15" t="n">
        <v>0.21769329712734</v>
      </c>
      <c r="K182" s="15" t="n">
        <v>44536.2869149495</v>
      </c>
      <c r="L182" s="15" t="n">
        <v>3.5543337625252</v>
      </c>
      <c r="M182" s="15" t="n">
        <v>-2.80713968038546</v>
      </c>
      <c r="N182" s="17" t="n">
        <v>3.54778463452148</v>
      </c>
      <c r="O182" s="18" t="n">
        <v>0.00796605393102629</v>
      </c>
    </row>
    <row r="183" ht="15" customHeight="1" s="12">
      <c r="A183" s="14" t="inlineStr">
        <is>
          <t>Chagai</t>
        </is>
      </c>
      <c r="B183" s="14" t="inlineStr">
        <is>
          <t>Balochistan</t>
        </is>
      </c>
      <c r="C183" s="14" t="n">
        <v>2020</v>
      </c>
      <c r="D183" s="15" t="n">
        <v>5.43984847897207</v>
      </c>
      <c r="E183" s="15" t="n">
        <v>2238.97763572751</v>
      </c>
      <c r="F183" s="15" t="n">
        <v>22.1733378752324</v>
      </c>
      <c r="G183" s="15" t="n">
        <v>0.441698206144793</v>
      </c>
      <c r="H183" s="15" t="n">
        <v>4.19535126130117</v>
      </c>
      <c r="I183" s="16" t="n">
        <v>77.12257570258539</v>
      </c>
      <c r="J183" s="15" t="n">
        <v>1.74924491448716</v>
      </c>
      <c r="K183" s="15" t="n">
        <v>44536.2869149495</v>
      </c>
      <c r="L183" s="15" t="n">
        <v>3.5543337625252</v>
      </c>
      <c r="M183" s="15" t="n">
        <v>1.88551471644687</v>
      </c>
      <c r="N183" s="17" t="n">
        <v>2.77521895812988</v>
      </c>
      <c r="O183" s="18" t="n">
        <v>0.00623136581509296</v>
      </c>
    </row>
    <row r="184" ht="15" customHeight="1" s="12">
      <c r="A184" s="14" t="inlineStr">
        <is>
          <t>Chagai</t>
        </is>
      </c>
      <c r="B184" s="14" t="inlineStr">
        <is>
          <t>Balochistan</t>
        </is>
      </c>
      <c r="C184" s="14" t="n">
        <v>2021</v>
      </c>
      <c r="D184" s="15" t="n">
        <v>6.1880957994216</v>
      </c>
      <c r="E184" s="15" t="n">
        <v>2546.94742991488</v>
      </c>
      <c r="F184" s="15" t="n">
        <v>24.8754704594612</v>
      </c>
      <c r="G184" s="15" t="n">
        <v>0</v>
      </c>
      <c r="H184" s="15" t="n">
        <v>5.96475854091977</v>
      </c>
      <c r="I184" s="16" t="n">
        <v>96.3908564808789</v>
      </c>
      <c r="J184" s="15" t="n">
        <v>1.32880758420275</v>
      </c>
      <c r="K184" s="15" t="n">
        <v>44536.2869149495</v>
      </c>
      <c r="L184" s="15" t="n">
        <v>3.5543337625252</v>
      </c>
      <c r="M184" s="15" t="n">
        <v>2.6337620368964</v>
      </c>
      <c r="N184" s="17" t="n">
        <v>1.20046603912353</v>
      </c>
      <c r="O184" s="18" t="n">
        <v>0.00269547850142077</v>
      </c>
    </row>
    <row r="185" ht="15" customHeight="1" s="12">
      <c r="A185" s="14" t="inlineStr">
        <is>
          <t>Chagai</t>
        </is>
      </c>
      <c r="B185" s="14" t="inlineStr">
        <is>
          <t>Balochistan</t>
        </is>
      </c>
      <c r="C185" s="14" t="n">
        <v>2022</v>
      </c>
      <c r="D185" s="15" t="n">
        <v>13.9119895235879</v>
      </c>
      <c r="E185" s="15" t="n">
        <v>5726.01121744379</v>
      </c>
      <c r="F185" s="15" t="n">
        <v>46.1031740307808</v>
      </c>
      <c r="G185" s="15" t="n">
        <v>0.813349791249493</v>
      </c>
      <c r="H185" s="15" t="n">
        <v>11.1060121245702</v>
      </c>
      <c r="I185" s="16" t="n">
        <v>79.8305095453092</v>
      </c>
      <c r="J185" s="15" t="n">
        <v>4.78331665952075</v>
      </c>
      <c r="K185" s="15" t="n">
        <v>44536.2869149495</v>
      </c>
      <c r="L185" s="15" t="n">
        <v>3.5543337625252</v>
      </c>
      <c r="M185" s="15" t="n">
        <v>10.3576557610627</v>
      </c>
      <c r="N185" s="17" t="n">
        <v>3.00136040600586</v>
      </c>
      <c r="O185" s="18" t="n">
        <v>0.00673913479077751</v>
      </c>
    </row>
    <row r="186" ht="15" customHeight="1" s="12">
      <c r="A186" s="14" t="inlineStr">
        <is>
          <t>Chagai</t>
        </is>
      </c>
      <c r="B186" s="14" t="inlineStr">
        <is>
          <t>Balochistan</t>
        </is>
      </c>
      <c r="C186" s="14" t="n">
        <v>2023</v>
      </c>
      <c r="D186" s="15" t="n">
        <v>3.84712553575353</v>
      </c>
      <c r="E186" s="15" t="n">
        <v>1583.43161021573</v>
      </c>
      <c r="F186" s="15" t="n">
        <v>15.9648131430149</v>
      </c>
      <c r="G186" s="15" t="n">
        <v>0</v>
      </c>
      <c r="H186" s="15" t="n">
        <v>3.868154933502</v>
      </c>
      <c r="I186" s="16" t="n">
        <v>100.546626242191</v>
      </c>
      <c r="J186" s="15" t="n">
        <v>1.18532704492402</v>
      </c>
      <c r="K186" s="15" t="n">
        <v>44536.2869149495</v>
      </c>
      <c r="L186" s="15" t="n">
        <v>3.5543337625252</v>
      </c>
      <c r="M186" s="15" t="n">
        <v>0.292791773228332</v>
      </c>
      <c r="N186" s="17" t="n">
        <v>0.878936244995117</v>
      </c>
      <c r="O186" s="18" t="n">
        <v>0.00197352834257066</v>
      </c>
    </row>
    <row r="187" ht="15" customHeight="1" s="12">
      <c r="A187" s="14" t="inlineStr">
        <is>
          <t>Chagai</t>
        </is>
      </c>
      <c r="B187" s="14" t="inlineStr">
        <is>
          <t>Balochistan</t>
        </is>
      </c>
      <c r="C187" s="14" t="n">
        <v>2024</v>
      </c>
      <c r="D187" s="15" t="n">
        <v>3.20317629577673</v>
      </c>
      <c r="E187" s="15" t="n">
        <v>1318.38967891469</v>
      </c>
      <c r="F187" s="15" t="n">
        <v>25.1436420511482</v>
      </c>
      <c r="G187" s="15" t="n">
        <v>0.490401792339981</v>
      </c>
      <c r="H187" s="15" t="n">
        <v>3.76711207080077</v>
      </c>
      <c r="I187" s="16" t="n">
        <v>117.605517865738</v>
      </c>
      <c r="J187" s="15" t="n">
        <v>0.735667667095422</v>
      </c>
      <c r="K187" s="15" t="n">
        <v>44536.2869149495</v>
      </c>
      <c r="L187" s="15" t="n">
        <v>3.5543337625252</v>
      </c>
      <c r="M187" s="15" t="n">
        <v>-0.351157466748472</v>
      </c>
      <c r="N187" s="17" t="n">
        <v>1.88035070373535</v>
      </c>
      <c r="O187" s="18" t="n">
        <v>0.00422206437489106</v>
      </c>
    </row>
    <row r="188" ht="15" customHeight="1" s="12">
      <c r="A188" s="14" t="inlineStr">
        <is>
          <t>Chagai</t>
        </is>
      </c>
      <c r="B188" s="14" t="inlineStr">
        <is>
          <t>Balochistan</t>
        </is>
      </c>
      <c r="C188" s="14" t="n">
        <v>2025</v>
      </c>
      <c r="D188" s="15" t="n">
        <v>2.20026411759327</v>
      </c>
      <c r="E188" s="15" t="n">
        <v>905.602825341182</v>
      </c>
      <c r="F188" s="15" t="n">
        <v>18.3135568723083</v>
      </c>
      <c r="G188" s="15" t="n">
        <v>0.194157505990006</v>
      </c>
      <c r="H188" s="15" t="n">
        <v>2.89156320014753</v>
      </c>
      <c r="I188" s="16" t="n">
        <v>131.418913621626</v>
      </c>
      <c r="J188" s="15" t="n">
        <v>0.663065123148016</v>
      </c>
      <c r="K188" s="15" t="n">
        <v>44536.2869149495</v>
      </c>
      <c r="L188" s="15" t="n">
        <v>3.5543337625252</v>
      </c>
      <c r="M188" s="15" t="n">
        <v>-1.35406964493193</v>
      </c>
      <c r="N188" s="17" t="n">
        <v>1.21670257220459</v>
      </c>
      <c r="O188" s="18" t="n">
        <v>0.00273193536436505</v>
      </c>
    </row>
    <row r="189" ht="15" customHeight="1" s="12">
      <c r="A189" s="14" t="inlineStr">
        <is>
          <t>Chakwal</t>
        </is>
      </c>
      <c r="B189" s="14" t="inlineStr">
        <is>
          <t>Punjab</t>
        </is>
      </c>
      <c r="C189" s="14" t="n">
        <v>2015</v>
      </c>
      <c r="D189" s="15" t="n">
        <v>514.845812898516</v>
      </c>
      <c r="E189" s="15" t="n">
        <v>32213.1958619444</v>
      </c>
      <c r="F189" s="15" t="n">
        <v>664.822573661804</v>
      </c>
      <c r="G189" s="15" t="n">
        <v>360.589986801148</v>
      </c>
      <c r="H189" s="15" t="n">
        <v>59.9305421967579</v>
      </c>
      <c r="I189" s="16" t="n">
        <v>11.6404835574668</v>
      </c>
      <c r="J189" s="15" t="n">
        <v>30.1126292698214</v>
      </c>
      <c r="K189" s="15" t="n">
        <v>6490.92317161002</v>
      </c>
      <c r="L189" s="15" t="n">
        <v>485.769366332848</v>
      </c>
      <c r="M189" s="15" t="n">
        <v>29.0764465656679</v>
      </c>
      <c r="N189" s="17" t="n">
        <v>4.29575208967812</v>
      </c>
      <c r="O189" s="18" t="n">
        <v>0.066180911036921</v>
      </c>
    </row>
    <row r="190" ht="15" customHeight="1" s="12">
      <c r="A190" s="14" t="inlineStr">
        <is>
          <t>Chakwal</t>
        </is>
      </c>
      <c r="B190" s="14" t="inlineStr">
        <is>
          <t>Punjab</t>
        </is>
      </c>
      <c r="C190" s="14" t="n">
        <v>2016</v>
      </c>
      <c r="D190" s="15" t="n">
        <v>470.588985841067</v>
      </c>
      <c r="E190" s="15" t="n">
        <v>29444.1069376244</v>
      </c>
      <c r="F190" s="15" t="n">
        <v>648.968820810318</v>
      </c>
      <c r="G190" s="15" t="n">
        <v>342.570526897907</v>
      </c>
      <c r="H190" s="15" t="n">
        <v>60.8169567616015</v>
      </c>
      <c r="I190" s="16" t="n">
        <v>12.9235826998597</v>
      </c>
      <c r="J190" s="15" t="n">
        <v>32.3408335944845</v>
      </c>
      <c r="K190" s="15" t="n">
        <v>6490.92317161002</v>
      </c>
      <c r="L190" s="15" t="n">
        <v>485.769366332848</v>
      </c>
      <c r="M190" s="15" t="n">
        <v>-15.1803804917806</v>
      </c>
      <c r="N190" s="17" t="n">
        <v>7.74514726027594</v>
      </c>
      <c r="O190" s="18" t="n">
        <v>0.119322738160754</v>
      </c>
    </row>
    <row r="191" ht="15" customHeight="1" s="12">
      <c r="A191" s="14" t="inlineStr">
        <is>
          <t>Chakwal</t>
        </is>
      </c>
      <c r="B191" s="14" t="inlineStr">
        <is>
          <t>Punjab</t>
        </is>
      </c>
      <c r="C191" s="14" t="n">
        <v>2017</v>
      </c>
      <c r="D191" s="15" t="n">
        <v>449.762226473469</v>
      </c>
      <c r="E191" s="15" t="n">
        <v>28141.005189742</v>
      </c>
      <c r="F191" s="15" t="n">
        <v>623.448085546494</v>
      </c>
      <c r="G191" s="15" t="n">
        <v>335.978962600231</v>
      </c>
      <c r="H191" s="15" t="n">
        <v>68.0369440770741</v>
      </c>
      <c r="I191" s="16" t="n">
        <v>15.1273139610997</v>
      </c>
      <c r="J191" s="15" t="n">
        <v>33.5045440300846</v>
      </c>
      <c r="K191" s="15" t="n">
        <v>6490.92317161002</v>
      </c>
      <c r="L191" s="15" t="n">
        <v>485.769366332848</v>
      </c>
      <c r="M191" s="15" t="n">
        <v>-36.0071398593789</v>
      </c>
      <c r="N191" s="17" t="n">
        <v>4.66408480483902</v>
      </c>
      <c r="O191" s="18" t="n">
        <v>0.0718554923780145</v>
      </c>
    </row>
    <row r="192" ht="15" customHeight="1" s="12">
      <c r="A192" s="14" t="inlineStr">
        <is>
          <t>Chakwal</t>
        </is>
      </c>
      <c r="B192" s="14" t="inlineStr">
        <is>
          <t>Punjab</t>
        </is>
      </c>
      <c r="C192" s="14" t="n">
        <v>2018</v>
      </c>
      <c r="D192" s="15" t="n">
        <v>408.098606851754</v>
      </c>
      <c r="E192" s="15" t="n">
        <v>25534.1696953715</v>
      </c>
      <c r="F192" s="15" t="n">
        <v>576.667212128639</v>
      </c>
      <c r="G192" s="15" t="n">
        <v>285.481896437705</v>
      </c>
      <c r="H192" s="15" t="n">
        <v>73.73334826062199</v>
      </c>
      <c r="I192" s="16" t="n">
        <v>18.067532459724</v>
      </c>
      <c r="J192" s="15" t="n">
        <v>24.7800689439047</v>
      </c>
      <c r="K192" s="15" t="n">
        <v>6490.92317161002</v>
      </c>
      <c r="L192" s="15" t="n">
        <v>485.769366332848</v>
      </c>
      <c r="M192" s="15" t="n">
        <v>-77.6707594810936</v>
      </c>
      <c r="N192" s="17" t="n">
        <v>4.56661996938548</v>
      </c>
      <c r="O192" s="18" t="n">
        <v>0.0703539365457128</v>
      </c>
    </row>
    <row r="193" ht="15" customHeight="1" s="12">
      <c r="A193" s="14" t="inlineStr">
        <is>
          <t>Chakwal</t>
        </is>
      </c>
      <c r="B193" s="14" t="inlineStr">
        <is>
          <t>Punjab</t>
        </is>
      </c>
      <c r="C193" s="14" t="n">
        <v>2019</v>
      </c>
      <c r="D193" s="15" t="n">
        <v>470.360560314584</v>
      </c>
      <c r="E193" s="15" t="n">
        <v>29429.8146659576</v>
      </c>
      <c r="F193" s="15" t="n">
        <v>615.431922560107</v>
      </c>
      <c r="G193" s="15" t="n">
        <v>349.253729743009</v>
      </c>
      <c r="H193" s="15" t="n">
        <v>60.9884736576106</v>
      </c>
      <c r="I193" s="16" t="n">
        <v>12.9663238807311</v>
      </c>
      <c r="J193" s="15" t="n">
        <v>24.5119398307741</v>
      </c>
      <c r="K193" s="15" t="n">
        <v>6490.92317161002</v>
      </c>
      <c r="L193" s="15" t="n">
        <v>485.769366332848</v>
      </c>
      <c r="M193" s="15" t="n">
        <v>-15.4088060182635</v>
      </c>
      <c r="N193" s="17" t="n">
        <v>3.19342928268014</v>
      </c>
      <c r="O193" s="18" t="n">
        <v>0.0491983836235737</v>
      </c>
    </row>
    <row r="194" ht="15" customHeight="1" s="12">
      <c r="A194" s="14" t="inlineStr">
        <is>
          <t>Chakwal</t>
        </is>
      </c>
      <c r="B194" s="14" t="inlineStr">
        <is>
          <t>Punjab</t>
        </is>
      </c>
      <c r="C194" s="14" t="n">
        <v>2020</v>
      </c>
      <c r="D194" s="15" t="n">
        <v>514.2082926513619</v>
      </c>
      <c r="E194" s="15" t="n">
        <v>32173.3070951078</v>
      </c>
      <c r="F194" s="15" t="n">
        <v>762.546429179273</v>
      </c>
      <c r="G194" s="15" t="n">
        <v>297.935475167798</v>
      </c>
      <c r="H194" s="15" t="n">
        <v>116.806908335293</v>
      </c>
      <c r="I194" s="16" t="n">
        <v>22.7158740931643</v>
      </c>
      <c r="J194" s="15" t="n">
        <v>30.0823566280163</v>
      </c>
      <c r="K194" s="15" t="n">
        <v>6490.92317161002</v>
      </c>
      <c r="L194" s="15" t="n">
        <v>485.769366332848</v>
      </c>
      <c r="M194" s="15" t="n">
        <v>28.4389263185147</v>
      </c>
      <c r="N194" s="17" t="n">
        <v>2.7629743117087</v>
      </c>
      <c r="O194" s="18" t="n">
        <v>0.0425667387929253</v>
      </c>
    </row>
    <row r="195" ht="15" customHeight="1" s="12">
      <c r="A195" s="14" t="inlineStr">
        <is>
          <t>Chakwal</t>
        </is>
      </c>
      <c r="B195" s="14" t="inlineStr">
        <is>
          <t>Punjab</t>
        </is>
      </c>
      <c r="C195" s="14" t="n">
        <v>2021</v>
      </c>
      <c r="D195" s="15" t="n">
        <v>567.0616466312561</v>
      </c>
      <c r="E195" s="15" t="n">
        <v>35480.2689098106</v>
      </c>
      <c r="F195" s="15" t="n">
        <v>865.031952738762</v>
      </c>
      <c r="G195" s="15" t="n">
        <v>360.842002391815</v>
      </c>
      <c r="H195" s="15" t="n">
        <v>122.326635576273</v>
      </c>
      <c r="I195" s="16" t="n">
        <v>21.5720171348176</v>
      </c>
      <c r="J195" s="15" t="n">
        <v>21.5523033531808</v>
      </c>
      <c r="K195" s="15" t="n">
        <v>6490.92317161002</v>
      </c>
      <c r="L195" s="15" t="n">
        <v>485.769366332848</v>
      </c>
      <c r="M195" s="15" t="n">
        <v>81.2922802984087</v>
      </c>
      <c r="N195" s="17" t="n">
        <v>3.15865925967898</v>
      </c>
      <c r="O195" s="18" t="n">
        <v>0.0486627121623364</v>
      </c>
    </row>
    <row r="196" ht="15" customHeight="1" s="12">
      <c r="A196" s="14" t="inlineStr">
        <is>
          <t>Chakwal</t>
        </is>
      </c>
      <c r="B196" s="14" t="inlineStr">
        <is>
          <t>Punjab</t>
        </is>
      </c>
      <c r="C196" s="14" t="n">
        <v>2022</v>
      </c>
      <c r="D196" s="15" t="n">
        <v>441.181362981456</v>
      </c>
      <c r="E196" s="15" t="n">
        <v>27604.1123387025</v>
      </c>
      <c r="F196" s="15" t="n">
        <v>660.6123659610751</v>
      </c>
      <c r="G196" s="15" t="n">
        <v>321.303650398228</v>
      </c>
      <c r="H196" s="15" t="n">
        <v>79.71583790423399</v>
      </c>
      <c r="I196" s="16" t="n">
        <v>18.0687228865523</v>
      </c>
      <c r="J196" s="15" t="n">
        <v>31.8605452836102</v>
      </c>
      <c r="K196" s="15" t="n">
        <v>6490.92317161002</v>
      </c>
      <c r="L196" s="15" t="n">
        <v>485.769366332848</v>
      </c>
      <c r="M196" s="15" t="n">
        <v>-44.5880033513914</v>
      </c>
      <c r="N196" s="17" t="n">
        <v>5.51837346715711</v>
      </c>
      <c r="O196" s="18" t="n">
        <v>0.0850167737509719</v>
      </c>
    </row>
    <row r="197" ht="15" customHeight="1" s="12">
      <c r="A197" s="14" t="inlineStr">
        <is>
          <t>Chakwal</t>
        </is>
      </c>
      <c r="B197" s="14" t="inlineStr">
        <is>
          <t>Punjab</t>
        </is>
      </c>
      <c r="C197" s="14" t="n">
        <v>2023</v>
      </c>
      <c r="D197" s="15" t="n">
        <v>464.710463990705</v>
      </c>
      <c r="E197" s="15" t="n">
        <v>29076.2958940067</v>
      </c>
      <c r="F197" s="15" t="n">
        <v>620.22691321373</v>
      </c>
      <c r="G197" s="15" t="n">
        <v>297.111045122147</v>
      </c>
      <c r="H197" s="15" t="n">
        <v>79.21852245298081</v>
      </c>
      <c r="I197" s="16" t="n">
        <v>17.0468557502861</v>
      </c>
      <c r="J197" s="15" t="n">
        <v>23.4956439987465</v>
      </c>
      <c r="K197" s="15" t="n">
        <v>6490.92317161002</v>
      </c>
      <c r="L197" s="15" t="n">
        <v>485.769366332848</v>
      </c>
      <c r="M197" s="15" t="n">
        <v>-21.058902342143</v>
      </c>
      <c r="N197" s="17" t="n">
        <v>3.70957608082084</v>
      </c>
      <c r="O197" s="18" t="n">
        <v>0.057150207801654</v>
      </c>
    </row>
    <row r="198" ht="15" customHeight="1" s="12">
      <c r="A198" s="14" t="inlineStr">
        <is>
          <t>Chakwal</t>
        </is>
      </c>
      <c r="B198" s="14" t="inlineStr">
        <is>
          <t>Punjab</t>
        </is>
      </c>
      <c r="C198" s="14" t="n">
        <v>2024</v>
      </c>
      <c r="D198" s="15" t="n">
        <v>476.814930046554</v>
      </c>
      <c r="E198" s="15" t="n">
        <v>29833.6557211481</v>
      </c>
      <c r="F198" s="15" t="n">
        <v>742.086232289033</v>
      </c>
      <c r="G198" s="15" t="n">
        <v>343.268334746361</v>
      </c>
      <c r="H198" s="15" t="n">
        <v>96.98736740990761</v>
      </c>
      <c r="I198" s="16" t="n">
        <v>20.3406733510711</v>
      </c>
      <c r="J198" s="15" t="n">
        <v>35.815042306487</v>
      </c>
      <c r="K198" s="15" t="n">
        <v>6490.92317161002</v>
      </c>
      <c r="L198" s="15" t="n">
        <v>485.769366332848</v>
      </c>
      <c r="M198" s="15" t="n">
        <v>-8.95443628629363</v>
      </c>
      <c r="N198" s="17" t="n">
        <v>3.72811084639485</v>
      </c>
      <c r="O198" s="18" t="n">
        <v>0.0574357567918975</v>
      </c>
    </row>
    <row r="199" ht="15" customHeight="1" s="12">
      <c r="A199" s="14" t="inlineStr">
        <is>
          <t>Chakwal</t>
        </is>
      </c>
      <c r="B199" s="14" t="inlineStr">
        <is>
          <t>Punjab</t>
        </is>
      </c>
      <c r="C199" s="14" t="n">
        <v>2025</v>
      </c>
      <c r="D199" s="15" t="n">
        <v>565.830140980602</v>
      </c>
      <c r="E199" s="15" t="n">
        <v>35403.215291551</v>
      </c>
      <c r="F199" s="15" t="n">
        <v>856.943454064429</v>
      </c>
      <c r="G199" s="15" t="n">
        <v>420.567289382219</v>
      </c>
      <c r="H199" s="15" t="n">
        <v>97.4615075757886</v>
      </c>
      <c r="I199" s="16" t="n">
        <v>17.2245167793438</v>
      </c>
      <c r="J199" s="15" t="n">
        <v>31.778502036979</v>
      </c>
      <c r="K199" s="15" t="n">
        <v>6490.92317161002</v>
      </c>
      <c r="L199" s="15" t="n">
        <v>485.769366332848</v>
      </c>
      <c r="M199" s="15" t="n">
        <v>80.0607746477544</v>
      </c>
      <c r="N199" s="17" t="n">
        <v>5.02159010980704</v>
      </c>
      <c r="O199" s="18" t="n">
        <v>0.0773632652404584</v>
      </c>
    </row>
    <row r="200" ht="15" customHeight="1" s="12">
      <c r="A200" s="14" t="inlineStr">
        <is>
          <t>Chaman</t>
        </is>
      </c>
      <c r="B200" s="14" t="inlineStr">
        <is>
          <t>Balochistan</t>
        </is>
      </c>
      <c r="C200" s="14" t="n">
        <v>2015</v>
      </c>
      <c r="D200" s="15" t="n">
        <v>1.42192893862056</v>
      </c>
      <c r="E200" s="15" t="n">
        <v>21.8921294628405</v>
      </c>
      <c r="F200" s="15" t="n">
        <v>9.65794622898102</v>
      </c>
      <c r="G200" s="15" t="n">
        <v>0</v>
      </c>
      <c r="H200" s="15" t="n">
        <v>2.70870248837838</v>
      </c>
      <c r="I200" s="16" t="n">
        <v>190.494926631575</v>
      </c>
      <c r="J200" s="15" t="n">
        <v>0.543555781966378</v>
      </c>
      <c r="K200" s="15" t="n">
        <v>1637.07930025735</v>
      </c>
      <c r="L200" s="15" t="n">
        <v>5.25966272582636</v>
      </c>
      <c r="M200" s="15" t="n">
        <v>-3.83773378720579</v>
      </c>
      <c r="N200" s="17" t="n">
        <v>0.000772399169921875</v>
      </c>
      <c r="O200" s="18" t="n">
        <v>4.71815366427547e-05</v>
      </c>
    </row>
    <row r="201" ht="15" customHeight="1" s="12">
      <c r="A201" s="14" t="inlineStr">
        <is>
          <t>Chaman</t>
        </is>
      </c>
      <c r="B201" s="14" t="inlineStr">
        <is>
          <t>Balochistan</t>
        </is>
      </c>
      <c r="C201" s="14" t="n">
        <v>2016</v>
      </c>
      <c r="D201" s="15" t="n">
        <v>0.157978833313809</v>
      </c>
      <c r="E201" s="15" t="n">
        <v>2.43225450819614</v>
      </c>
      <c r="F201" s="15" t="n">
        <v>5.32450610399246</v>
      </c>
      <c r="G201" s="15" t="n">
        <v>0</v>
      </c>
      <c r="H201" s="15" t="n">
        <v>1.22291841553302</v>
      </c>
      <c r="I201" s="16" t="n">
        <v>774.102700900326</v>
      </c>
      <c r="J201" s="15" t="n">
        <v>0.06418746816097801</v>
      </c>
      <c r="K201" s="15" t="n">
        <v>1637.07930025735</v>
      </c>
      <c r="L201" s="15" t="n">
        <v>5.25966272582636</v>
      </c>
      <c r="M201" s="15" t="n">
        <v>-5.10168389251255</v>
      </c>
      <c r="N201" s="17" t="n">
        <v>0.0115358283081054</v>
      </c>
      <c r="O201" s="18" t="n">
        <v>0.000704659102725931</v>
      </c>
    </row>
    <row r="202" ht="15" customHeight="1" s="12">
      <c r="A202" s="14" t="inlineStr">
        <is>
          <t>Chaman</t>
        </is>
      </c>
      <c r="B202" s="14" t="inlineStr">
        <is>
          <t>Balochistan</t>
        </is>
      </c>
      <c r="C202" s="14" t="n">
        <v>2017</v>
      </c>
      <c r="D202" s="15" t="n">
        <v>2.17398110242353</v>
      </c>
      <c r="E202" s="15" t="n">
        <v>33.4707835612344</v>
      </c>
      <c r="F202" s="15" t="n">
        <v>8.35468196868897</v>
      </c>
      <c r="G202" s="15" t="n">
        <v>0</v>
      </c>
      <c r="H202" s="15" t="n">
        <v>1.76083964250395</v>
      </c>
      <c r="I202" s="16" t="n">
        <v>80.9960878013608</v>
      </c>
      <c r="J202" s="15" t="n">
        <v>0.844880285277636</v>
      </c>
      <c r="K202" s="15" t="n">
        <v>1637.07930025735</v>
      </c>
      <c r="L202" s="15" t="n">
        <v>5.25966272582636</v>
      </c>
      <c r="M202" s="15" t="n">
        <v>-3.08568162340283</v>
      </c>
      <c r="N202" s="17" t="n">
        <v>0.0076896661987304</v>
      </c>
      <c r="O202" s="18" t="n">
        <v>0.000469718613968277</v>
      </c>
    </row>
    <row r="203" ht="15" customHeight="1" s="12">
      <c r="A203" s="14" t="inlineStr">
        <is>
          <t>Chaman</t>
        </is>
      </c>
      <c r="B203" s="14" t="inlineStr">
        <is>
          <t>Balochistan</t>
        </is>
      </c>
      <c r="C203" s="14" t="n">
        <v>2018</v>
      </c>
      <c r="D203" s="15" t="n">
        <v>0.868618423481994</v>
      </c>
      <c r="E203" s="15" t="n">
        <v>13.373317374864</v>
      </c>
      <c r="F203" s="15" t="n">
        <v>5.87406334804837</v>
      </c>
      <c r="G203" s="15" t="n">
        <v>0.241525799036026</v>
      </c>
      <c r="H203" s="15" t="n">
        <v>1.31780369003677</v>
      </c>
      <c r="I203" s="16" t="n">
        <v>151.712611016717</v>
      </c>
      <c r="J203" s="15" t="n">
        <v>0.202241467142129</v>
      </c>
      <c r="K203" s="15" t="n">
        <v>1637.07930025735</v>
      </c>
      <c r="L203" s="15" t="n">
        <v>5.25966272582636</v>
      </c>
      <c r="M203" s="15" t="n">
        <v>-4.39104430234436</v>
      </c>
      <c r="N203" s="17" t="n">
        <v>0.0076966851196289</v>
      </c>
      <c r="O203" s="18" t="n">
        <v>0.000470147360510818</v>
      </c>
    </row>
    <row r="204" ht="15" customHeight="1" s="12">
      <c r="A204" s="14" t="inlineStr">
        <is>
          <t>Chaman</t>
        </is>
      </c>
      <c r="B204" s="14" t="inlineStr">
        <is>
          <t>Balochistan</t>
        </is>
      </c>
      <c r="C204" s="14" t="n">
        <v>2019</v>
      </c>
      <c r="D204" s="15" t="n">
        <v>2.18788961396759</v>
      </c>
      <c r="E204" s="15" t="n">
        <v>33.6849200958304</v>
      </c>
      <c r="F204" s="15" t="n">
        <v>9.522996366024021</v>
      </c>
      <c r="G204" s="15" t="n">
        <v>0.892565250396729</v>
      </c>
      <c r="H204" s="15" t="n">
        <v>2.01127879375178</v>
      </c>
      <c r="I204" s="16" t="n">
        <v>91.92780023780379</v>
      </c>
      <c r="J204" s="15" t="n">
        <v>0.705552725420275</v>
      </c>
      <c r="K204" s="15" t="n">
        <v>1637.07930025735</v>
      </c>
      <c r="L204" s="15" t="n">
        <v>5.25966272582636</v>
      </c>
      <c r="M204" s="15" t="n">
        <v>-3.07177311185877</v>
      </c>
      <c r="N204" s="17" t="n">
        <v>0.020761924255371</v>
      </c>
      <c r="O204" s="18" t="n">
        <v>0.00126822959963559</v>
      </c>
    </row>
    <row r="205" ht="15" customHeight="1" s="12">
      <c r="A205" s="14" t="inlineStr">
        <is>
          <t>Chaman</t>
        </is>
      </c>
      <c r="B205" s="14" t="inlineStr">
        <is>
          <t>Balochistan</t>
        </is>
      </c>
      <c r="C205" s="14" t="n">
        <v>2020</v>
      </c>
      <c r="D205" s="15" t="n">
        <v>5.09124893300819</v>
      </c>
      <c r="E205" s="15" t="n">
        <v>78.38526788623589</v>
      </c>
      <c r="F205" s="15" t="n">
        <v>16.6163873292971</v>
      </c>
      <c r="G205" s="15" t="n">
        <v>2.30747381434776</v>
      </c>
      <c r="H205" s="15" t="n">
        <v>3.17721878839047</v>
      </c>
      <c r="I205" s="16" t="n">
        <v>62.4054889123873</v>
      </c>
      <c r="J205" s="15" t="n">
        <v>1.62124299541518</v>
      </c>
      <c r="K205" s="15" t="n">
        <v>1637.07930025735</v>
      </c>
      <c r="L205" s="15" t="n">
        <v>5.25966272582636</v>
      </c>
      <c r="M205" s="15" t="n">
        <v>-0.168413792818164</v>
      </c>
      <c r="N205" s="17" t="n">
        <v>0.0069267127075195</v>
      </c>
      <c r="O205" s="18" t="n">
        <v>0.00042311406090289</v>
      </c>
    </row>
    <row r="206" ht="15" customHeight="1" s="12">
      <c r="A206" s="14" t="inlineStr">
        <is>
          <t>Chaman</t>
        </is>
      </c>
      <c r="B206" s="14" t="inlineStr">
        <is>
          <t>Balochistan</t>
        </is>
      </c>
      <c r="C206" s="14" t="n">
        <v>2021</v>
      </c>
      <c r="D206" s="15" t="n">
        <v>4.99194849591078</v>
      </c>
      <c r="E206" s="15" t="n">
        <v>76.85643056841459</v>
      </c>
      <c r="F206" s="15" t="n">
        <v>13.1354002952576</v>
      </c>
      <c r="G206" s="15" t="n">
        <v>0</v>
      </c>
      <c r="H206" s="15" t="n">
        <v>3.77792767070682</v>
      </c>
      <c r="I206" s="16" t="n">
        <v>75.6804216590287</v>
      </c>
      <c r="J206" s="15" t="n">
        <v>1.49184921039226</v>
      </c>
      <c r="K206" s="15" t="n">
        <v>1637.07930025735</v>
      </c>
      <c r="L206" s="15" t="n">
        <v>5.25966272582636</v>
      </c>
      <c r="M206" s="15" t="n">
        <v>-0.267714229915576</v>
      </c>
      <c r="N206" s="17" t="n">
        <v>0.0401141187909294</v>
      </c>
      <c r="O206" s="18" t="n">
        <v>0.00245034671103736</v>
      </c>
    </row>
    <row r="207" ht="15" customHeight="1" s="12">
      <c r="A207" s="14" t="inlineStr">
        <is>
          <t>Chaman</t>
        </is>
      </c>
      <c r="B207" s="14" t="inlineStr">
        <is>
          <t>Balochistan</t>
        </is>
      </c>
      <c r="C207" s="14" t="n">
        <v>2022</v>
      </c>
      <c r="D207" s="15" t="n">
        <v>21.892350219158</v>
      </c>
      <c r="E207" s="15" t="n">
        <v>337.056341021233</v>
      </c>
      <c r="F207" s="15" t="n">
        <v>44.8086675722152</v>
      </c>
      <c r="G207" s="15" t="n">
        <v>6.90078275743872</v>
      </c>
      <c r="H207" s="15" t="n">
        <v>9.46055369599179</v>
      </c>
      <c r="I207" s="16" t="n">
        <v>43.2139701826662</v>
      </c>
      <c r="J207" s="15" t="n">
        <v>8.581507896077429</v>
      </c>
      <c r="K207" s="15" t="n">
        <v>1637.07930025735</v>
      </c>
      <c r="L207" s="15" t="n">
        <v>5.25966272582636</v>
      </c>
      <c r="M207" s="15" t="n">
        <v>16.6326874933316</v>
      </c>
      <c r="N207" s="17" t="n">
        <v>0.140847038601984</v>
      </c>
      <c r="O207" s="18" t="n">
        <v>0.00860355625899383</v>
      </c>
    </row>
    <row r="208" ht="15" customHeight="1" s="12">
      <c r="A208" s="14" t="inlineStr">
        <is>
          <t>Chaman</t>
        </is>
      </c>
      <c r="B208" s="14" t="inlineStr">
        <is>
          <t>Balochistan</t>
        </is>
      </c>
      <c r="C208" s="14" t="n">
        <v>2023</v>
      </c>
      <c r="D208" s="15" t="n">
        <v>1.3243935420631</v>
      </c>
      <c r="E208" s="15" t="n">
        <v>20.3904668476067</v>
      </c>
      <c r="F208" s="15" t="n">
        <v>6.46433842182159</v>
      </c>
      <c r="G208" s="15" t="n">
        <v>0</v>
      </c>
      <c r="H208" s="15" t="n">
        <v>2.28121278467254</v>
      </c>
      <c r="I208" s="16" t="n">
        <v>172.245840244656</v>
      </c>
      <c r="J208" s="15" t="n">
        <v>0.529546612328069</v>
      </c>
      <c r="K208" s="15" t="n">
        <v>1637.07930025735</v>
      </c>
      <c r="L208" s="15" t="n">
        <v>5.25966272582636</v>
      </c>
      <c r="M208" s="15" t="n">
        <v>-3.93526918376326</v>
      </c>
      <c r="N208" s="17" t="n">
        <v>0.0099971215820312</v>
      </c>
      <c r="O208" s="18" t="n">
        <v>0.000610668131987231</v>
      </c>
    </row>
    <row r="209" ht="15" customHeight="1" s="12">
      <c r="A209" s="14" t="inlineStr">
        <is>
          <t>Chaman</t>
        </is>
      </c>
      <c r="B209" s="14" t="inlineStr">
        <is>
          <t>Balochistan</t>
        </is>
      </c>
      <c r="C209" s="14" t="n">
        <v>2024</v>
      </c>
      <c r="D209" s="15" t="n">
        <v>11.4793907068713</v>
      </c>
      <c r="E209" s="15" t="n">
        <v>176.73759966736</v>
      </c>
      <c r="F209" s="15" t="n">
        <v>24.6495790908812</v>
      </c>
      <c r="G209" s="15" t="n">
        <v>3.2433157353662</v>
      </c>
      <c r="H209" s="15" t="n">
        <v>5.54511865292363</v>
      </c>
      <c r="I209" s="16" t="n">
        <v>48.3049910445547</v>
      </c>
      <c r="J209" s="15" t="n">
        <v>3.04763117677025</v>
      </c>
      <c r="K209" s="15" t="n">
        <v>1637.07930025735</v>
      </c>
      <c r="L209" s="15" t="n">
        <v>5.25966272582636</v>
      </c>
      <c r="M209" s="15" t="n">
        <v>6.21972798104496</v>
      </c>
      <c r="N209" s="17" t="n">
        <v>0.043087123840332</v>
      </c>
      <c r="O209" s="18" t="n">
        <v>0.00263195092831231</v>
      </c>
    </row>
    <row r="210" ht="15" customHeight="1" s="12">
      <c r="A210" s="14" t="inlineStr">
        <is>
          <t>Chaman</t>
        </is>
      </c>
      <c r="B210" s="14" t="inlineStr">
        <is>
          <t>Balochistan</t>
        </is>
      </c>
      <c r="C210" s="14" t="n">
        <v>2025</v>
      </c>
      <c r="D210" s="15" t="n">
        <v>6.26656117527104</v>
      </c>
      <c r="E210" s="15" t="n">
        <v>96.48046734946711</v>
      </c>
      <c r="F210" s="15" t="n">
        <v>19.3885568516271</v>
      </c>
      <c r="G210" s="15" t="n">
        <v>1.27543512731791</v>
      </c>
      <c r="H210" s="15" t="n">
        <v>4.53239260035884</v>
      </c>
      <c r="I210" s="16" t="n">
        <v>72.3266313627395</v>
      </c>
      <c r="J210" s="15" t="n">
        <v>1.44345389709628</v>
      </c>
      <c r="K210" s="15" t="n">
        <v>1637.07930025735</v>
      </c>
      <c r="L210" s="15" t="n">
        <v>5.25966272582636</v>
      </c>
      <c r="M210" s="15" t="n">
        <v>1.00689844944469</v>
      </c>
      <c r="N210" s="17" t="n">
        <v>0.0230693118286132</v>
      </c>
      <c r="O210" s="18" t="n">
        <v>0.00140917497551809</v>
      </c>
    </row>
    <row r="211" ht="15" customHeight="1" s="12">
      <c r="A211" s="14" t="inlineStr">
        <is>
          <t>Charsadda</t>
        </is>
      </c>
      <c r="B211" s="14" t="inlineStr">
        <is>
          <t>Khyber Pakhtunkhwa</t>
        </is>
      </c>
      <c r="C211" s="14" t="n">
        <v>2015</v>
      </c>
      <c r="D211" s="15" t="n">
        <v>272.067546716087</v>
      </c>
      <c r="E211" s="15" t="n">
        <v>2665.1950262619</v>
      </c>
      <c r="F211" s="15" t="n">
        <v>436.163977622986</v>
      </c>
      <c r="G211" s="15" t="n">
        <v>125.051978349686</v>
      </c>
      <c r="H211" s="15" t="n">
        <v>86.09016867459439</v>
      </c>
      <c r="I211" s="16" t="n">
        <v>31.642939304493</v>
      </c>
      <c r="J211" s="15" t="n">
        <v>21.0300240192154</v>
      </c>
      <c r="K211" s="15" t="n">
        <v>999.371901288252</v>
      </c>
      <c r="L211" s="15" t="n">
        <v>211.604625359948</v>
      </c>
      <c r="M211" s="15" t="n">
        <v>60.4629213561388</v>
      </c>
      <c r="N211" s="17" t="n">
        <v>1.83156393736884</v>
      </c>
      <c r="O211" s="18" t="n">
        <v>0.183271506333912</v>
      </c>
    </row>
    <row r="212" ht="15" customHeight="1" s="12">
      <c r="A212" s="14" t="inlineStr">
        <is>
          <t>Charsadda</t>
        </is>
      </c>
      <c r="B212" s="14" t="inlineStr">
        <is>
          <t>Khyber Pakhtunkhwa</t>
        </is>
      </c>
      <c r="C212" s="14" t="n">
        <v>2016</v>
      </c>
      <c r="D212" s="15" t="n">
        <v>242.151373266601</v>
      </c>
      <c r="E212" s="15" t="n">
        <v>2372.13384478419</v>
      </c>
      <c r="F212" s="15" t="n">
        <v>350.329910516739</v>
      </c>
      <c r="G212" s="15" t="n">
        <v>134.576066493988</v>
      </c>
      <c r="H212" s="15" t="n">
        <v>62.2675182905013</v>
      </c>
      <c r="I212" s="16" t="n">
        <v>25.7142949265651</v>
      </c>
      <c r="J212" s="15" t="n">
        <v>13.8726981585268</v>
      </c>
      <c r="K212" s="15" t="n">
        <v>999.371901288252</v>
      </c>
      <c r="L212" s="15" t="n">
        <v>211.604625359948</v>
      </c>
      <c r="M212" s="15" t="n">
        <v>30.5467479066533</v>
      </c>
      <c r="N212" s="17" t="n">
        <v>2.32307312304256</v>
      </c>
      <c r="O212" s="18" t="n">
        <v>0.232453315932535</v>
      </c>
    </row>
    <row r="213" ht="15" customHeight="1" s="12">
      <c r="A213" s="14" t="inlineStr">
        <is>
          <t>Charsadda</t>
        </is>
      </c>
      <c r="B213" s="14" t="inlineStr">
        <is>
          <t>Khyber Pakhtunkhwa</t>
        </is>
      </c>
      <c r="C213" s="14" t="n">
        <v>2017</v>
      </c>
      <c r="D213" s="15" t="n">
        <v>316.973220435224</v>
      </c>
      <c r="E213" s="15" t="n">
        <v>3105.09452802819</v>
      </c>
      <c r="F213" s="15" t="n">
        <v>485.561072349548</v>
      </c>
      <c r="G213" s="15" t="n">
        <v>159.957247972488</v>
      </c>
      <c r="H213" s="15" t="n">
        <v>83.99596614684781</v>
      </c>
      <c r="I213" s="16" t="n">
        <v>26.4993888226633</v>
      </c>
      <c r="J213" s="15" t="n">
        <v>22.6761409127302</v>
      </c>
      <c r="K213" s="15" t="n">
        <v>999.371901288252</v>
      </c>
      <c r="L213" s="15" t="n">
        <v>211.604625359948</v>
      </c>
      <c r="M213" s="15" t="n">
        <v>105.368595075276</v>
      </c>
      <c r="N213" s="17" t="n">
        <v>0.978761865038584</v>
      </c>
      <c r="O213" s="18" t="n">
        <v>0.0979377010477181</v>
      </c>
    </row>
    <row r="214" ht="15" customHeight="1" s="12">
      <c r="A214" s="14" t="inlineStr">
        <is>
          <t>Charsadda</t>
        </is>
      </c>
      <c r="B214" s="14" t="inlineStr">
        <is>
          <t>Khyber Pakhtunkhwa</t>
        </is>
      </c>
      <c r="C214" s="14" t="n">
        <v>2018</v>
      </c>
      <c r="D214" s="15" t="n">
        <v>258.173650781353</v>
      </c>
      <c r="E214" s="15" t="n">
        <v>2529.08933196792</v>
      </c>
      <c r="F214" s="15" t="n">
        <v>419.850202083588</v>
      </c>
      <c r="G214" s="15" t="n">
        <v>119.047306954861</v>
      </c>
      <c r="H214" s="15" t="n">
        <v>85.7231869297418</v>
      </c>
      <c r="I214" s="16" t="n">
        <v>33.2036932004113</v>
      </c>
      <c r="J214" s="15" t="n">
        <v>21.4859887910328</v>
      </c>
      <c r="K214" s="15" t="n">
        <v>999.371901288252</v>
      </c>
      <c r="L214" s="15" t="n">
        <v>211.604625359948</v>
      </c>
      <c r="M214" s="15" t="n">
        <v>46.5690254214054</v>
      </c>
      <c r="N214" s="17" t="n">
        <v>2.05657009782236</v>
      </c>
      <c r="O214" s="18" t="n">
        <v>0.205786263869468</v>
      </c>
    </row>
    <row r="215" ht="15" customHeight="1" s="12">
      <c r="A215" s="14" t="inlineStr">
        <is>
          <t>Charsadda</t>
        </is>
      </c>
      <c r="B215" s="14" t="inlineStr">
        <is>
          <t>Khyber Pakhtunkhwa</t>
        </is>
      </c>
      <c r="C215" s="14" t="n">
        <v>2019</v>
      </c>
      <c r="D215" s="15" t="n">
        <v>147.713965109203</v>
      </c>
      <c r="E215" s="15" t="n">
        <v>1447.01758761878</v>
      </c>
      <c r="F215" s="15" t="n">
        <v>230.761829099347</v>
      </c>
      <c r="G215" s="15" t="n">
        <v>74.7300622009017</v>
      </c>
      <c r="H215" s="15" t="n">
        <v>47.6540145642785</v>
      </c>
      <c r="I215" s="16" t="n">
        <v>32.2610083136341</v>
      </c>
      <c r="J215" s="15" t="n">
        <v>17.726581265012</v>
      </c>
      <c r="K215" s="15" t="n">
        <v>999.371901288252</v>
      </c>
      <c r="L215" s="15" t="n">
        <v>211.604625359948</v>
      </c>
      <c r="M215" s="15" t="n">
        <v>-63.8906602507453</v>
      </c>
      <c r="N215" s="17" t="n">
        <v>1.56048922826694</v>
      </c>
      <c r="O215" s="18" t="n">
        <v>0.15614699855533</v>
      </c>
    </row>
    <row r="216" ht="15" customHeight="1" s="12">
      <c r="A216" s="14" t="inlineStr">
        <is>
          <t>Charsadda</t>
        </is>
      </c>
      <c r="B216" s="14" t="inlineStr">
        <is>
          <t>Khyber Pakhtunkhwa</t>
        </is>
      </c>
      <c r="C216" s="14" t="n">
        <v>2020</v>
      </c>
      <c r="D216" s="15" t="n">
        <v>153.552496053664</v>
      </c>
      <c r="E216" s="15" t="n">
        <v>1504.21229467472</v>
      </c>
      <c r="F216" s="15" t="n">
        <v>283.318801765752</v>
      </c>
      <c r="G216" s="15" t="n">
        <v>61.7650428837449</v>
      </c>
      <c r="H216" s="15" t="n">
        <v>59.3599189622084</v>
      </c>
      <c r="I216" s="16" t="n">
        <v>38.6577362711597</v>
      </c>
      <c r="J216" s="15" t="n">
        <v>19.5140112089672</v>
      </c>
      <c r="K216" s="15" t="n">
        <v>999.371901288252</v>
      </c>
      <c r="L216" s="15" t="n">
        <v>211.604625359948</v>
      </c>
      <c r="M216" s="15" t="n">
        <v>-58.0521293062836</v>
      </c>
      <c r="N216" s="17" t="n">
        <v>2.17209172487267</v>
      </c>
      <c r="O216" s="18" t="n">
        <v>0.217345687033296</v>
      </c>
    </row>
    <row r="217" ht="15" customHeight="1" s="12">
      <c r="A217" s="14" t="inlineStr">
        <is>
          <t>Charsadda</t>
        </is>
      </c>
      <c r="B217" s="14" t="inlineStr">
        <is>
          <t>Khyber Pakhtunkhwa</t>
        </is>
      </c>
      <c r="C217" s="14" t="n">
        <v>2021</v>
      </c>
      <c r="D217" s="15" t="n">
        <v>173.390418307413</v>
      </c>
      <c r="E217" s="15" t="n">
        <v>1698.54613698791</v>
      </c>
      <c r="F217" s="15" t="n">
        <v>333.852953970432</v>
      </c>
      <c r="G217" s="15" t="n">
        <v>75.4856053590775</v>
      </c>
      <c r="H217" s="15" t="n">
        <v>71.7455372701898</v>
      </c>
      <c r="I217" s="16" t="n">
        <v>41.3780288268227</v>
      </c>
      <c r="J217" s="15" t="n">
        <v>17.8971176941553</v>
      </c>
      <c r="K217" s="15" t="n">
        <v>999.371901288252</v>
      </c>
      <c r="L217" s="15" t="n">
        <v>211.604625359948</v>
      </c>
      <c r="M217" s="15" t="n">
        <v>-38.2142070525351</v>
      </c>
      <c r="N217" s="17" t="n">
        <v>1.31041783394632</v>
      </c>
      <c r="O217" s="18" t="n">
        <v>0.131124142299489</v>
      </c>
    </row>
    <row r="218" ht="15" customHeight="1" s="12">
      <c r="A218" s="14" t="inlineStr">
        <is>
          <t>Charsadda</t>
        </is>
      </c>
      <c r="B218" s="14" t="inlineStr">
        <is>
          <t>Khyber Pakhtunkhwa</t>
        </is>
      </c>
      <c r="C218" s="14" t="n">
        <v>2022</v>
      </c>
      <c r="D218" s="15" t="n">
        <v>213.972721324702</v>
      </c>
      <c r="E218" s="15" t="n">
        <v>2096.093560271</v>
      </c>
      <c r="F218" s="15" t="n">
        <v>340.649448949844</v>
      </c>
      <c r="G218" s="15" t="n">
        <v>109.155195004052</v>
      </c>
      <c r="H218" s="15" t="n">
        <v>67.1717883379217</v>
      </c>
      <c r="I218" s="16" t="n">
        <v>31.3926877791067</v>
      </c>
      <c r="J218" s="15" t="n">
        <v>20.4351481184948</v>
      </c>
      <c r="K218" s="15" t="n">
        <v>999.371901288252</v>
      </c>
      <c r="L218" s="15" t="n">
        <v>211.604625359948</v>
      </c>
      <c r="M218" s="15" t="n">
        <v>2.36809596475422</v>
      </c>
      <c r="N218" s="17" t="n">
        <v>5.94712217030869</v>
      </c>
      <c r="O218" s="18" t="n">
        <v>0.595085989774425</v>
      </c>
    </row>
    <row r="219" ht="15" customHeight="1" s="12">
      <c r="A219" s="14" t="inlineStr">
        <is>
          <t>Charsadda</t>
        </is>
      </c>
      <c r="B219" s="14" t="inlineStr">
        <is>
          <t>Khyber Pakhtunkhwa</t>
        </is>
      </c>
      <c r="C219" s="14" t="n">
        <v>2023</v>
      </c>
      <c r="D219" s="15" t="n">
        <v>178.433055218742</v>
      </c>
      <c r="E219" s="15" t="n">
        <v>1747.94420367222</v>
      </c>
      <c r="F219" s="15" t="n">
        <v>299.320454001427</v>
      </c>
      <c r="G219" s="15" t="n">
        <v>81.29376971721651</v>
      </c>
      <c r="H219" s="15" t="n">
        <v>61.6076458081106</v>
      </c>
      <c r="I219" s="16" t="n">
        <v>34.5270363344872</v>
      </c>
      <c r="J219" s="15" t="n">
        <v>14.0368294635709</v>
      </c>
      <c r="K219" s="15" t="n">
        <v>999.371901288252</v>
      </c>
      <c r="L219" s="15" t="n">
        <v>211.604625359948</v>
      </c>
      <c r="M219" s="15" t="n">
        <v>-33.1715701412063</v>
      </c>
      <c r="N219" s="17" t="n">
        <v>1.20826162748928</v>
      </c>
      <c r="O219" s="18" t="n">
        <v>0.120902101202941</v>
      </c>
    </row>
    <row r="220" ht="15" customHeight="1" s="12">
      <c r="A220" s="14" t="inlineStr">
        <is>
          <t>Charsadda</t>
        </is>
      </c>
      <c r="B220" s="14" t="inlineStr">
        <is>
          <t>Khyber Pakhtunkhwa</t>
        </is>
      </c>
      <c r="C220" s="14" t="n">
        <v>2024</v>
      </c>
      <c r="D220" s="15" t="n">
        <v>178.276302268954</v>
      </c>
      <c r="E220" s="15" t="n">
        <v>1746.40863948175</v>
      </c>
      <c r="F220" s="15" t="n">
        <v>279.071653635214</v>
      </c>
      <c r="G220" s="15" t="n">
        <v>89.7873964008091</v>
      </c>
      <c r="H220" s="15" t="n">
        <v>55.3797610097296</v>
      </c>
      <c r="I220" s="16" t="n">
        <v>31.064005874534</v>
      </c>
      <c r="J220" s="15" t="n">
        <v>20.4447558046437</v>
      </c>
      <c r="K220" s="15" t="n">
        <v>999.371901288252</v>
      </c>
      <c r="L220" s="15" t="n">
        <v>211.604625359948</v>
      </c>
      <c r="M220" s="15" t="n">
        <v>-33.3283230909944</v>
      </c>
      <c r="N220" s="17" t="n">
        <v>1.16363347093602</v>
      </c>
      <c r="O220" s="18" t="n">
        <v>0.116436480697128</v>
      </c>
    </row>
    <row r="221" ht="15" customHeight="1" s="12">
      <c r="A221" s="14" t="inlineStr">
        <is>
          <t>Charsadda</t>
        </is>
      </c>
      <c r="B221" s="14" t="inlineStr">
        <is>
          <t>Khyber Pakhtunkhwa</t>
        </is>
      </c>
      <c r="C221" s="14" t="n">
        <v>2025</v>
      </c>
      <c r="D221" s="15" t="n">
        <v>192.946129477485</v>
      </c>
      <c r="E221" s="15" t="n">
        <v>1890.1154173912</v>
      </c>
      <c r="F221" s="15" t="n">
        <v>313.483469595201</v>
      </c>
      <c r="G221" s="15" t="n">
        <v>81.7638678234071</v>
      </c>
      <c r="H221" s="15" t="n">
        <v>71.7132811719937</v>
      </c>
      <c r="I221" s="16" t="n">
        <v>37.1675147701588</v>
      </c>
      <c r="J221" s="15" t="n">
        <v>23.0408326661329</v>
      </c>
      <c r="K221" s="15" t="n">
        <v>999.371901288252</v>
      </c>
      <c r="L221" s="15" t="n">
        <v>211.604625359948</v>
      </c>
      <c r="M221" s="15" t="n">
        <v>-18.6584958824634</v>
      </c>
      <c r="N221" s="17" t="n">
        <v>0.802713339819815</v>
      </c>
      <c r="O221" s="18" t="n">
        <v>0.0803217839910316</v>
      </c>
    </row>
    <row r="222" ht="15" customHeight="1" s="12">
      <c r="A222" s="14" t="inlineStr">
        <is>
          <t>Chiniot</t>
        </is>
      </c>
      <c r="B222" s="14" t="inlineStr">
        <is>
          <t>Punjab</t>
        </is>
      </c>
      <c r="C222" s="14" t="n">
        <v>2015</v>
      </c>
      <c r="D222" s="15" t="n">
        <v>243.598203150153</v>
      </c>
      <c r="E222" s="15" t="n">
        <v>6021.17440962908</v>
      </c>
      <c r="F222" s="15" t="n">
        <v>303.893501400948</v>
      </c>
      <c r="G222" s="15" t="n">
        <v>220.734793782234</v>
      </c>
      <c r="H222" s="15" t="n">
        <v>19.0916250420015</v>
      </c>
      <c r="I222" s="16" t="n">
        <v>7.83734231004712</v>
      </c>
      <c r="J222" s="15" t="n">
        <v>26.8564175789307</v>
      </c>
      <c r="K222" s="15" t="n">
        <v>2604.06555675247</v>
      </c>
      <c r="L222" s="15" t="n">
        <v>295.721447383486</v>
      </c>
      <c r="M222" s="15" t="n">
        <v>-52.123244233333</v>
      </c>
      <c r="N222" s="17" t="n">
        <v>11.464984736748</v>
      </c>
      <c r="O222" s="18" t="n">
        <v>0.440272508002678</v>
      </c>
    </row>
    <row r="223" ht="15" customHeight="1" s="12">
      <c r="A223" s="14" t="inlineStr">
        <is>
          <t>Chiniot</t>
        </is>
      </c>
      <c r="B223" s="14" t="inlineStr">
        <is>
          <t>Punjab</t>
        </is>
      </c>
      <c r="C223" s="14" t="n">
        <v>2016</v>
      </c>
      <c r="D223" s="15" t="n">
        <v>308.002538904527</v>
      </c>
      <c r="E223" s="15" t="n">
        <v>7613.09804986365</v>
      </c>
      <c r="F223" s="15" t="n">
        <v>424.418749332428</v>
      </c>
      <c r="G223" s="15" t="n">
        <v>242.206422746182</v>
      </c>
      <c r="H223" s="15" t="n">
        <v>44.1635789205944</v>
      </c>
      <c r="I223" s="16" t="n">
        <v>14.3387061280959</v>
      </c>
      <c r="J223" s="15" t="n">
        <v>25.5828970331588</v>
      </c>
      <c r="K223" s="15" t="n">
        <v>2604.06555675247</v>
      </c>
      <c r="L223" s="15" t="n">
        <v>295.721447383486</v>
      </c>
      <c r="M223" s="15" t="n">
        <v>12.2810915210402</v>
      </c>
      <c r="N223" s="17" t="n">
        <v>20.3652789753428</v>
      </c>
      <c r="O223" s="18" t="n">
        <v>0.78205707696316</v>
      </c>
    </row>
    <row r="224" ht="15" customHeight="1" s="12">
      <c r="A224" s="14" t="inlineStr">
        <is>
          <t>Chiniot</t>
        </is>
      </c>
      <c r="B224" s="14" t="inlineStr">
        <is>
          <t>Punjab</t>
        </is>
      </c>
      <c r="C224" s="14" t="n">
        <v>2017</v>
      </c>
      <c r="D224" s="15" t="n">
        <v>237.884751073013</v>
      </c>
      <c r="E224" s="15" t="n">
        <v>5879.95131769882</v>
      </c>
      <c r="F224" s="15" t="n">
        <v>332.184293746948</v>
      </c>
      <c r="G224" s="15" t="n">
        <v>210.677013516426</v>
      </c>
      <c r="H224" s="15" t="n">
        <v>29.8850948907548</v>
      </c>
      <c r="I224" s="16" t="n">
        <v>12.5628459814906</v>
      </c>
      <c r="J224" s="15" t="n">
        <v>24.3517372679676</v>
      </c>
      <c r="K224" s="15" t="n">
        <v>2604.06555675247</v>
      </c>
      <c r="L224" s="15" t="n">
        <v>295.721447383486</v>
      </c>
      <c r="M224" s="15" t="n">
        <v>-57.8366963104737</v>
      </c>
      <c r="N224" s="17" t="n">
        <v>9.27688938844755</v>
      </c>
      <c r="O224" s="18" t="n">
        <v>0.35624638421226</v>
      </c>
    </row>
    <row r="225" ht="15" customHeight="1" s="12">
      <c r="A225" s="14" t="inlineStr">
        <is>
          <t>Chiniot</t>
        </is>
      </c>
      <c r="B225" s="14" t="inlineStr">
        <is>
          <t>Punjab</t>
        </is>
      </c>
      <c r="C225" s="14" t="n">
        <v>2018</v>
      </c>
      <c r="D225" s="15" t="n">
        <v>226.948876328941</v>
      </c>
      <c r="E225" s="15" t="n">
        <v>5609.64222549536</v>
      </c>
      <c r="F225" s="15" t="n">
        <v>289.207516901195</v>
      </c>
      <c r="G225" s="15" t="n">
        <v>192.096543699503</v>
      </c>
      <c r="H225" s="15" t="n">
        <v>26.2205082433278</v>
      </c>
      <c r="I225" s="16" t="n">
        <v>11.5534867003808</v>
      </c>
      <c r="J225" s="15" t="n">
        <v>18.4251943518959</v>
      </c>
      <c r="K225" s="15" t="n">
        <v>2604.06555675247</v>
      </c>
      <c r="L225" s="15" t="n">
        <v>295.721447383486</v>
      </c>
      <c r="M225" s="15" t="n">
        <v>-68.7725710545451</v>
      </c>
      <c r="N225" s="17" t="n">
        <v>15.4243282662596</v>
      </c>
      <c r="O225" s="18" t="n">
        <v>0.592317202854726</v>
      </c>
    </row>
    <row r="226" ht="15" customHeight="1" s="12">
      <c r="A226" s="14" t="inlineStr">
        <is>
          <t>Chiniot</t>
        </is>
      </c>
      <c r="B226" s="14" t="inlineStr">
        <is>
          <t>Punjab</t>
        </is>
      </c>
      <c r="C226" s="14" t="n">
        <v>2019</v>
      </c>
      <c r="D226" s="15" t="n">
        <v>239.38862248389</v>
      </c>
      <c r="E226" s="15" t="n">
        <v>5917.12348045474</v>
      </c>
      <c r="F226" s="15" t="n">
        <v>335.62885594368</v>
      </c>
      <c r="G226" s="15" t="n">
        <v>196.687249183655</v>
      </c>
      <c r="H226" s="15" t="n">
        <v>32.6053386064997</v>
      </c>
      <c r="I226" s="16" t="n">
        <v>13.6202540739771</v>
      </c>
      <c r="J226" s="15" t="n">
        <v>20.9300333174679</v>
      </c>
      <c r="K226" s="15" t="n">
        <v>2604.06555675247</v>
      </c>
      <c r="L226" s="15" t="n">
        <v>295.721447383486</v>
      </c>
      <c r="M226" s="15" t="n">
        <v>-56.3328248995963</v>
      </c>
      <c r="N226" s="17" t="n">
        <v>19.7936876916275</v>
      </c>
      <c r="O226" s="18" t="n">
        <v>0.760107119434895</v>
      </c>
    </row>
    <row r="227" ht="15" customHeight="1" s="12">
      <c r="A227" s="14" t="inlineStr">
        <is>
          <t>Chiniot</t>
        </is>
      </c>
      <c r="B227" s="14" t="inlineStr">
        <is>
          <t>Punjab</t>
        </is>
      </c>
      <c r="C227" s="14" t="n">
        <v>2020</v>
      </c>
      <c r="D227" s="15" t="n">
        <v>358.085037552597</v>
      </c>
      <c r="E227" s="15" t="n">
        <v>8851.01957527066</v>
      </c>
      <c r="F227" s="15" t="n">
        <v>459.319890139685</v>
      </c>
      <c r="G227" s="15" t="n">
        <v>300.644792744301</v>
      </c>
      <c r="H227" s="15" t="n">
        <v>38.8985614391657</v>
      </c>
      <c r="I227" s="16" t="n">
        <v>10.8629396260245</v>
      </c>
      <c r="J227" s="15" t="n">
        <v>25.3334919879423</v>
      </c>
      <c r="K227" s="15" t="n">
        <v>2604.06555675247</v>
      </c>
      <c r="L227" s="15" t="n">
        <v>295.721447383486</v>
      </c>
      <c r="M227" s="15" t="n">
        <v>62.3635901691105</v>
      </c>
      <c r="N227" s="17" t="n">
        <v>21.6078623113594</v>
      </c>
      <c r="O227" s="18" t="n">
        <v>0.8297741297383689</v>
      </c>
    </row>
    <row r="228" ht="15" customHeight="1" s="12">
      <c r="A228" s="14" t="inlineStr">
        <is>
          <t>Chiniot</t>
        </is>
      </c>
      <c r="B228" s="14" t="inlineStr">
        <is>
          <t>Punjab</t>
        </is>
      </c>
      <c r="C228" s="14" t="n">
        <v>2021</v>
      </c>
      <c r="D228" s="15" t="n">
        <v>328.676916448413</v>
      </c>
      <c r="E228" s="15" t="n">
        <v>8124.12001715431</v>
      </c>
      <c r="F228" s="15" t="n">
        <v>433.259162902832</v>
      </c>
      <c r="G228" s="15" t="n">
        <v>226.490401029587</v>
      </c>
      <c r="H228" s="15" t="n">
        <v>59.3805752745047</v>
      </c>
      <c r="I228" s="16" t="n">
        <v>18.0665487300276</v>
      </c>
      <c r="J228" s="15" t="n">
        <v>18.8165952720927</v>
      </c>
      <c r="K228" s="15" t="n">
        <v>2604.06555675247</v>
      </c>
      <c r="L228" s="15" t="n">
        <v>295.721447383486</v>
      </c>
      <c r="M228" s="15" t="n">
        <v>32.9554690649271</v>
      </c>
      <c r="N228" s="17" t="n">
        <v>21.4885703586395</v>
      </c>
      <c r="O228" s="18" t="n">
        <v>0.8251931408915</v>
      </c>
    </row>
    <row r="229" ht="15" customHeight="1" s="12">
      <c r="A229" s="14" t="inlineStr">
        <is>
          <t>Chiniot</t>
        </is>
      </c>
      <c r="B229" s="14" t="inlineStr">
        <is>
          <t>Punjab</t>
        </is>
      </c>
      <c r="C229" s="14" t="n">
        <v>2022</v>
      </c>
      <c r="D229" s="15" t="n">
        <v>286.234121244521</v>
      </c>
      <c r="E229" s="15" t="n">
        <v>7075.03398511457</v>
      </c>
      <c r="F229" s="15" t="n">
        <v>326.557710808649</v>
      </c>
      <c r="G229" s="15" t="n">
        <v>259.953924436122</v>
      </c>
      <c r="H229" s="15" t="n">
        <v>15.2442328009875</v>
      </c>
      <c r="I229" s="16" t="n">
        <v>5.32579160538475</v>
      </c>
      <c r="J229" s="15" t="n">
        <v>24.2270347453594</v>
      </c>
      <c r="K229" s="15" t="n">
        <v>2604.06555675247</v>
      </c>
      <c r="L229" s="15" t="n">
        <v>295.721447383486</v>
      </c>
      <c r="M229" s="15" t="n">
        <v>-9.48732613896545</v>
      </c>
      <c r="N229" s="17" t="n">
        <v>23.9964232133383</v>
      </c>
      <c r="O229" s="18" t="n">
        <v>0.921498429681016</v>
      </c>
    </row>
    <row r="230" ht="15" customHeight="1" s="12">
      <c r="A230" s="14" t="inlineStr">
        <is>
          <t>Chiniot</t>
        </is>
      </c>
      <c r="B230" s="14" t="inlineStr">
        <is>
          <t>Punjab</t>
        </is>
      </c>
      <c r="C230" s="14" t="n">
        <v>2023</v>
      </c>
      <c r="D230" s="15" t="n">
        <v>292.591380309911</v>
      </c>
      <c r="E230" s="15" t="n">
        <v>7232.17047095439</v>
      </c>
      <c r="F230" s="15" t="n">
        <v>385.993715286255</v>
      </c>
      <c r="G230" s="15" t="n">
        <v>194.46607029438</v>
      </c>
      <c r="H230" s="15" t="n">
        <v>59.067089807057</v>
      </c>
      <c r="I230" s="16" t="n">
        <v>20.1875700317943</v>
      </c>
      <c r="J230" s="15" t="n">
        <v>16.9960336347771</v>
      </c>
      <c r="K230" s="15" t="n">
        <v>2604.06555675247</v>
      </c>
      <c r="L230" s="15" t="n">
        <v>295.721447383486</v>
      </c>
      <c r="M230" s="15" t="n">
        <v>-3.13006707357522</v>
      </c>
      <c r="N230" s="17" t="n">
        <v>18.1843711919469</v>
      </c>
      <c r="O230" s="18" t="n">
        <v>0.698306966381624</v>
      </c>
    </row>
    <row r="231" ht="15" customHeight="1" s="12">
      <c r="A231" s="14" t="inlineStr">
        <is>
          <t>Chiniot</t>
        </is>
      </c>
      <c r="B231" s="14" t="inlineStr">
        <is>
          <t>Punjab</t>
        </is>
      </c>
      <c r="C231" s="14" t="n">
        <v>2024</v>
      </c>
      <c r="D231" s="15" t="n">
        <v>329.270719296346</v>
      </c>
      <c r="E231" s="15" t="n">
        <v>8138.79742637203</v>
      </c>
      <c r="F231" s="15" t="n">
        <v>389.742479719222</v>
      </c>
      <c r="G231" s="15" t="n">
        <v>273.003954783082</v>
      </c>
      <c r="H231" s="15" t="n">
        <v>26.1990049777208</v>
      </c>
      <c r="I231" s="16" t="n">
        <v>7.95667620665095</v>
      </c>
      <c r="J231" s="15" t="n">
        <v>32.4297953355545</v>
      </c>
      <c r="K231" s="15" t="n">
        <v>2604.06555675247</v>
      </c>
      <c r="L231" s="15" t="n">
        <v>295.721447383486</v>
      </c>
      <c r="M231" s="15" t="n">
        <v>33.5492719128594</v>
      </c>
      <c r="N231" s="17" t="n">
        <v>14.7893238118762</v>
      </c>
      <c r="O231" s="18" t="n">
        <v>0.567932085024771</v>
      </c>
    </row>
    <row r="232" ht="15" customHeight="1" s="12">
      <c r="A232" s="14" t="inlineStr">
        <is>
          <t>Chiniot</t>
        </is>
      </c>
      <c r="B232" s="14" t="inlineStr">
        <is>
          <t>Punjab</t>
        </is>
      </c>
      <c r="C232" s="14" t="n">
        <v>2025</v>
      </c>
      <c r="D232" s="15" t="n">
        <v>402.254754426038</v>
      </c>
      <c r="E232" s="15" t="n">
        <v>9942.79104763654</v>
      </c>
      <c r="F232" s="15" t="n">
        <v>497.033525012526</v>
      </c>
      <c r="G232" s="15" t="n">
        <v>307.776313491101</v>
      </c>
      <c r="H232" s="15" t="n">
        <v>53.2734484136244</v>
      </c>
      <c r="I232" s="16" t="n">
        <v>13.2437088256765</v>
      </c>
      <c r="J232" s="15" t="n">
        <v>27.2659051245439</v>
      </c>
      <c r="K232" s="15" t="n">
        <v>2604.06555675247</v>
      </c>
      <c r="L232" s="15" t="n">
        <v>295.721447383486</v>
      </c>
      <c r="M232" s="15" t="n">
        <v>106.533307042552</v>
      </c>
      <c r="N232" s="17" t="n">
        <v>24.5354477276722</v>
      </c>
      <c r="O232" s="18" t="n">
        <v>0.942197774708494</v>
      </c>
    </row>
    <row r="233" ht="15" customHeight="1" s="12">
      <c r="A233" s="14" t="inlineStr">
        <is>
          <t>Chitral Lower</t>
        </is>
      </c>
      <c r="B233" s="14" t="inlineStr">
        <is>
          <t>Khyber Pakhtunkhwa</t>
        </is>
      </c>
      <c r="C233" s="14" t="n">
        <v>2015</v>
      </c>
      <c r="D233" s="15" t="n">
        <v>143.551790169188</v>
      </c>
      <c r="E233" s="15" t="n">
        <v>8704.867966220219</v>
      </c>
      <c r="F233" s="15" t="n">
        <v>664.3634765148161</v>
      </c>
      <c r="G233" s="15" t="n">
        <v>11.9948278814554</v>
      </c>
      <c r="H233" s="15" t="n">
        <v>155.322502975393</v>
      </c>
      <c r="I233" s="16" t="n">
        <v>108.199628017409</v>
      </c>
      <c r="J233" s="15" t="n">
        <v>13.6868654206816</v>
      </c>
      <c r="K233" s="15" t="n">
        <v>6076.51749011764</v>
      </c>
      <c r="L233" s="15" t="n">
        <v>108.946343118619</v>
      </c>
      <c r="M233" s="15" t="n">
        <v>34.6054470505689</v>
      </c>
      <c r="N233" s="17" t="n">
        <v>2.7301692163737</v>
      </c>
      <c r="O233" s="18" t="n">
        <v>0.0449298339190799</v>
      </c>
    </row>
    <row r="234" ht="15" customHeight="1" s="12">
      <c r="A234" s="14" t="inlineStr">
        <is>
          <t>Chitral Lower</t>
        </is>
      </c>
      <c r="B234" s="14" t="inlineStr">
        <is>
          <t>Khyber Pakhtunkhwa</t>
        </is>
      </c>
      <c r="C234" s="14" t="n">
        <v>2016</v>
      </c>
      <c r="D234" s="15" t="n">
        <v>98.96575358801429</v>
      </c>
      <c r="E234" s="15" t="n">
        <v>6001.20567737829</v>
      </c>
      <c r="F234" s="15" t="n">
        <v>472.036308765411</v>
      </c>
      <c r="G234" s="15" t="n">
        <v>11.3090410232544</v>
      </c>
      <c r="H234" s="15" t="n">
        <v>108.130673823729</v>
      </c>
      <c r="I234" s="16" t="n">
        <v>109.260698679533</v>
      </c>
      <c r="J234" s="15" t="n">
        <v>16.0324645928992</v>
      </c>
      <c r="K234" s="15" t="n">
        <v>6076.51749011764</v>
      </c>
      <c r="L234" s="15" t="n">
        <v>108.946343118619</v>
      </c>
      <c r="M234" s="15" t="n">
        <v>-9.98058953060492</v>
      </c>
      <c r="N234" s="17" t="n">
        <v>1.46411974425791</v>
      </c>
      <c r="O234" s="18" t="n">
        <v>0.0240947178484886</v>
      </c>
    </row>
    <row r="235" ht="15" customHeight="1" s="12">
      <c r="A235" s="14" t="inlineStr">
        <is>
          <t>Chitral Lower</t>
        </is>
      </c>
      <c r="B235" s="14" t="inlineStr">
        <is>
          <t>Khyber Pakhtunkhwa</t>
        </is>
      </c>
      <c r="C235" s="14" t="n">
        <v>2017</v>
      </c>
      <c r="D235" s="15" t="n">
        <v>101.654194709719</v>
      </c>
      <c r="E235" s="15" t="n">
        <v>6164.23063841716</v>
      </c>
      <c r="F235" s="15" t="n">
        <v>483.576372981072</v>
      </c>
      <c r="G235" s="15" t="n">
        <v>9.68028433946893</v>
      </c>
      <c r="H235" s="15" t="n">
        <v>115.582074971756</v>
      </c>
      <c r="I235" s="16" t="n">
        <v>113.701235154939</v>
      </c>
      <c r="J235" s="15" t="n">
        <v>14.8498997607191</v>
      </c>
      <c r="K235" s="15" t="n">
        <v>6076.51749011764</v>
      </c>
      <c r="L235" s="15" t="n">
        <v>108.946343118619</v>
      </c>
      <c r="M235" s="15" t="n">
        <v>-7.29214840890072</v>
      </c>
      <c r="N235" s="17" t="n">
        <v>0.910947184096872</v>
      </c>
      <c r="O235" s="18" t="n">
        <v>0.0149912706674236</v>
      </c>
    </row>
    <row r="236" ht="15" customHeight="1" s="12">
      <c r="A236" s="14" t="inlineStr">
        <is>
          <t>Chitral Lower</t>
        </is>
      </c>
      <c r="B236" s="14" t="inlineStr">
        <is>
          <t>Khyber Pakhtunkhwa</t>
        </is>
      </c>
      <c r="C236" s="14" t="n">
        <v>2018</v>
      </c>
      <c r="D236" s="15" t="n">
        <v>102.763658511717</v>
      </c>
      <c r="E236" s="15" t="n">
        <v>6231.50765320268</v>
      </c>
      <c r="F236" s="15" t="n">
        <v>492.940742254257</v>
      </c>
      <c r="G236" s="15" t="n">
        <v>12.5777107290924</v>
      </c>
      <c r="H236" s="15" t="n">
        <v>116.330958958678</v>
      </c>
      <c r="I236" s="16" t="n">
        <v>113.202430356655</v>
      </c>
      <c r="J236" s="15" t="n">
        <v>15.2403802625622</v>
      </c>
      <c r="K236" s="15" t="n">
        <v>6076.51749011764</v>
      </c>
      <c r="L236" s="15" t="n">
        <v>108.946343118619</v>
      </c>
      <c r="M236" s="15" t="n">
        <v>-6.182684606902</v>
      </c>
      <c r="N236" s="17" t="n">
        <v>1.26988233322778</v>
      </c>
      <c r="O236" s="18" t="n">
        <v>0.020898192678504</v>
      </c>
    </row>
    <row r="237" ht="15" customHeight="1" s="12">
      <c r="A237" s="14" t="inlineStr">
        <is>
          <t>Chitral Lower</t>
        </is>
      </c>
      <c r="B237" s="14" t="inlineStr">
        <is>
          <t>Khyber Pakhtunkhwa</t>
        </is>
      </c>
      <c r="C237" s="14" t="n">
        <v>2019</v>
      </c>
      <c r="D237" s="15" t="n">
        <v>103.491224220241</v>
      </c>
      <c r="E237" s="15" t="n">
        <v>6275.62666712781</v>
      </c>
      <c r="F237" s="15" t="n">
        <v>480.560885608196</v>
      </c>
      <c r="G237" s="15" t="n">
        <v>13.7370459847152</v>
      </c>
      <c r="H237" s="15" t="n">
        <v>108.42662938364</v>
      </c>
      <c r="I237" s="16" t="n">
        <v>104.768911760958</v>
      </c>
      <c r="J237" s="15" t="n">
        <v>13.7921490008407</v>
      </c>
      <c r="K237" s="15" t="n">
        <v>6076.51749011764</v>
      </c>
      <c r="L237" s="15" t="n">
        <v>108.946343118619</v>
      </c>
      <c r="M237" s="15" t="n">
        <v>-5.45511889837793</v>
      </c>
      <c r="N237" s="17" t="n">
        <v>1.20563482705653</v>
      </c>
      <c r="O237" s="18" t="n">
        <v>0.0198408846681882</v>
      </c>
    </row>
    <row r="238" ht="15" customHeight="1" s="12">
      <c r="A238" s="14" t="inlineStr">
        <is>
          <t>Chitral Lower</t>
        </is>
      </c>
      <c r="B238" s="14" t="inlineStr">
        <is>
          <t>Khyber Pakhtunkhwa</t>
        </is>
      </c>
      <c r="C238" s="14" t="n">
        <v>2020</v>
      </c>
      <c r="D238" s="15" t="n">
        <v>146.939023481897</v>
      </c>
      <c r="E238" s="15" t="n">
        <v>8910.26713764932</v>
      </c>
      <c r="F238" s="15" t="n">
        <v>694.571610072628</v>
      </c>
      <c r="G238" s="15" t="n">
        <v>16.2079109651128</v>
      </c>
      <c r="H238" s="15" t="n">
        <v>167.566854226935</v>
      </c>
      <c r="I238" s="16" t="n">
        <v>114.038361121665</v>
      </c>
      <c r="J238" s="15" t="n">
        <v>21.2659251115566</v>
      </c>
      <c r="K238" s="15" t="n">
        <v>6076.51749011764</v>
      </c>
      <c r="L238" s="15" t="n">
        <v>108.946343118619</v>
      </c>
      <c r="M238" s="15" t="n">
        <v>37.992680363278</v>
      </c>
      <c r="N238" s="17" t="n">
        <v>1.53873396104569</v>
      </c>
      <c r="O238" s="18" t="n">
        <v>0.025322628685726</v>
      </c>
    </row>
    <row r="239" ht="15" customHeight="1" s="12">
      <c r="A239" s="14" t="inlineStr">
        <is>
          <t>Chitral Lower</t>
        </is>
      </c>
      <c r="B239" s="14" t="inlineStr">
        <is>
          <t>Khyber Pakhtunkhwa</t>
        </is>
      </c>
      <c r="C239" s="14" t="n">
        <v>2021</v>
      </c>
      <c r="D239" s="15" t="n">
        <v>90.098725411941</v>
      </c>
      <c r="E239" s="15" t="n">
        <v>5463.51604331311</v>
      </c>
      <c r="F239" s="15" t="n">
        <v>444.366280436516</v>
      </c>
      <c r="G239" s="15" t="n">
        <v>8.308202266693121</v>
      </c>
      <c r="H239" s="15" t="n">
        <v>103.361628594233</v>
      </c>
      <c r="I239" s="16" t="n">
        <v>114.720411550389</v>
      </c>
      <c r="J239" s="15" t="n">
        <v>15.5969087499192</v>
      </c>
      <c r="K239" s="15" t="n">
        <v>6076.51749011764</v>
      </c>
      <c r="L239" s="15" t="n">
        <v>108.946343118619</v>
      </c>
      <c r="M239" s="15" t="n">
        <v>-18.8476177066782</v>
      </c>
      <c r="N239" s="17" t="n">
        <v>1.09831819288713</v>
      </c>
      <c r="O239" s="18" t="n">
        <v>0.0180747968663523</v>
      </c>
    </row>
    <row r="240" ht="15" customHeight="1" s="12">
      <c r="A240" s="14" t="inlineStr">
        <is>
          <t>Chitral Lower</t>
        </is>
      </c>
      <c r="B240" s="14" t="inlineStr">
        <is>
          <t>Khyber Pakhtunkhwa</t>
        </is>
      </c>
      <c r="C240" s="14" t="n">
        <v>2022</v>
      </c>
      <c r="D240" s="15" t="n">
        <v>141.917423795483</v>
      </c>
      <c r="E240" s="15" t="n">
        <v>8605.761271174701</v>
      </c>
      <c r="F240" s="15" t="n">
        <v>617.397552013397</v>
      </c>
      <c r="G240" s="15" t="n">
        <v>12.7538894452155</v>
      </c>
      <c r="H240" s="15" t="n">
        <v>150.381392332372</v>
      </c>
      <c r="I240" s="16" t="n">
        <v>105.964009429234</v>
      </c>
      <c r="J240" s="15" t="n">
        <v>16.1975683890578</v>
      </c>
      <c r="K240" s="15" t="n">
        <v>6076.51749011764</v>
      </c>
      <c r="L240" s="15" t="n">
        <v>108.946343118619</v>
      </c>
      <c r="M240" s="15" t="n">
        <v>32.9710806768634</v>
      </c>
      <c r="N240" s="17" t="n">
        <v>1.19649010051317</v>
      </c>
      <c r="O240" s="18" t="n">
        <v>0.0196903917821194</v>
      </c>
    </row>
    <row r="241" ht="15" customHeight="1" s="12">
      <c r="A241" s="14" t="inlineStr">
        <is>
          <t>Chitral Lower</t>
        </is>
      </c>
      <c r="B241" s="14" t="inlineStr">
        <is>
          <t>Khyber Pakhtunkhwa</t>
        </is>
      </c>
      <c r="C241" s="14" t="n">
        <v>2023</v>
      </c>
      <c r="D241" s="15" t="n">
        <v>81.16174294377051</v>
      </c>
      <c r="E241" s="15" t="n">
        <v>4921.58443584127</v>
      </c>
      <c r="F241" s="15" t="n">
        <v>407.777355909348</v>
      </c>
      <c r="G241" s="15" t="n">
        <v>7.21572232246399</v>
      </c>
      <c r="H241" s="15" t="n">
        <v>93.69277335676681</v>
      </c>
      <c r="I241" s="16" t="n">
        <v>115.43957775978</v>
      </c>
      <c r="J241" s="15" t="n">
        <v>13.4354265019725</v>
      </c>
      <c r="K241" s="15" t="n">
        <v>6076.51749011764</v>
      </c>
      <c r="L241" s="15" t="n">
        <v>108.946343118619</v>
      </c>
      <c r="M241" s="15" t="n">
        <v>-27.7846001748487</v>
      </c>
      <c r="N241" s="17" t="n">
        <v>1.12883105369658</v>
      </c>
      <c r="O241" s="18" t="n">
        <v>0.0185769407482561</v>
      </c>
    </row>
    <row r="242" ht="15" customHeight="1" s="12">
      <c r="A242" s="14" t="inlineStr">
        <is>
          <t>Chitral Lower</t>
        </is>
      </c>
      <c r="B242" s="14" t="inlineStr">
        <is>
          <t>Khyber Pakhtunkhwa</t>
        </is>
      </c>
      <c r="C242" s="14" t="n">
        <v>2024</v>
      </c>
      <c r="D242" s="15" t="n">
        <v>103.967687335683</v>
      </c>
      <c r="E242" s="15" t="n">
        <v>6304.51901675164</v>
      </c>
      <c r="F242" s="15" t="n">
        <v>507.287484716158</v>
      </c>
      <c r="G242" s="15" t="n">
        <v>10.1613438470075</v>
      </c>
      <c r="H242" s="15" t="n">
        <v>115.775665296282</v>
      </c>
      <c r="I242" s="16" t="n">
        <v>111.357353677084</v>
      </c>
      <c r="J242" s="15" t="n">
        <v>14.6088727931191</v>
      </c>
      <c r="K242" s="15" t="n">
        <v>6076.51749011764</v>
      </c>
      <c r="L242" s="15" t="n">
        <v>108.946343118619</v>
      </c>
      <c r="M242" s="15" t="n">
        <v>-4.97865578293607</v>
      </c>
      <c r="N242" s="17" t="n">
        <v>1.50785737605004</v>
      </c>
      <c r="O242" s="18" t="n">
        <v>0.0248144990696118</v>
      </c>
    </row>
    <row r="243" ht="15" customHeight="1" s="12">
      <c r="A243" s="14" t="inlineStr">
        <is>
          <t>Chitral Lower</t>
        </is>
      </c>
      <c r="B243" s="14" t="inlineStr">
        <is>
          <t>Khyber Pakhtunkhwa</t>
        </is>
      </c>
      <c r="C243" s="14" t="n">
        <v>2025</v>
      </c>
      <c r="D243" s="15" t="n">
        <v>83.8985501371574</v>
      </c>
      <c r="E243" s="15" t="n">
        <v>5087.5422775328</v>
      </c>
      <c r="F243" s="15" t="n">
        <v>386.220976084471</v>
      </c>
      <c r="G243" s="15" t="n">
        <v>6.51595465838909</v>
      </c>
      <c r="H243" s="15" t="n">
        <v>94.3556824461492</v>
      </c>
      <c r="I243" s="16" t="n">
        <v>112.464020286282</v>
      </c>
      <c r="J243" s="15" t="n">
        <v>15.3611847636293</v>
      </c>
      <c r="K243" s="15" t="n">
        <v>6076.51749011764</v>
      </c>
      <c r="L243" s="15" t="n">
        <v>108.946343118619</v>
      </c>
      <c r="M243" s="15" t="n">
        <v>-25.0477929814618</v>
      </c>
      <c r="N243" s="17" t="n">
        <v>0.982306620306038</v>
      </c>
      <c r="O243" s="18" t="n">
        <v>0.0161656182493275</v>
      </c>
    </row>
    <row r="244" ht="15" customHeight="1" s="12">
      <c r="A244" s="14" t="inlineStr">
        <is>
          <t>Chitral Upper</t>
        </is>
      </c>
      <c r="B244" s="14" t="inlineStr">
        <is>
          <t>Khyber Pakhtunkhwa</t>
        </is>
      </c>
      <c r="C244" s="14" t="n">
        <v>2015</v>
      </c>
      <c r="D244" s="15" t="n">
        <v>178.704137596686</v>
      </c>
      <c r="E244" s="15" t="n">
        <v>15471.5735126355</v>
      </c>
      <c r="F244" s="15" t="n">
        <v>829.785907745361</v>
      </c>
      <c r="G244" s="15" t="n">
        <v>6.03100753517133</v>
      </c>
      <c r="H244" s="15" t="n">
        <v>164.476259683509</v>
      </c>
      <c r="I244" s="16" t="n">
        <v>92.03830526560709</v>
      </c>
      <c r="J244" s="15" t="n">
        <v>14.0355120713865</v>
      </c>
      <c r="K244" s="15" t="n">
        <v>8613.23262038113</v>
      </c>
      <c r="L244" s="15" t="n">
        <v>146.038004605281</v>
      </c>
      <c r="M244" s="15" t="n">
        <v>32.6661329914054</v>
      </c>
      <c r="N244" s="17" t="n">
        <v>5.05027521363694</v>
      </c>
      <c r="O244" s="18" t="n">
        <v>0.0586339117520951</v>
      </c>
    </row>
    <row r="245" ht="15" customHeight="1" s="12">
      <c r="A245" s="14" t="inlineStr">
        <is>
          <t>Chitral Upper</t>
        </is>
      </c>
      <c r="B245" s="14" t="inlineStr">
        <is>
          <t>Khyber Pakhtunkhwa</t>
        </is>
      </c>
      <c r="C245" s="14" t="n">
        <v>2016</v>
      </c>
      <c r="D245" s="15" t="n">
        <v>134.99618926463</v>
      </c>
      <c r="E245" s="15" t="n">
        <v>11687.4936093931</v>
      </c>
      <c r="F245" s="15" t="n">
        <v>627.587464690208</v>
      </c>
      <c r="G245" s="15" t="n">
        <v>6.34522604942322</v>
      </c>
      <c r="H245" s="15" t="n">
        <v>129.047145354431</v>
      </c>
      <c r="I245" s="16" t="n">
        <v>95.5931764129007</v>
      </c>
      <c r="J245" s="15" t="n">
        <v>21.2007972097658</v>
      </c>
      <c r="K245" s="15" t="n">
        <v>8613.23262038113</v>
      </c>
      <c r="L245" s="15" t="n">
        <v>146.038004605281</v>
      </c>
      <c r="M245" s="15" t="n">
        <v>-11.0418153406507</v>
      </c>
      <c r="N245" s="17" t="n">
        <v>3.14755573479817</v>
      </c>
      <c r="O245" s="18" t="n">
        <v>0.0365432570269871</v>
      </c>
    </row>
    <row r="246" ht="15" customHeight="1" s="12">
      <c r="A246" s="14" t="inlineStr">
        <is>
          <t>Chitral Upper</t>
        </is>
      </c>
      <c r="B246" s="14" t="inlineStr">
        <is>
          <t>Khyber Pakhtunkhwa</t>
        </is>
      </c>
      <c r="C246" s="14" t="n">
        <v>2017</v>
      </c>
      <c r="D246" s="15" t="n">
        <v>132.805421118255</v>
      </c>
      <c r="E246" s="15" t="n">
        <v>11497.8246354028</v>
      </c>
      <c r="F246" s="15" t="n">
        <v>630.2369672060011</v>
      </c>
      <c r="G246" s="15" t="n">
        <v>5.60168468952179</v>
      </c>
      <c r="H246" s="15" t="n">
        <v>127.222320188745</v>
      </c>
      <c r="I246" s="16" t="n">
        <v>95.79602934692031</v>
      </c>
      <c r="J246" s="15" t="n">
        <v>18.0731077592064</v>
      </c>
      <c r="K246" s="15" t="n">
        <v>8613.23262038113</v>
      </c>
      <c r="L246" s="15" t="n">
        <v>146.038004605281</v>
      </c>
      <c r="M246" s="15" t="n">
        <v>-13.2325834870258</v>
      </c>
      <c r="N246" s="17" t="n">
        <v>1.55966263159276</v>
      </c>
      <c r="O246" s="18" t="n">
        <v>0.0181077500206159</v>
      </c>
    </row>
    <row r="247" ht="15" customHeight="1" s="12">
      <c r="A247" s="14" t="inlineStr">
        <is>
          <t>Chitral Upper</t>
        </is>
      </c>
      <c r="B247" s="14" t="inlineStr">
        <is>
          <t>Khyber Pakhtunkhwa</t>
        </is>
      </c>
      <c r="C247" s="14" t="n">
        <v>2018</v>
      </c>
      <c r="D247" s="15" t="n">
        <v>128.115922688931</v>
      </c>
      <c r="E247" s="15" t="n">
        <v>11091.8244125628</v>
      </c>
      <c r="F247" s="15" t="n">
        <v>634.9222984313971</v>
      </c>
      <c r="G247" s="15" t="n">
        <v>2.76235139369965</v>
      </c>
      <c r="H247" s="15" t="n">
        <v>125.851972154471</v>
      </c>
      <c r="I247" s="16" t="n">
        <v>98.2328890219552</v>
      </c>
      <c r="J247" s="15" t="n">
        <v>19.030303030303</v>
      </c>
      <c r="K247" s="15" t="n">
        <v>8613.23262038113</v>
      </c>
      <c r="L247" s="15" t="n">
        <v>146.038004605281</v>
      </c>
      <c r="M247" s="15" t="n">
        <v>-17.9220819163504</v>
      </c>
      <c r="N247" s="17" t="n">
        <v>2.77310470295338</v>
      </c>
      <c r="O247" s="18" t="n">
        <v>0.0321958644933321</v>
      </c>
    </row>
    <row r="248" ht="15" customHeight="1" s="12">
      <c r="A248" s="14" t="inlineStr">
        <is>
          <t>Chitral Upper</t>
        </is>
      </c>
      <c r="B248" s="14" t="inlineStr">
        <is>
          <t>Khyber Pakhtunkhwa</t>
        </is>
      </c>
      <c r="C248" s="14" t="n">
        <v>2019</v>
      </c>
      <c r="D248" s="15" t="n">
        <v>146.704269499278</v>
      </c>
      <c r="E248" s="15" t="n">
        <v>12701.1378734728</v>
      </c>
      <c r="F248" s="15" t="n">
        <v>637.133448779583</v>
      </c>
      <c r="G248" s="15" t="n">
        <v>16.756121661514</v>
      </c>
      <c r="H248" s="15" t="n">
        <v>124.853111814472</v>
      </c>
      <c r="I248" s="16" t="n">
        <v>85.1053021432931</v>
      </c>
      <c r="J248" s="15" t="n">
        <v>21.3331521492957</v>
      </c>
      <c r="K248" s="15" t="n">
        <v>8613.23262038113</v>
      </c>
      <c r="L248" s="15" t="n">
        <v>146.038004605281</v>
      </c>
      <c r="M248" s="15" t="n">
        <v>0.666264893997379</v>
      </c>
      <c r="N248" s="17" t="n">
        <v>2.32888133619313</v>
      </c>
      <c r="O248" s="18" t="n">
        <v>0.0270384121599409</v>
      </c>
    </row>
    <row r="249" ht="15" customHeight="1" s="12">
      <c r="A249" s="14" t="inlineStr">
        <is>
          <t>Chitral Upper</t>
        </is>
      </c>
      <c r="B249" s="14" t="inlineStr">
        <is>
          <t>Khyber Pakhtunkhwa</t>
        </is>
      </c>
      <c r="C249" s="14" t="n">
        <v>2020</v>
      </c>
      <c r="D249" s="15" t="n">
        <v>197.980474513246</v>
      </c>
      <c r="E249" s="15" t="n">
        <v>17140.4507287409</v>
      </c>
      <c r="F249" s="15" t="n">
        <v>913.890473016522</v>
      </c>
      <c r="G249" s="15" t="n">
        <v>6.60093710498768</v>
      </c>
      <c r="H249" s="15" t="n">
        <v>182.259363229706</v>
      </c>
      <c r="I249" s="16" t="n">
        <v>92.0592617417489</v>
      </c>
      <c r="J249" s="15" t="n">
        <v>25.3418036870952</v>
      </c>
      <c r="K249" s="15" t="n">
        <v>8613.23262038113</v>
      </c>
      <c r="L249" s="15" t="n">
        <v>146.038004605281</v>
      </c>
      <c r="M249" s="15" t="n">
        <v>51.9424699079654</v>
      </c>
      <c r="N249" s="17" t="n">
        <v>3.79158342305932</v>
      </c>
      <c r="O249" s="18" t="n">
        <v>0.0440204460992666</v>
      </c>
    </row>
    <row r="250" ht="15" customHeight="1" s="12">
      <c r="A250" s="14" t="inlineStr">
        <is>
          <t>Chitral Upper</t>
        </is>
      </c>
      <c r="B250" s="14" t="inlineStr">
        <is>
          <t>Khyber Pakhtunkhwa</t>
        </is>
      </c>
      <c r="C250" s="14" t="n">
        <v>2021</v>
      </c>
      <c r="D250" s="15" t="n">
        <v>124.090721919985</v>
      </c>
      <c r="E250" s="15" t="n">
        <v>10743.3367365785</v>
      </c>
      <c r="F250" s="15" t="n">
        <v>585.724381148815</v>
      </c>
      <c r="G250" s="15" t="n">
        <v>0</v>
      </c>
      <c r="H250" s="15" t="n">
        <v>121.525719239088</v>
      </c>
      <c r="I250" s="16" t="n">
        <v>97.9329617547469</v>
      </c>
      <c r="J250" s="15" t="n">
        <v>19.1254699460978</v>
      </c>
      <c r="K250" s="15" t="n">
        <v>8613.23262038113</v>
      </c>
      <c r="L250" s="15" t="n">
        <v>146.038004605281</v>
      </c>
      <c r="M250" s="15" t="n">
        <v>-21.9472826852962</v>
      </c>
      <c r="N250" s="17" t="n">
        <v>2.21528293638868</v>
      </c>
      <c r="O250" s="18" t="n">
        <v>0.0257195298678774</v>
      </c>
    </row>
    <row r="251" ht="15" customHeight="1" s="12">
      <c r="A251" s="14" t="inlineStr">
        <is>
          <t>Chitral Upper</t>
        </is>
      </c>
      <c r="B251" s="14" t="inlineStr">
        <is>
          <t>Khyber Pakhtunkhwa</t>
        </is>
      </c>
      <c r="C251" s="14" t="n">
        <v>2022</v>
      </c>
      <c r="D251" s="15" t="n">
        <v>174.735985112164</v>
      </c>
      <c r="E251" s="15" t="n">
        <v>15128.0248757696</v>
      </c>
      <c r="F251" s="15" t="n">
        <v>808.686417937279</v>
      </c>
      <c r="G251" s="15" t="n">
        <v>5.92686027288437</v>
      </c>
      <c r="H251" s="15" t="n">
        <v>163.086557004544</v>
      </c>
      <c r="I251" s="16" t="n">
        <v>93.3331259155682</v>
      </c>
      <c r="J251" s="15" t="n">
        <v>23.2939258051366</v>
      </c>
      <c r="K251" s="15" t="n">
        <v>8613.23262038113</v>
      </c>
      <c r="L251" s="15" t="n">
        <v>146.038004605281</v>
      </c>
      <c r="M251" s="15" t="n">
        <v>28.6979805068826</v>
      </c>
      <c r="N251" s="17" t="n">
        <v>2.88573640931325</v>
      </c>
      <c r="O251" s="18" t="n">
        <v>0.0335035234330587</v>
      </c>
    </row>
    <row r="252" ht="15" customHeight="1" s="12">
      <c r="A252" s="14" t="inlineStr">
        <is>
          <t>Chitral Upper</t>
        </is>
      </c>
      <c r="B252" s="14" t="inlineStr">
        <is>
          <t>Khyber Pakhtunkhwa</t>
        </is>
      </c>
      <c r="C252" s="14" t="n">
        <v>2023</v>
      </c>
      <c r="D252" s="15" t="n">
        <v>128.061021709132</v>
      </c>
      <c r="E252" s="15" t="n">
        <v>11087.0712795</v>
      </c>
      <c r="F252" s="15" t="n">
        <v>529.461572289467</v>
      </c>
      <c r="G252" s="15" t="n">
        <v>0</v>
      </c>
      <c r="H252" s="15" t="n">
        <v>117.888662187088</v>
      </c>
      <c r="I252" s="16" t="n">
        <v>92.05663098241639</v>
      </c>
      <c r="J252" s="15" t="n">
        <v>19.4014585315034</v>
      </c>
      <c r="K252" s="15" t="n">
        <v>8613.23262038113</v>
      </c>
      <c r="L252" s="15" t="n">
        <v>146.038004605281</v>
      </c>
      <c r="M252" s="15" t="n">
        <v>-17.9769828961491</v>
      </c>
      <c r="N252" s="17" t="n">
        <v>2.6046105599887</v>
      </c>
      <c r="O252" s="18" t="n">
        <v>0.0302396402696186</v>
      </c>
    </row>
    <row r="253" ht="15" customHeight="1" s="12">
      <c r="A253" s="14" t="inlineStr">
        <is>
          <t>Chitral Upper</t>
        </is>
      </c>
      <c r="B253" s="14" t="inlineStr">
        <is>
          <t>Khyber Pakhtunkhwa</t>
        </is>
      </c>
      <c r="C253" s="14" t="n">
        <v>2024</v>
      </c>
      <c r="D253" s="15" t="n">
        <v>141.475348793513</v>
      </c>
      <c r="E253" s="15" t="n">
        <v>12248.4363737819</v>
      </c>
      <c r="F253" s="15" t="n">
        <v>660.0706049816559</v>
      </c>
      <c r="G253" s="15" t="n">
        <v>4.55353178632</v>
      </c>
      <c r="H253" s="15" t="n">
        <v>135.207863217123</v>
      </c>
      <c r="I253" s="16" t="n">
        <v>95.5699097900533</v>
      </c>
      <c r="J253" s="15" t="n">
        <v>19.1478914707614</v>
      </c>
      <c r="K253" s="15" t="n">
        <v>8613.23262038113</v>
      </c>
      <c r="L253" s="15" t="n">
        <v>146.038004605281</v>
      </c>
      <c r="M253" s="15" t="n">
        <v>-4.56265581176845</v>
      </c>
      <c r="N253" s="17" t="n">
        <v>3.37436339497166</v>
      </c>
      <c r="O253" s="18" t="n">
        <v>0.0391765036855854</v>
      </c>
    </row>
    <row r="254" ht="15" customHeight="1" s="12">
      <c r="A254" s="14" t="inlineStr">
        <is>
          <t>Chitral Upper</t>
        </is>
      </c>
      <c r="B254" s="14" t="inlineStr">
        <is>
          <t>Khyber Pakhtunkhwa</t>
        </is>
      </c>
      <c r="C254" s="14" t="n">
        <v>2025</v>
      </c>
      <c r="D254" s="15" t="n">
        <v>118.748558442271</v>
      </c>
      <c r="E254" s="15" t="n">
        <v>10280.8310773726</v>
      </c>
      <c r="F254" s="15" t="n">
        <v>505.883548647165</v>
      </c>
      <c r="G254" s="15" t="n">
        <v>4.3130112439394</v>
      </c>
      <c r="H254" s="15" t="n">
        <v>102.448232244913</v>
      </c>
      <c r="I254" s="16" t="n">
        <v>86.27324288295929</v>
      </c>
      <c r="J254" s="15" t="n">
        <v>19.638764324863</v>
      </c>
      <c r="K254" s="15" t="n">
        <v>8613.23262038113</v>
      </c>
      <c r="L254" s="15" t="n">
        <v>146.038004605281</v>
      </c>
      <c r="M254" s="15" t="n">
        <v>-27.28944616301</v>
      </c>
      <c r="N254" s="17" t="n">
        <v>2.42228556485237</v>
      </c>
      <c r="O254" s="18" t="n">
        <v>0.0281228392592186</v>
      </c>
    </row>
    <row r="255" ht="15" customHeight="1" s="12">
      <c r="A255" s="14" t="inlineStr">
        <is>
          <t>D. I. Khan</t>
        </is>
      </c>
      <c r="B255" s="14" t="inlineStr">
        <is>
          <t>Khyber Pakhtunkhwa</t>
        </is>
      </c>
      <c r="C255" s="14" t="n">
        <v>2015</v>
      </c>
      <c r="D255" s="15" t="n">
        <v>252.410533476973</v>
      </c>
      <c r="E255" s="15" t="n">
        <v>21690.4785101212</v>
      </c>
      <c r="F255" s="15" t="n">
        <v>516.971354484558</v>
      </c>
      <c r="G255" s="15" t="n">
        <v>136.326202988625</v>
      </c>
      <c r="H255" s="15" t="n">
        <v>92.2193114288644</v>
      </c>
      <c r="I255" s="16" t="n">
        <v>36.53544491925</v>
      </c>
      <c r="J255" s="15" t="n">
        <v>21.4350385615844</v>
      </c>
      <c r="K255" s="15" t="n">
        <v>9035.36909685753</v>
      </c>
      <c r="L255" s="15" t="n">
        <v>223.510766122442</v>
      </c>
      <c r="M255" s="15" t="n">
        <v>28.8997673545308</v>
      </c>
      <c r="N255" s="17" t="n">
        <v>100.772200962759</v>
      </c>
      <c r="O255" s="18" t="n">
        <v>1.11530807300177</v>
      </c>
    </row>
    <row r="256" ht="15" customHeight="1" s="12">
      <c r="A256" s="14" t="inlineStr">
        <is>
          <t>D. I. Khan</t>
        </is>
      </c>
      <c r="B256" s="14" t="inlineStr">
        <is>
          <t>Khyber Pakhtunkhwa</t>
        </is>
      </c>
      <c r="C256" s="14" t="n">
        <v>2016</v>
      </c>
      <c r="D256" s="15" t="n">
        <v>234.894947952651</v>
      </c>
      <c r="E256" s="15" t="n">
        <v>20185.3058607311</v>
      </c>
      <c r="F256" s="15" t="n">
        <v>459.660323143005</v>
      </c>
      <c r="G256" s="15" t="n">
        <v>134.694832324982</v>
      </c>
      <c r="H256" s="15" t="n">
        <v>81.2755084223117</v>
      </c>
      <c r="I256" s="16" t="n">
        <v>34.6007903238068</v>
      </c>
      <c r="J256" s="15" t="n">
        <v>21.5386300369644</v>
      </c>
      <c r="K256" s="15" t="n">
        <v>9035.36909685753</v>
      </c>
      <c r="L256" s="15" t="n">
        <v>223.510766122442</v>
      </c>
      <c r="M256" s="15" t="n">
        <v>11.3841818302092</v>
      </c>
      <c r="N256" s="17" t="n">
        <v>47.826905854204</v>
      </c>
      <c r="O256" s="18" t="n">
        <v>0.529329851846761</v>
      </c>
    </row>
    <row r="257" ht="15" customHeight="1" s="12">
      <c r="A257" s="14" t="inlineStr">
        <is>
          <t>D. I. Khan</t>
        </is>
      </c>
      <c r="B257" s="14" t="inlineStr">
        <is>
          <t>Khyber Pakhtunkhwa</t>
        </is>
      </c>
      <c r="C257" s="14" t="n">
        <v>2017</v>
      </c>
      <c r="D257" s="15" t="n">
        <v>183.936609825076</v>
      </c>
      <c r="E257" s="15" t="n">
        <v>15806.2860043015</v>
      </c>
      <c r="F257" s="15" t="n">
        <v>289.766667604446</v>
      </c>
      <c r="G257" s="15" t="n">
        <v>130.751951336861</v>
      </c>
      <c r="H257" s="15" t="n">
        <v>39.1956694309728</v>
      </c>
      <c r="I257" s="16" t="n">
        <v>21.3093355739502</v>
      </c>
      <c r="J257" s="15" t="n">
        <v>20.566330488751</v>
      </c>
      <c r="K257" s="15" t="n">
        <v>9035.36909685753</v>
      </c>
      <c r="L257" s="15" t="n">
        <v>223.510766122442</v>
      </c>
      <c r="M257" s="15" t="n">
        <v>-39.574156297366</v>
      </c>
      <c r="N257" s="17" t="n">
        <v>42.1710398155025</v>
      </c>
      <c r="O257" s="18" t="n">
        <v>0.466732895617617</v>
      </c>
    </row>
    <row r="258" ht="15" customHeight="1" s="12">
      <c r="A258" s="14" t="inlineStr">
        <is>
          <t>D. I. Khan</t>
        </is>
      </c>
      <c r="B258" s="14" t="inlineStr">
        <is>
          <t>Khyber Pakhtunkhwa</t>
        </is>
      </c>
      <c r="C258" s="14" t="n">
        <v>2018</v>
      </c>
      <c r="D258" s="15" t="n">
        <v>137.62426941091</v>
      </c>
      <c r="E258" s="15" t="n">
        <v>11826.5122180442</v>
      </c>
      <c r="F258" s="15" t="n">
        <v>253.340386867523</v>
      </c>
      <c r="G258" s="15" t="n">
        <v>88.8844168484211</v>
      </c>
      <c r="H258" s="15" t="n">
        <v>43.7793763625</v>
      </c>
      <c r="I258" s="16" t="n">
        <v>31.8107965621864</v>
      </c>
      <c r="J258" s="15" t="n">
        <v>18.5871856888605</v>
      </c>
      <c r="K258" s="15" t="n">
        <v>9035.36909685753</v>
      </c>
      <c r="L258" s="15" t="n">
        <v>223.510766122442</v>
      </c>
      <c r="M258" s="15" t="n">
        <v>-85.88649671153139</v>
      </c>
      <c r="N258" s="17" t="n">
        <v>47.7567421025751</v>
      </c>
      <c r="O258" s="18" t="n">
        <v>0.528553306352308</v>
      </c>
    </row>
    <row r="259" ht="15" customHeight="1" s="12">
      <c r="A259" s="14" t="inlineStr">
        <is>
          <t>D. I. Khan</t>
        </is>
      </c>
      <c r="B259" s="14" t="inlineStr">
        <is>
          <t>Khyber Pakhtunkhwa</t>
        </is>
      </c>
      <c r="C259" s="14" t="n">
        <v>2019</v>
      </c>
      <c r="D259" s="15" t="n">
        <v>234.716971465989</v>
      </c>
      <c r="E259" s="15" t="n">
        <v>20170.0117479773</v>
      </c>
      <c r="F259" s="15" t="n">
        <v>426.728079174529</v>
      </c>
      <c r="G259" s="15" t="n">
        <v>161.40214761268</v>
      </c>
      <c r="H259" s="15" t="n">
        <v>62.6101555972892</v>
      </c>
      <c r="I259" s="16" t="n">
        <v>26.6747458465575</v>
      </c>
      <c r="J259" s="15" t="n">
        <v>24.2362068178707</v>
      </c>
      <c r="K259" s="15" t="n">
        <v>9035.36909685753</v>
      </c>
      <c r="L259" s="15" t="n">
        <v>223.510766122442</v>
      </c>
      <c r="M259" s="15" t="n">
        <v>11.2062053435469</v>
      </c>
      <c r="N259" s="17" t="n">
        <v>58.3287741783246</v>
      </c>
      <c r="O259" s="18" t="n">
        <v>0.645560502875429</v>
      </c>
    </row>
    <row r="260" ht="15" customHeight="1" s="12">
      <c r="A260" s="14" t="inlineStr">
        <is>
          <t>D. I. Khan</t>
        </is>
      </c>
      <c r="B260" s="14" t="inlineStr">
        <is>
          <t>Khyber Pakhtunkhwa</t>
        </is>
      </c>
      <c r="C260" s="14" t="n">
        <v>2020</v>
      </c>
      <c r="D260" s="15" t="n">
        <v>197.637747779995</v>
      </c>
      <c r="E260" s="15" t="n">
        <v>16983.6704592275</v>
      </c>
      <c r="F260" s="15" t="n">
        <v>364.249251138499</v>
      </c>
      <c r="G260" s="15" t="n">
        <v>105.460166987775</v>
      </c>
      <c r="H260" s="15" t="n">
        <v>59.9998868753242</v>
      </c>
      <c r="I260" s="16" t="n">
        <v>30.3585157943181</v>
      </c>
      <c r="J260" s="15" t="n">
        <v>23.4234472687446</v>
      </c>
      <c r="K260" s="15" t="n">
        <v>9035.36909685753</v>
      </c>
      <c r="L260" s="15" t="n">
        <v>223.510766122442</v>
      </c>
      <c r="M260" s="15" t="n">
        <v>-25.873018342447</v>
      </c>
      <c r="N260" s="17" t="n">
        <v>66.9971433396487</v>
      </c>
      <c r="O260" s="18" t="n">
        <v>0.741498688337481</v>
      </c>
    </row>
    <row r="261" ht="15" customHeight="1" s="12">
      <c r="A261" s="14" t="inlineStr">
        <is>
          <t>D. I. Khan</t>
        </is>
      </c>
      <c r="B261" s="14" t="inlineStr">
        <is>
          <t>Khyber Pakhtunkhwa</t>
        </is>
      </c>
      <c r="C261" s="14" t="n">
        <v>2021</v>
      </c>
      <c r="D261" s="15" t="n">
        <v>175.640052726789</v>
      </c>
      <c r="E261" s="15" t="n">
        <v>15093.3351976554</v>
      </c>
      <c r="F261" s="15" t="n">
        <v>306.657591700554</v>
      </c>
      <c r="G261" s="15" t="n">
        <v>127.558590531349</v>
      </c>
      <c r="H261" s="15" t="n">
        <v>43.4202272874289</v>
      </c>
      <c r="I261" s="16" t="n">
        <v>24.7211422527696</v>
      </c>
      <c r="J261" s="15" t="n">
        <v>17.4128143111395</v>
      </c>
      <c r="K261" s="15" t="n">
        <v>9035.36909685753</v>
      </c>
      <c r="L261" s="15" t="n">
        <v>223.510766122442</v>
      </c>
      <c r="M261" s="15" t="n">
        <v>-47.8707133956531</v>
      </c>
      <c r="N261" s="17" t="n">
        <v>67.9321626497911</v>
      </c>
      <c r="O261" s="18" t="n">
        <v>0.751847123471886</v>
      </c>
    </row>
    <row r="262" ht="15" customHeight="1" s="12">
      <c r="A262" s="14" t="inlineStr">
        <is>
          <t>D. I. Khan</t>
        </is>
      </c>
      <c r="B262" s="14" t="inlineStr">
        <is>
          <t>Khyber Pakhtunkhwa</t>
        </is>
      </c>
      <c r="C262" s="14" t="n">
        <v>2022</v>
      </c>
      <c r="D262" s="15" t="n">
        <v>375.079816629058</v>
      </c>
      <c r="E262" s="15" t="n">
        <v>32231.8589089904</v>
      </c>
      <c r="F262" s="15" t="n">
        <v>534.23938972794</v>
      </c>
      <c r="G262" s="15" t="n">
        <v>283.641646981239</v>
      </c>
      <c r="H262" s="15" t="n">
        <v>52.7635465335803</v>
      </c>
      <c r="I262" s="16" t="n">
        <v>14.0672849335857</v>
      </c>
      <c r="J262" s="15" t="n">
        <v>27.5435586181719</v>
      </c>
      <c r="K262" s="15" t="n">
        <v>9035.36909685753</v>
      </c>
      <c r="L262" s="15" t="n">
        <v>223.510766122442</v>
      </c>
      <c r="M262" s="15" t="n">
        <v>151.569050506617</v>
      </c>
      <c r="N262" s="17" t="n">
        <v>88.4688442209591</v>
      </c>
      <c r="O262" s="18" t="n">
        <v>0.979139239056966</v>
      </c>
    </row>
    <row r="263" ht="15" customHeight="1" s="12">
      <c r="A263" s="14" t="inlineStr">
        <is>
          <t>D. I. Khan</t>
        </is>
      </c>
      <c r="B263" s="14" t="inlineStr">
        <is>
          <t>Khyber Pakhtunkhwa</t>
        </is>
      </c>
      <c r="C263" s="14" t="n">
        <v>2023</v>
      </c>
      <c r="D263" s="15" t="n">
        <v>175.837944834898</v>
      </c>
      <c r="E263" s="15" t="n">
        <v>15110.3407261456</v>
      </c>
      <c r="F263" s="15" t="n">
        <v>304.57669878006</v>
      </c>
      <c r="G263" s="15" t="n">
        <v>128.873875617981</v>
      </c>
      <c r="H263" s="15" t="n">
        <v>36.4628651908186</v>
      </c>
      <c r="I263" s="16" t="n">
        <v>20.7366306658413</v>
      </c>
      <c r="J263" s="15" t="n">
        <v>17.0353671336649</v>
      </c>
      <c r="K263" s="15" t="n">
        <v>9035.36909685753</v>
      </c>
      <c r="L263" s="15" t="n">
        <v>223.510766122442</v>
      </c>
      <c r="M263" s="15" t="n">
        <v>-47.6728212875435</v>
      </c>
      <c r="N263" s="17" t="n">
        <v>49.1791694313105</v>
      </c>
      <c r="O263" s="18" t="n">
        <v>0.544296186510132</v>
      </c>
    </row>
    <row r="264" ht="15" customHeight="1" s="12">
      <c r="A264" s="14" t="inlineStr">
        <is>
          <t>D. I. Khan</t>
        </is>
      </c>
      <c r="B264" s="14" t="inlineStr">
        <is>
          <t>Khyber Pakhtunkhwa</t>
        </is>
      </c>
      <c r="C264" s="14" t="n">
        <v>2024</v>
      </c>
      <c r="D264" s="15" t="n">
        <v>236.806488185852</v>
      </c>
      <c r="E264" s="15" t="n">
        <v>20349.5708847708</v>
      </c>
      <c r="F264" s="15" t="n">
        <v>368.095463328064</v>
      </c>
      <c r="G264" s="15" t="n">
        <v>146.630846191831</v>
      </c>
      <c r="H264" s="15" t="n">
        <v>51.8379102669577</v>
      </c>
      <c r="I264" s="16" t="n">
        <v>21.8904096184535</v>
      </c>
      <c r="J264" s="15" t="n">
        <v>26.5361201113494</v>
      </c>
      <c r="K264" s="15" t="n">
        <v>9035.36909685753</v>
      </c>
      <c r="L264" s="15" t="n">
        <v>223.510766122442</v>
      </c>
      <c r="M264" s="15" t="n">
        <v>13.29572206341</v>
      </c>
      <c r="N264" s="17" t="n">
        <v>58.4656818015243</v>
      </c>
      <c r="O264" s="18" t="n">
        <v>0.647075743943415</v>
      </c>
    </row>
    <row r="265" ht="15" customHeight="1" s="12">
      <c r="A265" s="14" t="inlineStr">
        <is>
          <t>D. I. Khan</t>
        </is>
      </c>
      <c r="B265" s="14" t="inlineStr">
        <is>
          <t>Khyber Pakhtunkhwa</t>
        </is>
      </c>
      <c r="C265" s="14" t="n">
        <v>2025</v>
      </c>
      <c r="D265" s="15" t="n">
        <v>254.033045058669</v>
      </c>
      <c r="E265" s="15" t="n">
        <v>21829.9063387083</v>
      </c>
      <c r="F265" s="15" t="n">
        <v>439.094860829797</v>
      </c>
      <c r="G265" s="15" t="n">
        <v>167.45582349319</v>
      </c>
      <c r="H265" s="15" t="n">
        <v>71.89946654749789</v>
      </c>
      <c r="I265" s="16" t="n">
        <v>28.303194385948</v>
      </c>
      <c r="J265" s="15" t="n">
        <v>23.4434354036417</v>
      </c>
      <c r="K265" s="15" t="n">
        <v>9035.36909685753</v>
      </c>
      <c r="L265" s="15" t="n">
        <v>223.510766122442</v>
      </c>
      <c r="M265" s="15" t="n">
        <v>30.5222789362274</v>
      </c>
      <c r="N265" s="17" t="n">
        <v>47.8805302367825</v>
      </c>
      <c r="O265" s="18" t="n">
        <v>0.529923345947596</v>
      </c>
    </row>
    <row r="266" ht="15" customHeight="1" s="12">
      <c r="A266" s="14" t="inlineStr">
        <is>
          <t>Dadu</t>
        </is>
      </c>
      <c r="B266" s="14" t="inlineStr">
        <is>
          <t>Sindh</t>
        </is>
      </c>
      <c r="C266" s="14" t="n">
        <v>2015</v>
      </c>
      <c r="D266" s="15" t="n">
        <v>88.22287977234529</v>
      </c>
      <c r="E266" s="15" t="n">
        <v>6412.59245717812</v>
      </c>
      <c r="F266" s="15" t="n">
        <v>140.131907090545</v>
      </c>
      <c r="G266" s="15" t="n">
        <v>47.3233975768089</v>
      </c>
      <c r="H266" s="15" t="n">
        <v>22.5823772213042</v>
      </c>
      <c r="I266" s="16" t="n">
        <v>25.5969622387944</v>
      </c>
      <c r="J266" s="15" t="n">
        <v>12.0330725654168</v>
      </c>
      <c r="K266" s="15" t="n">
        <v>8031.50223642836</v>
      </c>
      <c r="L266" s="15" t="n">
        <v>137.954278105912</v>
      </c>
      <c r="M266" s="15" t="n">
        <v>-49.7313983335663</v>
      </c>
      <c r="N266" s="17" t="n">
        <v>73.67620685154471</v>
      </c>
      <c r="O266" s="18" t="n">
        <v>0.9173403017603931</v>
      </c>
    </row>
    <row r="267" ht="15" customHeight="1" s="12">
      <c r="A267" s="14" t="inlineStr">
        <is>
          <t>Dadu</t>
        </is>
      </c>
      <c r="B267" s="14" t="inlineStr">
        <is>
          <t>Sindh</t>
        </is>
      </c>
      <c r="C267" s="14" t="n">
        <v>2016</v>
      </c>
      <c r="D267" s="15" t="n">
        <v>109.343896352177</v>
      </c>
      <c r="E267" s="15" t="n">
        <v>7947.80046622587</v>
      </c>
      <c r="F267" s="15" t="n">
        <v>154.884909391403</v>
      </c>
      <c r="G267" s="15" t="n">
        <v>73.8764995634556</v>
      </c>
      <c r="H267" s="15" t="n">
        <v>18.8898408076398</v>
      </c>
      <c r="I267" s="16" t="n">
        <v>17.2756243721177</v>
      </c>
      <c r="J267" s="15" t="n">
        <v>14.6587537091988</v>
      </c>
      <c r="K267" s="15" t="n">
        <v>8031.50223642836</v>
      </c>
      <c r="L267" s="15" t="n">
        <v>137.954278105912</v>
      </c>
      <c r="M267" s="15" t="n">
        <v>-28.6103817537348</v>
      </c>
      <c r="N267" s="17" t="n">
        <v>46.5546134292338</v>
      </c>
      <c r="O267" s="18" t="n">
        <v>0.579650133421824</v>
      </c>
    </row>
    <row r="268" ht="15" customHeight="1" s="12">
      <c r="A268" s="14" t="inlineStr">
        <is>
          <t>Dadu</t>
        </is>
      </c>
      <c r="B268" s="14" t="inlineStr">
        <is>
          <t>Sindh</t>
        </is>
      </c>
      <c r="C268" s="14" t="n">
        <v>2017</v>
      </c>
      <c r="D268" s="15" t="n">
        <v>142.398665792705</v>
      </c>
      <c r="E268" s="15" t="n">
        <v>10350.4285116384</v>
      </c>
      <c r="F268" s="15" t="n">
        <v>234.603386998177</v>
      </c>
      <c r="G268" s="15" t="n">
        <v>67.35662820935249</v>
      </c>
      <c r="H268" s="15" t="n">
        <v>39.2795939371471</v>
      </c>
      <c r="I268" s="16" t="n">
        <v>27.5842429551467</v>
      </c>
      <c r="J268" s="15" t="n">
        <v>21.76390612355</v>
      </c>
      <c r="K268" s="15" t="n">
        <v>8031.50223642836</v>
      </c>
      <c r="L268" s="15" t="n">
        <v>137.954278105912</v>
      </c>
      <c r="M268" s="15" t="n">
        <v>4.44438768679351</v>
      </c>
      <c r="N268" s="17" t="n">
        <v>34.2449473115848</v>
      </c>
      <c r="O268" s="18" t="n">
        <v>0.426382839766396</v>
      </c>
    </row>
    <row r="269" ht="15" customHeight="1" s="12">
      <c r="A269" s="14" t="inlineStr">
        <is>
          <t>Dadu</t>
        </is>
      </c>
      <c r="B269" s="14" t="inlineStr">
        <is>
          <t>Sindh</t>
        </is>
      </c>
      <c r="C269" s="14" t="n">
        <v>2018</v>
      </c>
      <c r="D269" s="15" t="n">
        <v>30.0871665347563</v>
      </c>
      <c r="E269" s="15" t="n">
        <v>2186.92404596748</v>
      </c>
      <c r="F269" s="15" t="n">
        <v>39.8376557412557</v>
      </c>
      <c r="G269" s="15" t="n">
        <v>18.0784741155803</v>
      </c>
      <c r="H269" s="15" t="n">
        <v>4.80146105516392</v>
      </c>
      <c r="I269" s="16" t="n">
        <v>15.9585019400791</v>
      </c>
      <c r="J269" s="15" t="n">
        <v>6.24596708929053</v>
      </c>
      <c r="K269" s="15" t="n">
        <v>8031.50223642836</v>
      </c>
      <c r="L269" s="15" t="n">
        <v>137.954278105912</v>
      </c>
      <c r="M269" s="15" t="n">
        <v>-107.867111571155</v>
      </c>
      <c r="N269" s="17" t="n">
        <v>24.7529082457931</v>
      </c>
      <c r="O269" s="18" t="n">
        <v>0.308197738320009</v>
      </c>
    </row>
    <row r="270" ht="15" customHeight="1" s="12">
      <c r="A270" s="14" t="inlineStr">
        <is>
          <t>Dadu</t>
        </is>
      </c>
      <c r="B270" s="14" t="inlineStr">
        <is>
          <t>Sindh</t>
        </is>
      </c>
      <c r="C270" s="14" t="n">
        <v>2019</v>
      </c>
      <c r="D270" s="15" t="n">
        <v>144.294948863833</v>
      </c>
      <c r="E270" s="15" t="n">
        <v>10488.2622634947</v>
      </c>
      <c r="F270" s="15" t="n">
        <v>234.208499252796</v>
      </c>
      <c r="G270" s="15" t="n">
        <v>81.4931323826313</v>
      </c>
      <c r="H270" s="15" t="n">
        <v>33.810412401624</v>
      </c>
      <c r="I270" s="16" t="n">
        <v>23.4314594293457</v>
      </c>
      <c r="J270" s="15" t="n">
        <v>20.1304019422714</v>
      </c>
      <c r="K270" s="15" t="n">
        <v>8031.50223642836</v>
      </c>
      <c r="L270" s="15" t="n">
        <v>137.954278105912</v>
      </c>
      <c r="M270" s="15" t="n">
        <v>6.34067075792098</v>
      </c>
      <c r="N270" s="17" t="n">
        <v>39.4033898283289</v>
      </c>
      <c r="O270" s="18" t="n">
        <v>0.490610457027672</v>
      </c>
    </row>
    <row r="271" ht="15" customHeight="1" s="12">
      <c r="A271" s="14" t="inlineStr">
        <is>
          <t>Dadu</t>
        </is>
      </c>
      <c r="B271" s="14" t="inlineStr">
        <is>
          <t>Sindh</t>
        </is>
      </c>
      <c r="C271" s="14" t="n">
        <v>2020</v>
      </c>
      <c r="D271" s="15" t="n">
        <v>149.898832399208</v>
      </c>
      <c r="E271" s="15" t="n">
        <v>10895.5876804679</v>
      </c>
      <c r="F271" s="15" t="n">
        <v>233.894760689414</v>
      </c>
      <c r="G271" s="15" t="n">
        <v>85.3264396447339</v>
      </c>
      <c r="H271" s="15" t="n">
        <v>32.9002104922173</v>
      </c>
      <c r="I271" s="16" t="n">
        <v>21.9482766914408</v>
      </c>
      <c r="J271" s="15" t="n">
        <v>26.0940383059077</v>
      </c>
      <c r="K271" s="15" t="n">
        <v>8031.50223642836</v>
      </c>
      <c r="L271" s="15" t="n">
        <v>137.954278105912</v>
      </c>
      <c r="M271" s="15" t="n">
        <v>11.9445542932965</v>
      </c>
      <c r="N271" s="17" t="n">
        <v>78.1808507460907</v>
      </c>
      <c r="O271" s="18" t="n">
        <v>0.973427491453429</v>
      </c>
    </row>
    <row r="272" ht="15" customHeight="1" s="12">
      <c r="A272" s="14" t="inlineStr">
        <is>
          <t>Dadu</t>
        </is>
      </c>
      <c r="B272" s="14" t="inlineStr">
        <is>
          <t>Sindh</t>
        </is>
      </c>
      <c r="C272" s="14" t="n">
        <v>2021</v>
      </c>
      <c r="D272" s="15" t="n">
        <v>88.7338995431202</v>
      </c>
      <c r="E272" s="15" t="n">
        <v>6449.7365805166</v>
      </c>
      <c r="F272" s="15" t="n">
        <v>130.628306806088</v>
      </c>
      <c r="G272" s="15" t="n">
        <v>55.6170786172152</v>
      </c>
      <c r="H272" s="15" t="n">
        <v>18.2024228306389</v>
      </c>
      <c r="I272" s="16" t="n">
        <v>20.5134936302371</v>
      </c>
      <c r="J272" s="15" t="n">
        <v>13.5852711087132</v>
      </c>
      <c r="K272" s="15" t="n">
        <v>8031.50223642836</v>
      </c>
      <c r="L272" s="15" t="n">
        <v>137.954278105912</v>
      </c>
      <c r="M272" s="15" t="n">
        <v>-49.2203785627913</v>
      </c>
      <c r="N272" s="17" t="n">
        <v>29.9640610782908</v>
      </c>
      <c r="O272" s="18" t="n">
        <v>0.373081650184734</v>
      </c>
    </row>
    <row r="273" ht="15" customHeight="1" s="12">
      <c r="A273" s="14" t="inlineStr">
        <is>
          <t>Dadu</t>
        </is>
      </c>
      <c r="B273" s="14" t="inlineStr">
        <is>
          <t>Sindh</t>
        </is>
      </c>
      <c r="C273" s="14" t="n">
        <v>2022</v>
      </c>
      <c r="D273" s="15" t="n">
        <v>375.758588716781</v>
      </c>
      <c r="E273" s="15" t="n">
        <v>27312.4919288845</v>
      </c>
      <c r="F273" s="15" t="n">
        <v>504.694479340687</v>
      </c>
      <c r="G273" s="15" t="n">
        <v>234.131028154865</v>
      </c>
      <c r="H273" s="15" t="n">
        <v>59.5752032754515</v>
      </c>
      <c r="I273" s="16" t="n">
        <v>15.8546484536525</v>
      </c>
      <c r="J273" s="15" t="n">
        <v>36.867278122471</v>
      </c>
      <c r="K273" s="15" t="n">
        <v>8031.50223642836</v>
      </c>
      <c r="L273" s="15" t="n">
        <v>137.954278105912</v>
      </c>
      <c r="M273" s="15" t="n">
        <v>237.80431061087</v>
      </c>
      <c r="N273" s="17" t="n">
        <v>148.060873442456</v>
      </c>
      <c r="O273" s="18" t="n">
        <v>1.84350161506398</v>
      </c>
    </row>
    <row r="274" ht="15" customHeight="1" s="12">
      <c r="A274" s="14" t="inlineStr">
        <is>
          <t>Dadu</t>
        </is>
      </c>
      <c r="B274" s="14" t="inlineStr">
        <is>
          <t>Sindh</t>
        </is>
      </c>
      <c r="C274" s="14" t="n">
        <v>2023</v>
      </c>
      <c r="D274" s="15" t="n">
        <v>119.096504914348</v>
      </c>
      <c r="E274" s="15" t="n">
        <v>8656.68124936252</v>
      </c>
      <c r="F274" s="15" t="n">
        <v>187.746372520924</v>
      </c>
      <c r="G274" s="15" t="n">
        <v>78.4162402153015</v>
      </c>
      <c r="H274" s="15" t="n">
        <v>27.5801298744853</v>
      </c>
      <c r="I274" s="16" t="n">
        <v>23.1577995461079</v>
      </c>
      <c r="J274" s="15" t="n">
        <v>17.836903156191</v>
      </c>
      <c r="K274" s="15" t="n">
        <v>8031.50223642836</v>
      </c>
      <c r="L274" s="15" t="n">
        <v>137.954278105912</v>
      </c>
      <c r="M274" s="15" t="n">
        <v>-18.8577731915634</v>
      </c>
      <c r="N274" s="17" t="n">
        <v>35.7030296288979</v>
      </c>
      <c r="O274" s="18" t="n">
        <v>0.444537380154863</v>
      </c>
    </row>
    <row r="275" ht="15" customHeight="1" s="12">
      <c r="A275" s="14" t="inlineStr">
        <is>
          <t>Dadu</t>
        </is>
      </c>
      <c r="B275" s="14" t="inlineStr">
        <is>
          <t>Sindh</t>
        </is>
      </c>
      <c r="C275" s="14" t="n">
        <v>2024</v>
      </c>
      <c r="D275" s="15" t="n">
        <v>137.778268683856</v>
      </c>
      <c r="E275" s="15" t="n">
        <v>10014.5890590403</v>
      </c>
      <c r="F275" s="15" t="n">
        <v>203.591632220341</v>
      </c>
      <c r="G275" s="15" t="n">
        <v>84.22628156770951</v>
      </c>
      <c r="H275" s="15" t="n">
        <v>25.7573274250294</v>
      </c>
      <c r="I275" s="16" t="n">
        <v>18.6947678114113</v>
      </c>
      <c r="J275" s="15" t="n">
        <v>26.9718370650122</v>
      </c>
      <c r="K275" s="15" t="n">
        <v>8031.50223642836</v>
      </c>
      <c r="L275" s="15" t="n">
        <v>137.954278105912</v>
      </c>
      <c r="M275" s="15" t="n">
        <v>-0.176009422055415</v>
      </c>
      <c r="N275" s="17" t="n">
        <v>99.83800097842651</v>
      </c>
      <c r="O275" s="18" t="n">
        <v>1.24308003707691</v>
      </c>
    </row>
    <row r="276" ht="15" customHeight="1" s="12">
      <c r="A276" s="14" t="inlineStr">
        <is>
          <t>Dadu</t>
        </is>
      </c>
      <c r="B276" s="14" t="inlineStr">
        <is>
          <t>Sindh</t>
        </is>
      </c>
      <c r="C276" s="14" t="n">
        <v>2025</v>
      </c>
      <c r="D276" s="15" t="n">
        <v>131.883407591897</v>
      </c>
      <c r="E276" s="15" t="n">
        <v>9586.113567513021</v>
      </c>
      <c r="F276" s="15" t="n">
        <v>176.530013074938</v>
      </c>
      <c r="G276" s="15" t="n">
        <v>68.21942507923811</v>
      </c>
      <c r="H276" s="15" t="n">
        <v>26.2588680514106</v>
      </c>
      <c r="I276" s="16" t="n">
        <v>19.9106684691274</v>
      </c>
      <c r="J276" s="15" t="n">
        <v>19.4506069598058</v>
      </c>
      <c r="K276" s="15" t="n">
        <v>8031.50223642836</v>
      </c>
      <c r="L276" s="15" t="n">
        <v>137.954278105912</v>
      </c>
      <c r="M276" s="15" t="n">
        <v>-6.07087051401413</v>
      </c>
      <c r="N276" s="17" t="n">
        <v>35.8258948487421</v>
      </c>
      <c r="O276" s="18" t="n">
        <v>0.446067171422142</v>
      </c>
    </row>
    <row r="277" ht="15" customHeight="1" s="12">
      <c r="A277" s="14" t="inlineStr">
        <is>
          <t>Darel</t>
        </is>
      </c>
      <c r="B277" s="14" t="inlineStr">
        <is>
          <t>Gilgit Baltistan</t>
        </is>
      </c>
      <c r="C277" s="14" t="n">
        <v>2015</v>
      </c>
      <c r="D277" s="15" t="n">
        <v>170.528230832513</v>
      </c>
      <c r="E277" s="15" t="n">
        <v>2789.97560405194</v>
      </c>
      <c r="F277" s="15" t="n">
        <v>267.261761188507</v>
      </c>
      <c r="G277" s="15" t="n">
        <v>59.0101099014282</v>
      </c>
      <c r="H277" s="15" t="n">
        <v>57.7090514977797</v>
      </c>
      <c r="I277" s="16" t="n">
        <v>33.8413476853927</v>
      </c>
      <c r="J277" s="15" t="n">
        <v>20.0939597315436</v>
      </c>
      <c r="K277" s="15" t="n">
        <v>1650.78268124221</v>
      </c>
      <c r="L277" s="15" t="n">
        <v>208.920006832875</v>
      </c>
      <c r="M277" s="15" t="n">
        <v>-38.3917760003625</v>
      </c>
      <c r="N277" s="17" t="n">
        <v>0.194753255361998</v>
      </c>
      <c r="O277" s="18" t="n">
        <v>0.011797631364502</v>
      </c>
    </row>
    <row r="278" ht="15" customHeight="1" s="12">
      <c r="A278" s="14" t="inlineStr">
        <is>
          <t>Darel</t>
        </is>
      </c>
      <c r="B278" s="14" t="inlineStr">
        <is>
          <t>Gilgit Baltistan</t>
        </is>
      </c>
      <c r="C278" s="14" t="n">
        <v>2016</v>
      </c>
      <c r="D278" s="15" t="n">
        <v>252.401682703501</v>
      </c>
      <c r="E278" s="15" t="n">
        <v>4129.48949113336</v>
      </c>
      <c r="F278" s="15" t="n">
        <v>432.199129581451</v>
      </c>
      <c r="G278" s="15" t="n">
        <v>62.5425560474396</v>
      </c>
      <c r="H278" s="15" t="n">
        <v>100.837182975969</v>
      </c>
      <c r="I278" s="16" t="n">
        <v>39.9510739769604</v>
      </c>
      <c r="J278" s="15" t="n">
        <v>18.3082454458293</v>
      </c>
      <c r="K278" s="15" t="n">
        <v>1650.78268124221</v>
      </c>
      <c r="L278" s="15" t="n">
        <v>208.920006832875</v>
      </c>
      <c r="M278" s="15" t="n">
        <v>43.4816758706259</v>
      </c>
      <c r="N278" s="17" t="n">
        <v>0.5746900770450371</v>
      </c>
      <c r="O278" s="18" t="n">
        <v>0.0348131879244446</v>
      </c>
    </row>
    <row r="279" ht="15" customHeight="1" s="12">
      <c r="A279" s="14" t="inlineStr">
        <is>
          <t>Darel</t>
        </is>
      </c>
      <c r="B279" s="14" t="inlineStr">
        <is>
          <t>Gilgit Baltistan</t>
        </is>
      </c>
      <c r="C279" s="14" t="n">
        <v>2017</v>
      </c>
      <c r="D279" s="15" t="n">
        <v>215.466259145797</v>
      </c>
      <c r="E279" s="15" t="n">
        <v>3525.19699276966</v>
      </c>
      <c r="F279" s="15" t="n">
        <v>326.036266446114</v>
      </c>
      <c r="G279" s="15" t="n">
        <v>53.4552183747292</v>
      </c>
      <c r="H279" s="15" t="n">
        <v>82.94891388172969</v>
      </c>
      <c r="I279" s="16" t="n">
        <v>38.4974028929522</v>
      </c>
      <c r="J279" s="15" t="n">
        <v>14.7066155321189</v>
      </c>
      <c r="K279" s="15" t="n">
        <v>1650.78268124221</v>
      </c>
      <c r="L279" s="15" t="n">
        <v>208.920006832875</v>
      </c>
      <c r="M279" s="15" t="n">
        <v>6.54625231292133</v>
      </c>
      <c r="N279" s="17" t="n">
        <v>0.0722385105092964</v>
      </c>
      <c r="O279" s="18" t="n">
        <v>0.0043760157730112</v>
      </c>
    </row>
    <row r="280" ht="15" customHeight="1" s="12">
      <c r="A280" s="14" t="inlineStr">
        <is>
          <t>Darel</t>
        </is>
      </c>
      <c r="B280" s="14" t="inlineStr">
        <is>
          <t>Gilgit Baltistan</t>
        </is>
      </c>
      <c r="C280" s="14" t="n">
        <v>2018</v>
      </c>
      <c r="D280" s="15" t="n">
        <v>174.25069898985</v>
      </c>
      <c r="E280" s="15" t="n">
        <v>2850.87810268884</v>
      </c>
      <c r="F280" s="15" t="n">
        <v>254.783997297287</v>
      </c>
      <c r="G280" s="15" t="n">
        <v>52.0284953713417</v>
      </c>
      <c r="H280" s="15" t="n">
        <v>61.346536387901</v>
      </c>
      <c r="I280" s="16" t="n">
        <v>35.205905481891</v>
      </c>
      <c r="J280" s="15" t="n">
        <v>27.1526845637584</v>
      </c>
      <c r="K280" s="15" t="n">
        <v>1650.78268124221</v>
      </c>
      <c r="L280" s="15" t="n">
        <v>208.920006832875</v>
      </c>
      <c r="M280" s="15" t="n">
        <v>-34.6693078430252</v>
      </c>
      <c r="N280" s="17" t="n">
        <v>0.200940188936361</v>
      </c>
      <c r="O280" s="18" t="n">
        <v>0.01217241925419</v>
      </c>
    </row>
    <row r="281" ht="15" customHeight="1" s="12">
      <c r="A281" s="14" t="inlineStr">
        <is>
          <t>Darel</t>
        </is>
      </c>
      <c r="B281" s="14" t="inlineStr">
        <is>
          <t>Gilgit Baltistan</t>
        </is>
      </c>
      <c r="C281" s="14" t="n">
        <v>2019</v>
      </c>
      <c r="D281" s="15" t="n">
        <v>261.318077997368</v>
      </c>
      <c r="E281" s="15" t="n">
        <v>4275.36871139223</v>
      </c>
      <c r="F281" s="15" t="n">
        <v>442.236824154854</v>
      </c>
      <c r="G281" s="15" t="n">
        <v>72.1372129879892</v>
      </c>
      <c r="H281" s="15" t="n">
        <v>104.305446071666</v>
      </c>
      <c r="I281" s="16" t="n">
        <v>39.9151282877247</v>
      </c>
      <c r="J281" s="15" t="n">
        <v>23.436481303931</v>
      </c>
      <c r="K281" s="15" t="n">
        <v>1650.78268124221</v>
      </c>
      <c r="L281" s="15" t="n">
        <v>208.920006832875</v>
      </c>
      <c r="M281" s="15" t="n">
        <v>52.3980711644925</v>
      </c>
      <c r="N281" s="17" t="n">
        <v>0.209999683398437</v>
      </c>
      <c r="O281" s="18" t="n">
        <v>0.0127212192001198</v>
      </c>
    </row>
    <row r="282" ht="15" customHeight="1" s="12">
      <c r="A282" s="14" t="inlineStr">
        <is>
          <t>Darel</t>
        </is>
      </c>
      <c r="B282" s="14" t="inlineStr">
        <is>
          <t>Gilgit Baltistan</t>
        </is>
      </c>
      <c r="C282" s="14" t="n">
        <v>2020</v>
      </c>
      <c r="D282" s="15" t="n">
        <v>221.477422573983</v>
      </c>
      <c r="E282" s="15" t="n">
        <v>3623.54434109277</v>
      </c>
      <c r="F282" s="15" t="n">
        <v>325.102505356073</v>
      </c>
      <c r="G282" s="15" t="n">
        <v>59.2562913298607</v>
      </c>
      <c r="H282" s="15" t="n">
        <v>77.83792695789469</v>
      </c>
      <c r="I282" s="16" t="n">
        <v>35.1448585834493</v>
      </c>
      <c r="J282" s="15" t="n">
        <v>25.3149568552253</v>
      </c>
      <c r="K282" s="15" t="n">
        <v>1650.78268124221</v>
      </c>
      <c r="L282" s="15" t="n">
        <v>208.920006832875</v>
      </c>
      <c r="M282" s="15" t="n">
        <v>12.5574157411076</v>
      </c>
      <c r="N282" s="17" t="n">
        <v>0.168525228963695</v>
      </c>
      <c r="O282" s="18" t="n">
        <v>0.0102088076691524</v>
      </c>
    </row>
    <row r="283" ht="15" customHeight="1" s="12">
      <c r="A283" s="14" t="inlineStr">
        <is>
          <t>Darel</t>
        </is>
      </c>
      <c r="B283" s="14" t="inlineStr">
        <is>
          <t>Gilgit Baltistan</t>
        </is>
      </c>
      <c r="C283" s="14" t="n">
        <v>2021</v>
      </c>
      <c r="D283" s="15" t="n">
        <v>189.675936032062</v>
      </c>
      <c r="E283" s="15" t="n">
        <v>3103.24707892455</v>
      </c>
      <c r="F283" s="15" t="n">
        <v>267.960392475128</v>
      </c>
      <c r="G283" s="15" t="n">
        <v>54.7710387706757</v>
      </c>
      <c r="H283" s="15" t="n">
        <v>66.0062528202407</v>
      </c>
      <c r="I283" s="16" t="n">
        <v>34.7994870625462</v>
      </c>
      <c r="J283" s="15" t="n">
        <v>21.6560402684564</v>
      </c>
      <c r="K283" s="15" t="n">
        <v>1650.78268124221</v>
      </c>
      <c r="L283" s="15" t="n">
        <v>208.920006832875</v>
      </c>
      <c r="M283" s="15" t="n">
        <v>-19.2440708008138</v>
      </c>
      <c r="N283" s="17" t="n">
        <v>0.241050108217725</v>
      </c>
      <c r="O283" s="18" t="n">
        <v>0.0146021708948591</v>
      </c>
    </row>
    <row r="284" ht="15" customHeight="1" s="12">
      <c r="A284" s="14" t="inlineStr">
        <is>
          <t>Darel</t>
        </is>
      </c>
      <c r="B284" s="14" t="inlineStr">
        <is>
          <t>Gilgit Baltistan</t>
        </is>
      </c>
      <c r="C284" s="14" t="n">
        <v>2022</v>
      </c>
      <c r="D284" s="15" t="n">
        <v>220.483454463558</v>
      </c>
      <c r="E284" s="15" t="n">
        <v>3607.28224322339</v>
      </c>
      <c r="F284" s="15" t="n">
        <v>330.640078544617</v>
      </c>
      <c r="G284" s="15" t="n">
        <v>71.059320949018</v>
      </c>
      <c r="H284" s="15" t="n">
        <v>83.16098678121379</v>
      </c>
      <c r="I284" s="16" t="n">
        <v>37.7175634260388</v>
      </c>
      <c r="J284" s="15" t="n">
        <v>18.8557046979866</v>
      </c>
      <c r="K284" s="15" t="n">
        <v>1650.78268124221</v>
      </c>
      <c r="L284" s="15" t="n">
        <v>208.920006832875</v>
      </c>
      <c r="M284" s="15" t="n">
        <v>11.5634476306825</v>
      </c>
      <c r="N284" s="17" t="n">
        <v>0.160180206676528</v>
      </c>
      <c r="O284" s="18" t="n">
        <v>0.009703288536804411</v>
      </c>
    </row>
    <row r="285" ht="15" customHeight="1" s="12">
      <c r="A285" s="14" t="inlineStr">
        <is>
          <t>Darel</t>
        </is>
      </c>
      <c r="B285" s="14" t="inlineStr">
        <is>
          <t>Gilgit Baltistan</t>
        </is>
      </c>
      <c r="C285" s="14" t="n">
        <v>2023</v>
      </c>
      <c r="D285" s="15" t="n">
        <v>193.96347273963</v>
      </c>
      <c r="E285" s="15" t="n">
        <v>3173.39454223426</v>
      </c>
      <c r="F285" s="15" t="n">
        <v>308.151609778404</v>
      </c>
      <c r="G285" s="15" t="n">
        <v>51.6845282316208</v>
      </c>
      <c r="H285" s="15" t="n">
        <v>76.80989998790911</v>
      </c>
      <c r="I285" s="16" t="n">
        <v>39.6001880678926</v>
      </c>
      <c r="J285" s="15" t="n">
        <v>22.9158676893576</v>
      </c>
      <c r="K285" s="15" t="n">
        <v>1650.78268124221</v>
      </c>
      <c r="L285" s="15" t="n">
        <v>208.920006832875</v>
      </c>
      <c r="M285" s="15" t="n">
        <v>-14.9565340932454</v>
      </c>
      <c r="N285" s="17" t="n">
        <v>0.207932077293725</v>
      </c>
      <c r="O285" s="18" t="n">
        <v>0.0125959691518726</v>
      </c>
    </row>
    <row r="286" ht="15" customHeight="1" s="12">
      <c r="A286" s="14" t="inlineStr">
        <is>
          <t>Darel</t>
        </is>
      </c>
      <c r="B286" s="14" t="inlineStr">
        <is>
          <t>Gilgit Baltistan</t>
        </is>
      </c>
      <c r="C286" s="14" t="n">
        <v>2024</v>
      </c>
      <c r="D286" s="15" t="n">
        <v>257.69345758552</v>
      </c>
      <c r="E286" s="15" t="n">
        <v>4216.06707861487</v>
      </c>
      <c r="F286" s="15" t="n">
        <v>402.45533488238</v>
      </c>
      <c r="G286" s="15" t="n">
        <v>63.6597521210788</v>
      </c>
      <c r="H286" s="15" t="n">
        <v>98.5118648240923</v>
      </c>
      <c r="I286" s="16" t="n">
        <v>38.2283142719676</v>
      </c>
      <c r="J286" s="15" t="n">
        <v>24.4705177372963</v>
      </c>
      <c r="K286" s="15" t="n">
        <v>1650.78268124221</v>
      </c>
      <c r="L286" s="15" t="n">
        <v>208.920006832875</v>
      </c>
      <c r="M286" s="15" t="n">
        <v>48.773450752645</v>
      </c>
      <c r="N286" s="17" t="n">
        <v>0.217775841566138</v>
      </c>
      <c r="O286" s="18" t="n">
        <v>0.0131922780654727</v>
      </c>
    </row>
    <row r="287" ht="15" customHeight="1" s="12">
      <c r="A287" s="14" t="inlineStr">
        <is>
          <t>Darel</t>
        </is>
      </c>
      <c r="B287" s="14" t="inlineStr">
        <is>
          <t>Gilgit Baltistan</t>
        </is>
      </c>
      <c r="C287" s="14" t="n">
        <v>2025</v>
      </c>
      <c r="D287" s="15" t="n">
        <v>140.861382097848</v>
      </c>
      <c r="E287" s="15" t="n">
        <v>2304.60269063616</v>
      </c>
      <c r="F287" s="15" t="n">
        <v>198.638346255677</v>
      </c>
      <c r="G287" s="15" t="n">
        <v>51.3945459462702</v>
      </c>
      <c r="H287" s="15" t="n">
        <v>45.5408460431966</v>
      </c>
      <c r="I287" s="16" t="n">
        <v>32.3302564300854</v>
      </c>
      <c r="J287" s="15" t="n">
        <v>21.1052253116012</v>
      </c>
      <c r="K287" s="15" t="n">
        <v>1650.78268124221</v>
      </c>
      <c r="L287" s="15" t="n">
        <v>208.920006832875</v>
      </c>
      <c r="M287" s="15" t="n">
        <v>-68.05862473502771</v>
      </c>
      <c r="N287" s="17" t="n">
        <v>0.151338432200234</v>
      </c>
      <c r="O287" s="18" t="n">
        <v>0.009167677485346011</v>
      </c>
    </row>
    <row r="288" ht="15" customHeight="1" s="12">
      <c r="A288" s="14" t="inlineStr">
        <is>
          <t>Dera Bugti</t>
        </is>
      </c>
      <c r="B288" s="14" t="inlineStr">
        <is>
          <t>Balochistan</t>
        </is>
      </c>
      <c r="C288" s="14" t="n">
        <v>2015</v>
      </c>
      <c r="D288" s="15" t="n">
        <v>116.723623001733</v>
      </c>
      <c r="E288" s="15" t="n">
        <v>11113.0043891611</v>
      </c>
      <c r="F288" s="15" t="n">
        <v>255.024164199829</v>
      </c>
      <c r="G288" s="15" t="n">
        <v>60.0945419073105</v>
      </c>
      <c r="H288" s="15" t="n">
        <v>45.638375799543</v>
      </c>
      <c r="I288" s="16" t="n">
        <v>39.0995195538658</v>
      </c>
      <c r="J288" s="15" t="n">
        <v>15.1013263036494</v>
      </c>
      <c r="K288" s="15" t="n">
        <v>10307.9176674722</v>
      </c>
      <c r="L288" s="15" t="n">
        <v>161.288742145406</v>
      </c>
      <c r="M288" s="15" t="n">
        <v>-44.5651191436736</v>
      </c>
      <c r="N288" s="17" t="n">
        <v>3.11189657316343</v>
      </c>
      <c r="O288" s="18" t="n">
        <v>0.0301893813430754</v>
      </c>
    </row>
    <row r="289" ht="15" customHeight="1" s="12">
      <c r="A289" s="14" t="inlineStr">
        <is>
          <t>Dera Bugti</t>
        </is>
      </c>
      <c r="B289" s="14" t="inlineStr">
        <is>
          <t>Balochistan</t>
        </is>
      </c>
      <c r="C289" s="14" t="n">
        <v>2016</v>
      </c>
      <c r="D289" s="15" t="n">
        <v>203.578119824187</v>
      </c>
      <c r="E289" s="15" t="n">
        <v>19382.2336983985</v>
      </c>
      <c r="F289" s="15" t="n">
        <v>304.054678440094</v>
      </c>
      <c r="G289" s="15" t="n">
        <v>84.5592978596687</v>
      </c>
      <c r="H289" s="15" t="n">
        <v>59.37902494156</v>
      </c>
      <c r="I289" s="16" t="n">
        <v>29.1676851092056</v>
      </c>
      <c r="J289" s="15" t="n">
        <v>21.2713979734739</v>
      </c>
      <c r="K289" s="15" t="n">
        <v>10307.9176674722</v>
      </c>
      <c r="L289" s="15" t="n">
        <v>161.288742145406</v>
      </c>
      <c r="M289" s="15" t="n">
        <v>42.2893776787805</v>
      </c>
      <c r="N289" s="17" t="n">
        <v>3.04105491435283</v>
      </c>
      <c r="O289" s="18" t="n">
        <v>0.0295021265444253</v>
      </c>
    </row>
    <row r="290" ht="15" customHeight="1" s="12">
      <c r="A290" s="14" t="inlineStr">
        <is>
          <t>Dera Bugti</t>
        </is>
      </c>
      <c r="B290" s="14" t="inlineStr">
        <is>
          <t>Balochistan</t>
        </is>
      </c>
      <c r="C290" s="14" t="n">
        <v>2017</v>
      </c>
      <c r="D290" s="15" t="n">
        <v>133.557625358898</v>
      </c>
      <c r="E290" s="15" t="n">
        <v>12715.7334449542</v>
      </c>
      <c r="F290" s="15" t="n">
        <v>244.271123379469</v>
      </c>
      <c r="G290" s="15" t="n">
        <v>71.4353168010712</v>
      </c>
      <c r="H290" s="15" t="n">
        <v>50.3866625556854</v>
      </c>
      <c r="I290" s="16" t="n">
        <v>37.726533711786</v>
      </c>
      <c r="J290" s="15" t="n">
        <v>19.3529121014911</v>
      </c>
      <c r="K290" s="15" t="n">
        <v>10307.9176674722</v>
      </c>
      <c r="L290" s="15" t="n">
        <v>161.288742145406</v>
      </c>
      <c r="M290" s="15" t="n">
        <v>-27.7311167865086</v>
      </c>
      <c r="N290" s="17" t="n">
        <v>2.94329317527428</v>
      </c>
      <c r="O290" s="18" t="n">
        <v>0.028553712497745</v>
      </c>
    </row>
    <row r="291" ht="15" customHeight="1" s="12">
      <c r="A291" s="14" t="inlineStr">
        <is>
          <t>Dera Bugti</t>
        </is>
      </c>
      <c r="B291" s="14" t="inlineStr">
        <is>
          <t>Balochistan</t>
        </is>
      </c>
      <c r="C291" s="14" t="n">
        <v>2018</v>
      </c>
      <c r="D291" s="15" t="n">
        <v>65.59447261183119</v>
      </c>
      <c r="E291" s="15" t="n">
        <v>6245.10825909819</v>
      </c>
      <c r="F291" s="15" t="n">
        <v>162.13128054142</v>
      </c>
      <c r="G291" s="15" t="n">
        <v>28.3032225519419</v>
      </c>
      <c r="H291" s="15" t="n">
        <v>29.6379215133557</v>
      </c>
      <c r="I291" s="16" t="n">
        <v>45.1835655250164</v>
      </c>
      <c r="J291" s="15" t="n">
        <v>10.5640497569816</v>
      </c>
      <c r="K291" s="15" t="n">
        <v>10307.9176674722</v>
      </c>
      <c r="L291" s="15" t="n">
        <v>161.288742145406</v>
      </c>
      <c r="M291" s="15" t="n">
        <v>-95.694269533575</v>
      </c>
      <c r="N291" s="17" t="n">
        <v>3.07974875751067</v>
      </c>
      <c r="O291" s="18" t="n">
        <v>0.0298775063680335</v>
      </c>
    </row>
    <row r="292" ht="15" customHeight="1" s="12">
      <c r="A292" s="14" t="inlineStr">
        <is>
          <t>Dera Bugti</t>
        </is>
      </c>
      <c r="B292" s="14" t="inlineStr">
        <is>
          <t>Balochistan</t>
        </is>
      </c>
      <c r="C292" s="14" t="n">
        <v>2019</v>
      </c>
      <c r="D292" s="15" t="n">
        <v>118.072452595309</v>
      </c>
      <c r="E292" s="15" t="n">
        <v>11241.4235455252</v>
      </c>
      <c r="F292" s="15" t="n">
        <v>223.674162685871</v>
      </c>
      <c r="G292" s="15" t="n">
        <v>55.7909156084061</v>
      </c>
      <c r="H292" s="15" t="n">
        <v>38.2631150197838</v>
      </c>
      <c r="I292" s="16" t="n">
        <v>32.4064709241958</v>
      </c>
      <c r="J292" s="15" t="n">
        <v>20.4383392371694</v>
      </c>
      <c r="K292" s="15" t="n">
        <v>10307.9176674722</v>
      </c>
      <c r="L292" s="15" t="n">
        <v>161.288742145406</v>
      </c>
      <c r="M292" s="15" t="n">
        <v>-43.2162895500971</v>
      </c>
      <c r="N292" s="17" t="n">
        <v>2.81114922751847</v>
      </c>
      <c r="O292" s="18" t="n">
        <v>0.0272717470026886</v>
      </c>
    </row>
    <row r="293" ht="15" customHeight="1" s="12">
      <c r="A293" s="14" t="inlineStr">
        <is>
          <t>Dera Bugti</t>
        </is>
      </c>
      <c r="B293" s="14" t="inlineStr">
        <is>
          <t>Balochistan</t>
        </is>
      </c>
      <c r="C293" s="14" t="n">
        <v>2020</v>
      </c>
      <c r="D293" s="15" t="n">
        <v>157.021021909239</v>
      </c>
      <c r="E293" s="15" t="n">
        <v>14949.6328231863</v>
      </c>
      <c r="F293" s="15" t="n">
        <v>250.22460226665</v>
      </c>
      <c r="G293" s="15" t="n">
        <v>61.3066753458479</v>
      </c>
      <c r="H293" s="15" t="n">
        <v>46.1520120107045</v>
      </c>
      <c r="I293" s="16" t="n">
        <v>29.3922504448998</v>
      </c>
      <c r="J293" s="15" t="n">
        <v>20.748125875278</v>
      </c>
      <c r="K293" s="15" t="n">
        <v>10307.9176674722</v>
      </c>
      <c r="L293" s="15" t="n">
        <v>161.288742145406</v>
      </c>
      <c r="M293" s="15" t="n">
        <v>-4.26772023616741</v>
      </c>
      <c r="N293" s="17" t="n">
        <v>2.72358946212612</v>
      </c>
      <c r="O293" s="18" t="n">
        <v>0.0264223051637356</v>
      </c>
    </row>
    <row r="294" ht="15" customHeight="1" s="12">
      <c r="A294" s="14" t="inlineStr">
        <is>
          <t>Dera Bugti</t>
        </is>
      </c>
      <c r="B294" s="14" t="inlineStr">
        <is>
          <t>Balochistan</t>
        </is>
      </c>
      <c r="C294" s="14" t="n">
        <v>2021</v>
      </c>
      <c r="D294" s="15" t="n">
        <v>112.33618774483</v>
      </c>
      <c r="E294" s="15" t="n">
        <v>10695.286141447</v>
      </c>
      <c r="F294" s="15" t="n">
        <v>216.504641652107</v>
      </c>
      <c r="G294" s="15" t="n">
        <v>41.6511673331261</v>
      </c>
      <c r="H294" s="15" t="n">
        <v>41.6311551895761</v>
      </c>
      <c r="I294" s="16" t="n">
        <v>37.059433852376</v>
      </c>
      <c r="J294" s="15" t="n">
        <v>18.4630117802125</v>
      </c>
      <c r="K294" s="15" t="n">
        <v>10307.9176674722</v>
      </c>
      <c r="L294" s="15" t="n">
        <v>161.288742145406</v>
      </c>
      <c r="M294" s="15" t="n">
        <v>-48.9525544005763</v>
      </c>
      <c r="N294" s="17" t="n">
        <v>2.832263548769</v>
      </c>
      <c r="O294" s="18" t="n">
        <v>0.0274765829543489</v>
      </c>
    </row>
    <row r="295" ht="15" customHeight="1" s="12">
      <c r="A295" s="14" t="inlineStr">
        <is>
          <t>Dera Bugti</t>
        </is>
      </c>
      <c r="B295" s="14" t="inlineStr">
        <is>
          <t>Balochistan</t>
        </is>
      </c>
      <c r="C295" s="14" t="n">
        <v>2022</v>
      </c>
      <c r="D295" s="15" t="n">
        <v>346.054507492311</v>
      </c>
      <c r="E295" s="15" t="n">
        <v>32947.103266268</v>
      </c>
      <c r="F295" s="15" t="n">
        <v>478.384439848363</v>
      </c>
      <c r="G295" s="15" t="n">
        <v>190.062073856592</v>
      </c>
      <c r="H295" s="15" t="n">
        <v>65.87123269446199</v>
      </c>
      <c r="I295" s="16" t="n">
        <v>19.0349298357068</v>
      </c>
      <c r="J295" s="15" t="n">
        <v>36.8950078260153</v>
      </c>
      <c r="K295" s="15" t="n">
        <v>10307.9176674722</v>
      </c>
      <c r="L295" s="15" t="n">
        <v>161.288742145406</v>
      </c>
      <c r="M295" s="15" t="n">
        <v>184.765765346905</v>
      </c>
      <c r="N295" s="17" t="n">
        <v>2.83395042966021</v>
      </c>
      <c r="O295" s="18" t="n">
        <v>0.0274929478589362</v>
      </c>
    </row>
    <row r="296" ht="15" customHeight="1" s="12">
      <c r="A296" s="14" t="inlineStr">
        <is>
          <t>Dera Bugti</t>
        </is>
      </c>
      <c r="B296" s="14" t="inlineStr">
        <is>
          <t>Balochistan</t>
        </is>
      </c>
      <c r="C296" s="14" t="n">
        <v>2023</v>
      </c>
      <c r="D296" s="15" t="n">
        <v>147.460939213866</v>
      </c>
      <c r="E296" s="15" t="n">
        <v>14039.437969546</v>
      </c>
      <c r="F296" s="15" t="n">
        <v>277.376600503922</v>
      </c>
      <c r="G296" s="15" t="n">
        <v>85.73512583971019</v>
      </c>
      <c r="H296" s="15" t="n">
        <v>37.9989767738585</v>
      </c>
      <c r="I296" s="16" t="n">
        <v>25.7688422279393</v>
      </c>
      <c r="J296" s="15" t="n">
        <v>19.9481835406541</v>
      </c>
      <c r="K296" s="15" t="n">
        <v>10307.9176674722</v>
      </c>
      <c r="L296" s="15" t="n">
        <v>161.288742145406</v>
      </c>
      <c r="M296" s="15" t="n">
        <v>-13.8278029315405</v>
      </c>
      <c r="N296" s="17" t="n">
        <v>2.35087089101298</v>
      </c>
      <c r="O296" s="18" t="n">
        <v>0.0228064577817828</v>
      </c>
    </row>
    <row r="297" ht="15" customHeight="1" s="12">
      <c r="A297" s="14" t="inlineStr">
        <is>
          <t>Dera Bugti</t>
        </is>
      </c>
      <c r="B297" s="14" t="inlineStr">
        <is>
          <t>Balochistan</t>
        </is>
      </c>
      <c r="C297" s="14" t="n">
        <v>2024</v>
      </c>
      <c r="D297" s="15" t="n">
        <v>248.243116914437</v>
      </c>
      <c r="E297" s="15" t="n">
        <v>23634.691735093</v>
      </c>
      <c r="F297" s="15" t="n">
        <v>374.097598942288</v>
      </c>
      <c r="G297" s="15" t="n">
        <v>116.009197913008</v>
      </c>
      <c r="H297" s="15" t="n">
        <v>64.38988027876159</v>
      </c>
      <c r="I297" s="16" t="n">
        <v>25.9382338890609</v>
      </c>
      <c r="J297" s="15" t="n">
        <v>33.6884422110553</v>
      </c>
      <c r="K297" s="15" t="n">
        <v>10307.9176674722</v>
      </c>
      <c r="L297" s="15" t="n">
        <v>161.288742145406</v>
      </c>
      <c r="M297" s="15" t="n">
        <v>86.95437476903101</v>
      </c>
      <c r="N297" s="17" t="n">
        <v>2.41704260753605</v>
      </c>
      <c r="O297" s="18" t="n">
        <v>0.023448408160683</v>
      </c>
    </row>
    <row r="298" ht="15" customHeight="1" s="12">
      <c r="A298" s="14" t="inlineStr">
        <is>
          <t>Dera Bugti</t>
        </is>
      </c>
      <c r="B298" s="14" t="inlineStr">
        <is>
          <t>Balochistan</t>
        </is>
      </c>
      <c r="C298" s="14" t="n">
        <v>2025</v>
      </c>
      <c r="D298" s="15" t="n">
        <v>125.534096932829</v>
      </c>
      <c r="E298" s="15" t="n">
        <v>11951.8306091577</v>
      </c>
      <c r="F298" s="15" t="n">
        <v>218.839617502468</v>
      </c>
      <c r="G298" s="15" t="n">
        <v>52.6493394896388</v>
      </c>
      <c r="H298" s="15" t="n">
        <v>38.417124271522</v>
      </c>
      <c r="I298" s="16" t="n">
        <v>30.6029399264157</v>
      </c>
      <c r="J298" s="15" t="n">
        <v>19.435909053464</v>
      </c>
      <c r="K298" s="15" t="n">
        <v>10307.9176674722</v>
      </c>
      <c r="L298" s="15" t="n">
        <v>161.288742145406</v>
      </c>
      <c r="M298" s="15" t="n">
        <v>-35.7546452125776</v>
      </c>
      <c r="N298" s="17" t="n">
        <v>1.98145966294759</v>
      </c>
      <c r="O298" s="18" t="n">
        <v>0.0192226958622332</v>
      </c>
    </row>
    <row r="299" ht="15" customHeight="1" s="12">
      <c r="A299" s="14" t="inlineStr">
        <is>
          <t>Dera Ghazi Khan</t>
        </is>
      </c>
      <c r="B299" s="14" t="inlineStr">
        <is>
          <t>Punjab</t>
        </is>
      </c>
      <c r="C299" s="14" t="n">
        <v>2015</v>
      </c>
      <c r="D299" s="15" t="n">
        <v>231.182004951787</v>
      </c>
      <c r="E299" s="15" t="n">
        <v>25514.3339817967</v>
      </c>
      <c r="F299" s="15" t="n">
        <v>301.134699940682</v>
      </c>
      <c r="G299" s="15" t="n">
        <v>136.332895696163</v>
      </c>
      <c r="H299" s="15" t="n">
        <v>42.9861370051761</v>
      </c>
      <c r="I299" s="16" t="n">
        <v>18.5940670486618</v>
      </c>
      <c r="J299" s="15" t="n">
        <v>22.6140425683118</v>
      </c>
      <c r="K299" s="15" t="n">
        <v>11777.986566427</v>
      </c>
      <c r="L299" s="15" t="n">
        <v>201.686614663805</v>
      </c>
      <c r="M299" s="15" t="n">
        <v>29.4953902879826</v>
      </c>
      <c r="N299" s="17" t="n">
        <v>118.508281972078</v>
      </c>
      <c r="O299" s="18" t="n">
        <v>1.00618455712867</v>
      </c>
    </row>
    <row r="300" ht="15" customHeight="1" s="12">
      <c r="A300" s="14" t="inlineStr">
        <is>
          <t>Dera Ghazi Khan</t>
        </is>
      </c>
      <c r="B300" s="14" t="inlineStr">
        <is>
          <t>Punjab</t>
        </is>
      </c>
      <c r="C300" s="14" t="n">
        <v>2016</v>
      </c>
      <c r="D300" s="15" t="n">
        <v>212.72594518892</v>
      </c>
      <c r="E300" s="15" t="n">
        <v>23477.4363743207</v>
      </c>
      <c r="F300" s="15" t="n">
        <v>347.004328370094</v>
      </c>
      <c r="G300" s="15" t="n">
        <v>94.7051661014557</v>
      </c>
      <c r="H300" s="15" t="n">
        <v>61.6010637982906</v>
      </c>
      <c r="I300" s="16" t="n">
        <v>28.9579457473244</v>
      </c>
      <c r="J300" s="15" t="n">
        <v>26.4863020999893</v>
      </c>
      <c r="K300" s="15" t="n">
        <v>11777.986566427</v>
      </c>
      <c r="L300" s="15" t="n">
        <v>201.686614663805</v>
      </c>
      <c r="M300" s="15" t="n">
        <v>11.0393305251153</v>
      </c>
      <c r="N300" s="17" t="n">
        <v>53.3891502949597</v>
      </c>
      <c r="O300" s="18" t="n">
        <v>0.453296070545238</v>
      </c>
    </row>
    <row r="301" ht="15" customHeight="1" s="12">
      <c r="A301" s="14" t="inlineStr">
        <is>
          <t>Dera Ghazi Khan</t>
        </is>
      </c>
      <c r="B301" s="14" t="inlineStr">
        <is>
          <t>Punjab</t>
        </is>
      </c>
      <c r="C301" s="14" t="n">
        <v>2017</v>
      </c>
      <c r="D301" s="15" t="n">
        <v>164.306154140893</v>
      </c>
      <c r="E301" s="15" t="n">
        <v>18133.6003764202</v>
      </c>
      <c r="F301" s="15" t="n">
        <v>240.323383808136</v>
      </c>
      <c r="G301" s="15" t="n">
        <v>113.807250082493</v>
      </c>
      <c r="H301" s="15" t="n">
        <v>28.8700359959259</v>
      </c>
      <c r="I301" s="16" t="n">
        <v>17.5708792813504</v>
      </c>
      <c r="J301" s="15" t="n">
        <v>22.72419429343</v>
      </c>
      <c r="K301" s="15" t="n">
        <v>11777.986566427</v>
      </c>
      <c r="L301" s="15" t="n">
        <v>201.686614663805</v>
      </c>
      <c r="M301" s="15" t="n">
        <v>-37.3804605229117</v>
      </c>
      <c r="N301" s="17" t="n">
        <v>59.1091020842528</v>
      </c>
      <c r="O301" s="18" t="n">
        <v>0.501860838020841</v>
      </c>
    </row>
    <row r="302" ht="15" customHeight="1" s="12">
      <c r="A302" s="14" t="inlineStr">
        <is>
          <t>Dera Ghazi Khan</t>
        </is>
      </c>
      <c r="B302" s="14" t="inlineStr">
        <is>
          <t>Punjab</t>
        </is>
      </c>
      <c r="C302" s="14" t="n">
        <v>2018</v>
      </c>
      <c r="D302" s="15" t="n">
        <v>135.201036894729</v>
      </c>
      <c r="E302" s="15" t="n">
        <v>14921.4226718759</v>
      </c>
      <c r="F302" s="15" t="n">
        <v>214.347989290953</v>
      </c>
      <c r="G302" s="15" t="n">
        <v>60.4296379089356</v>
      </c>
      <c r="H302" s="15" t="n">
        <v>46.356647319912</v>
      </c>
      <c r="I302" s="16" t="n">
        <v>34.2871980752681</v>
      </c>
      <c r="J302" s="15" t="n">
        <v>24.2690900046193</v>
      </c>
      <c r="K302" s="15" t="n">
        <v>11777.986566427</v>
      </c>
      <c r="L302" s="15" t="n">
        <v>201.686614663805</v>
      </c>
      <c r="M302" s="15" t="n">
        <v>-66.485577769076</v>
      </c>
      <c r="N302" s="17" t="n">
        <v>57.3514700592604</v>
      </c>
      <c r="O302" s="18" t="n">
        <v>0.486937811788136</v>
      </c>
    </row>
    <row r="303" ht="15" customHeight="1" s="12">
      <c r="A303" s="14" t="inlineStr">
        <is>
          <t>Dera Ghazi Khan</t>
        </is>
      </c>
      <c r="B303" s="14" t="inlineStr">
        <is>
          <t>Punjab</t>
        </is>
      </c>
      <c r="C303" s="14" t="n">
        <v>2019</v>
      </c>
      <c r="D303" s="15" t="n">
        <v>191.096276790415</v>
      </c>
      <c r="E303" s="15" t="n">
        <v>21090.2843831868</v>
      </c>
      <c r="F303" s="15" t="n">
        <v>277.435294121504</v>
      </c>
      <c r="G303" s="15" t="n">
        <v>108.861682415009</v>
      </c>
      <c r="H303" s="15" t="n">
        <v>42.8187073871047</v>
      </c>
      <c r="I303" s="16" t="n">
        <v>22.4068768404453</v>
      </c>
      <c r="J303" s="15" t="n">
        <v>27.2349785026472</v>
      </c>
      <c r="K303" s="15" t="n">
        <v>11777.986566427</v>
      </c>
      <c r="L303" s="15" t="n">
        <v>201.686614663805</v>
      </c>
      <c r="M303" s="15" t="n">
        <v>-10.5903378733903</v>
      </c>
      <c r="N303" s="17" t="n">
        <v>83.21008665806561</v>
      </c>
      <c r="O303" s="18" t="n">
        <v>0.706488211620607</v>
      </c>
    </row>
    <row r="304" ht="15" customHeight="1" s="12">
      <c r="A304" s="14" t="inlineStr">
        <is>
          <t>Dera Ghazi Khan</t>
        </is>
      </c>
      <c r="B304" s="14" t="inlineStr">
        <is>
          <t>Punjab</t>
        </is>
      </c>
      <c r="C304" s="14" t="n">
        <v>2020</v>
      </c>
      <c r="D304" s="15" t="n">
        <v>162.263835614473</v>
      </c>
      <c r="E304" s="15" t="n">
        <v>17908.2004929338</v>
      </c>
      <c r="F304" s="15" t="n">
        <v>232.251147497445</v>
      </c>
      <c r="G304" s="15" t="n">
        <v>81.7372009925311</v>
      </c>
      <c r="H304" s="15" t="n">
        <v>41.3044673860569</v>
      </c>
      <c r="I304" s="16" t="n">
        <v>25.4551282050261</v>
      </c>
      <c r="J304" s="15" t="n">
        <v>26.5383932061259</v>
      </c>
      <c r="K304" s="15" t="n">
        <v>11777.986566427</v>
      </c>
      <c r="L304" s="15" t="n">
        <v>201.686614663805</v>
      </c>
      <c r="M304" s="15" t="n">
        <v>-39.4227790493322</v>
      </c>
      <c r="N304" s="17" t="n">
        <v>86.716174537949</v>
      </c>
      <c r="O304" s="18" t="n">
        <v>0.736256354588926</v>
      </c>
    </row>
    <row r="305" ht="15" customHeight="1" s="12">
      <c r="A305" s="14" t="inlineStr">
        <is>
          <t>Dera Ghazi Khan</t>
        </is>
      </c>
      <c r="B305" s="14" t="inlineStr">
        <is>
          <t>Punjab</t>
        </is>
      </c>
      <c r="C305" s="14" t="n">
        <v>2021</v>
      </c>
      <c r="D305" s="15" t="n">
        <v>151.84756488727</v>
      </c>
      <c r="E305" s="15" t="n">
        <v>16758.6118377351</v>
      </c>
      <c r="F305" s="15" t="n">
        <v>234.472119808197</v>
      </c>
      <c r="G305" s="15" t="n">
        <v>69.3982999324799</v>
      </c>
      <c r="H305" s="15" t="n">
        <v>39.4402696609637</v>
      </c>
      <c r="I305" s="16" t="n">
        <v>25.9735937749438</v>
      </c>
      <c r="J305" s="15" t="n">
        <v>17.901396439612</v>
      </c>
      <c r="K305" s="15" t="n">
        <v>11777.986566427</v>
      </c>
      <c r="L305" s="15" t="n">
        <v>201.686614663805</v>
      </c>
      <c r="M305" s="15" t="n">
        <v>-49.8390497765348</v>
      </c>
      <c r="N305" s="17" t="n">
        <v>69.96415056517471</v>
      </c>
      <c r="O305" s="18" t="n">
        <v>0.594024710170807</v>
      </c>
    </row>
    <row r="306" ht="15" customHeight="1" s="12">
      <c r="A306" s="14" t="inlineStr">
        <is>
          <t>Dera Ghazi Khan</t>
        </is>
      </c>
      <c r="B306" s="14" t="inlineStr">
        <is>
          <t>Punjab</t>
        </is>
      </c>
      <c r="C306" s="14" t="n">
        <v>2022</v>
      </c>
      <c r="D306" s="15" t="n">
        <v>345.763554751532</v>
      </c>
      <c r="E306" s="15" t="n">
        <v>38160.0930249896</v>
      </c>
      <c r="F306" s="15" t="n">
        <v>511.806947227957</v>
      </c>
      <c r="G306" s="15" t="n">
        <v>179.708517815474</v>
      </c>
      <c r="H306" s="15" t="n">
        <v>87.8815385640526</v>
      </c>
      <c r="I306" s="16" t="n">
        <v>25.4166575269059</v>
      </c>
      <c r="J306" s="15" t="n">
        <v>30.8039299292897</v>
      </c>
      <c r="K306" s="15" t="n">
        <v>11777.986566427</v>
      </c>
      <c r="L306" s="15" t="n">
        <v>201.686614663805</v>
      </c>
      <c r="M306" s="15" t="n">
        <v>144.076940087727</v>
      </c>
      <c r="N306" s="17" t="n">
        <v>80.2769583192342</v>
      </c>
      <c r="O306" s="18" t="n">
        <v>0.681584733234987</v>
      </c>
    </row>
    <row r="307" ht="15" customHeight="1" s="12">
      <c r="A307" s="14" t="inlineStr">
        <is>
          <t>Dera Ghazi Khan</t>
        </is>
      </c>
      <c r="B307" s="14" t="inlineStr">
        <is>
          <t>Punjab</t>
        </is>
      </c>
      <c r="C307" s="14" t="n">
        <v>2023</v>
      </c>
      <c r="D307" s="15" t="n">
        <v>191.76297129347</v>
      </c>
      <c r="E307" s="15" t="n">
        <v>21163.8639259299</v>
      </c>
      <c r="F307" s="15" t="n">
        <v>301.712680220604</v>
      </c>
      <c r="G307" s="15" t="n">
        <v>107.210093259811</v>
      </c>
      <c r="H307" s="15" t="n">
        <v>51.1128005189243</v>
      </c>
      <c r="I307" s="16" t="n">
        <v>26.6541554785895</v>
      </c>
      <c r="J307" s="15" t="n">
        <v>22.807092349785</v>
      </c>
      <c r="K307" s="15" t="n">
        <v>11777.986566427</v>
      </c>
      <c r="L307" s="15" t="n">
        <v>201.686614663805</v>
      </c>
      <c r="M307" s="15" t="n">
        <v>-9.9236433703353</v>
      </c>
      <c r="N307" s="17" t="n">
        <v>43.2008023351962</v>
      </c>
      <c r="O307" s="18" t="n">
        <v>0.366792762850821</v>
      </c>
    </row>
    <row r="308" ht="15" customHeight="1" s="12">
      <c r="A308" s="14" t="inlineStr">
        <is>
          <t>Dera Ghazi Khan</t>
        </is>
      </c>
      <c r="B308" s="14" t="inlineStr">
        <is>
          <t>Punjab</t>
        </is>
      </c>
      <c r="C308" s="14" t="n">
        <v>2024</v>
      </c>
      <c r="D308" s="15" t="n">
        <v>249.246316254786</v>
      </c>
      <c r="E308" s="15" t="n">
        <v>27507.9963857194</v>
      </c>
      <c r="F308" s="15" t="n">
        <v>322.135138759624</v>
      </c>
      <c r="G308" s="15" t="n">
        <v>160.95757039037</v>
      </c>
      <c r="H308" s="15" t="n">
        <v>40.8501686827881</v>
      </c>
      <c r="I308" s="16" t="n">
        <v>16.3894774039629</v>
      </c>
      <c r="J308" s="15" t="n">
        <v>32.6010020253704</v>
      </c>
      <c r="K308" s="15" t="n">
        <v>11777.986566427</v>
      </c>
      <c r="L308" s="15" t="n">
        <v>201.686614663805</v>
      </c>
      <c r="M308" s="15" t="n">
        <v>47.5597015909814</v>
      </c>
      <c r="N308" s="17" t="n">
        <v>55.472091274719</v>
      </c>
      <c r="O308" s="18" t="n">
        <v>0.470981104978005</v>
      </c>
    </row>
    <row r="309" ht="15" customHeight="1" s="12">
      <c r="A309" s="14" t="inlineStr">
        <is>
          <t>Dera Ghazi Khan</t>
        </is>
      </c>
      <c r="B309" s="14" t="inlineStr">
        <is>
          <t>Punjab</t>
        </is>
      </c>
      <c r="C309" s="14" t="n">
        <v>2025</v>
      </c>
      <c r="D309" s="15" t="n">
        <v>183.15710053358</v>
      </c>
      <c r="E309" s="15" t="n">
        <v>20214.0795306531</v>
      </c>
      <c r="F309" s="15" t="n">
        <v>268.414630024927</v>
      </c>
      <c r="G309" s="15" t="n">
        <v>98.5310940863274</v>
      </c>
      <c r="H309" s="15" t="n">
        <v>48.3598480430818</v>
      </c>
      <c r="I309" s="16" t="n">
        <v>26.4034798007821</v>
      </c>
      <c r="J309" s="15" t="n">
        <v>21.9881675727534</v>
      </c>
      <c r="K309" s="15" t="n">
        <v>11777.986566427</v>
      </c>
      <c r="L309" s="15" t="n">
        <v>201.686614663805</v>
      </c>
      <c r="M309" s="15" t="n">
        <v>-18.5295141302254</v>
      </c>
      <c r="N309" s="17" t="n">
        <v>31.7318319415053</v>
      </c>
      <c r="O309" s="18" t="n">
        <v>0.269416438561378</v>
      </c>
    </row>
    <row r="310" ht="15" customHeight="1" s="12">
      <c r="A310" s="14" t="inlineStr">
        <is>
          <t>Diamir</t>
        </is>
      </c>
      <c r="B310" s="14" t="inlineStr">
        <is>
          <t>Gilgit Baltistan</t>
        </is>
      </c>
      <c r="C310" s="14" t="n">
        <v>2015</v>
      </c>
      <c r="D310" s="15" t="n">
        <v>241.298454108253</v>
      </c>
      <c r="E310" s="15" t="n">
        <v>10085.3291132775</v>
      </c>
      <c r="F310" s="15" t="n">
        <v>773.5134973526</v>
      </c>
      <c r="G310" s="15" t="n">
        <v>78.2661058902741</v>
      </c>
      <c r="H310" s="15" t="n">
        <v>167.94921096937</v>
      </c>
      <c r="I310" s="16" t="n">
        <v>69.6022739101444</v>
      </c>
      <c r="J310" s="15" t="n">
        <v>20.7595233627322</v>
      </c>
      <c r="K310" s="15" t="n">
        <v>4215.4169667074</v>
      </c>
      <c r="L310" s="15" t="n">
        <v>231.054587483115</v>
      </c>
      <c r="M310" s="15" t="n">
        <v>10.2438666251377</v>
      </c>
      <c r="N310" s="17" t="n">
        <v>3.99977753399084</v>
      </c>
      <c r="O310" s="18" t="n">
        <v>0.0948845052714917</v>
      </c>
    </row>
    <row r="311" ht="15" customHeight="1" s="12">
      <c r="A311" s="14" t="inlineStr">
        <is>
          <t>Diamir</t>
        </is>
      </c>
      <c r="B311" s="14" t="inlineStr">
        <is>
          <t>Gilgit Baltistan</t>
        </is>
      </c>
      <c r="C311" s="14" t="n">
        <v>2016</v>
      </c>
      <c r="D311" s="15" t="n">
        <v>211.307481687578</v>
      </c>
      <c r="E311" s="15" t="n">
        <v>8831.824077749839</v>
      </c>
      <c r="F311" s="15" t="n">
        <v>630.396154880524</v>
      </c>
      <c r="G311" s="15" t="n">
        <v>65.8405993580818</v>
      </c>
      <c r="H311" s="15" t="n">
        <v>138.611598405187</v>
      </c>
      <c r="I311" s="16" t="n">
        <v>65.59710867697829</v>
      </c>
      <c r="J311" s="15" t="n">
        <v>20.2740664289736</v>
      </c>
      <c r="K311" s="15" t="n">
        <v>4215.4169667074</v>
      </c>
      <c r="L311" s="15" t="n">
        <v>231.054587483115</v>
      </c>
      <c r="M311" s="15" t="n">
        <v>-19.7471057955372</v>
      </c>
      <c r="N311" s="17" t="n">
        <v>4.36809957861279</v>
      </c>
      <c r="O311" s="18" t="n">
        <v>0.103622004966798</v>
      </c>
    </row>
    <row r="312" ht="15" customHeight="1" s="12">
      <c r="A312" s="14" t="inlineStr">
        <is>
          <t>Diamir</t>
        </is>
      </c>
      <c r="B312" s="14" t="inlineStr">
        <is>
          <t>Gilgit Baltistan</t>
        </is>
      </c>
      <c r="C312" s="14" t="n">
        <v>2017</v>
      </c>
      <c r="D312" s="15" t="n">
        <v>199.321644804425</v>
      </c>
      <c r="E312" s="15" t="n">
        <v>8330.86309931594</v>
      </c>
      <c r="F312" s="15" t="n">
        <v>557.002309918404</v>
      </c>
      <c r="G312" s="15" t="n">
        <v>64.0974963307381</v>
      </c>
      <c r="H312" s="15" t="n">
        <v>121.213772832844</v>
      </c>
      <c r="I312" s="16" t="n">
        <v>60.8131510011263</v>
      </c>
      <c r="J312" s="15" t="n">
        <v>19.2659973728655</v>
      </c>
      <c r="K312" s="15" t="n">
        <v>4215.4169667074</v>
      </c>
      <c r="L312" s="15" t="n">
        <v>231.054587483115</v>
      </c>
      <c r="M312" s="15" t="n">
        <v>-31.7329426786901</v>
      </c>
      <c r="N312" s="17" t="n">
        <v>2.61647923788775</v>
      </c>
      <c r="O312" s="18" t="n">
        <v>0.062069286586647</v>
      </c>
    </row>
    <row r="313" ht="15" customHeight="1" s="12">
      <c r="A313" s="14" t="inlineStr">
        <is>
          <t>Diamir</t>
        </is>
      </c>
      <c r="B313" s="14" t="inlineStr">
        <is>
          <t>Gilgit Baltistan</t>
        </is>
      </c>
      <c r="C313" s="14" t="n">
        <v>2018</v>
      </c>
      <c r="D313" s="15" t="n">
        <v>203.639755272675</v>
      </c>
      <c r="E313" s="15" t="n">
        <v>8511.34318312225</v>
      </c>
      <c r="F313" s="15" t="n">
        <v>632.579344749451</v>
      </c>
      <c r="G313" s="15" t="n">
        <v>66.3191488087177</v>
      </c>
      <c r="H313" s="15" t="n">
        <v>140.265953916505</v>
      </c>
      <c r="I313" s="16" t="n">
        <v>68.8794551578042</v>
      </c>
      <c r="J313" s="15" t="n">
        <v>25.9108650778758</v>
      </c>
      <c r="K313" s="15" t="n">
        <v>4215.4169667074</v>
      </c>
      <c r="L313" s="15" t="n">
        <v>231.054587483115</v>
      </c>
      <c r="M313" s="15" t="n">
        <v>-27.41483221044</v>
      </c>
      <c r="N313" s="17" t="n">
        <v>4.3753565668481</v>
      </c>
      <c r="O313" s="18" t="n">
        <v>0.103794158475991</v>
      </c>
    </row>
    <row r="314" ht="15" customHeight="1" s="12">
      <c r="A314" s="14" t="inlineStr">
        <is>
          <t>Diamir</t>
        </is>
      </c>
      <c r="B314" s="14" t="inlineStr">
        <is>
          <t>Gilgit Baltistan</t>
        </is>
      </c>
      <c r="C314" s="14" t="n">
        <v>2019</v>
      </c>
      <c r="D314" s="15" t="n">
        <v>284.829993217678</v>
      </c>
      <c r="E314" s="15" t="n">
        <v>11904.7767361334</v>
      </c>
      <c r="F314" s="15" t="n">
        <v>832.505585789681</v>
      </c>
      <c r="G314" s="15" t="n">
        <v>93.1343743503094</v>
      </c>
      <c r="H314" s="15" t="n">
        <v>179.674655718602</v>
      </c>
      <c r="I314" s="16" t="n">
        <v>63.0813678323856</v>
      </c>
      <c r="J314" s="15" t="n">
        <v>25.6808031525615</v>
      </c>
      <c r="K314" s="15" t="n">
        <v>4215.4169667074</v>
      </c>
      <c r="L314" s="15" t="n">
        <v>231.054587483115</v>
      </c>
      <c r="M314" s="15" t="n">
        <v>53.7754057345627</v>
      </c>
      <c r="N314" s="17" t="n">
        <v>4.23271363546549</v>
      </c>
      <c r="O314" s="18" t="n">
        <v>0.100410319285013</v>
      </c>
    </row>
    <row r="315" ht="15" customHeight="1" s="12">
      <c r="A315" s="14" t="inlineStr">
        <is>
          <t>Diamir</t>
        </is>
      </c>
      <c r="B315" s="14" t="inlineStr">
        <is>
          <t>Gilgit Baltistan</t>
        </is>
      </c>
      <c r="C315" s="14" t="n">
        <v>2020</v>
      </c>
      <c r="D315" s="15" t="n">
        <v>227.082168244465</v>
      </c>
      <c r="E315" s="15" t="n">
        <v>9491.14411431181</v>
      </c>
      <c r="F315" s="15" t="n">
        <v>675.090318441391</v>
      </c>
      <c r="G315" s="15" t="n">
        <v>69.5785808805376</v>
      </c>
      <c r="H315" s="15" t="n">
        <v>149.461785490648</v>
      </c>
      <c r="I315" s="16" t="n">
        <v>65.81837166965239</v>
      </c>
      <c r="J315" s="15" t="n">
        <v>24.2047288421843</v>
      </c>
      <c r="K315" s="15" t="n">
        <v>4215.4169667074</v>
      </c>
      <c r="L315" s="15" t="n">
        <v>231.054587483115</v>
      </c>
      <c r="M315" s="15" t="n">
        <v>-3.97241923864999</v>
      </c>
      <c r="N315" s="17" t="n">
        <v>4.48208902390065</v>
      </c>
      <c r="O315" s="18" t="n">
        <v>0.106326113390428</v>
      </c>
    </row>
    <row r="316" ht="15" customHeight="1" s="12">
      <c r="A316" s="14" t="inlineStr">
        <is>
          <t>Diamir</t>
        </is>
      </c>
      <c r="B316" s="14" t="inlineStr">
        <is>
          <t>Gilgit Baltistan</t>
        </is>
      </c>
      <c r="C316" s="14" t="n">
        <v>2021</v>
      </c>
      <c r="D316" s="15" t="n">
        <v>219.169703300632</v>
      </c>
      <c r="E316" s="15" t="n">
        <v>9160.43410893386</v>
      </c>
      <c r="F316" s="15" t="n">
        <v>649.900629758835</v>
      </c>
      <c r="G316" s="15" t="n">
        <v>69.3925247192383</v>
      </c>
      <c r="H316" s="15" t="n">
        <v>147.330617060764</v>
      </c>
      <c r="I316" s="16" t="n">
        <v>67.2221638492947</v>
      </c>
      <c r="J316" s="15" t="n">
        <v>24.7522049164947</v>
      </c>
      <c r="K316" s="15" t="n">
        <v>4215.4169667074</v>
      </c>
      <c r="L316" s="15" t="n">
        <v>231.054587483115</v>
      </c>
      <c r="M316" s="15" t="n">
        <v>-11.8848841824834</v>
      </c>
      <c r="N316" s="17" t="n">
        <v>4.36442911196433</v>
      </c>
      <c r="O316" s="18" t="n">
        <v>0.10353493252112</v>
      </c>
    </row>
    <row r="317" ht="15" customHeight="1" s="12">
      <c r="A317" s="14" t="inlineStr">
        <is>
          <t>Diamir</t>
        </is>
      </c>
      <c r="B317" s="14" t="inlineStr">
        <is>
          <t>Gilgit Baltistan</t>
        </is>
      </c>
      <c r="C317" s="14" t="n">
        <v>2022</v>
      </c>
      <c r="D317" s="15" t="n">
        <v>231.630685223529</v>
      </c>
      <c r="E317" s="15" t="n">
        <v>9681.254286715201</v>
      </c>
      <c r="F317" s="15" t="n">
        <v>702.195815563202</v>
      </c>
      <c r="G317" s="15" t="n">
        <v>72.8720512390137</v>
      </c>
      <c r="H317" s="15" t="n">
        <v>155.185012026001</v>
      </c>
      <c r="I317" s="16" t="n">
        <v>66.99674176426311</v>
      </c>
      <c r="J317" s="15" t="n">
        <v>24.3712704072059</v>
      </c>
      <c r="K317" s="15" t="n">
        <v>4215.4169667074</v>
      </c>
      <c r="L317" s="15" t="n">
        <v>231.054587483115</v>
      </c>
      <c r="M317" s="15" t="n">
        <v>0.576097740413928</v>
      </c>
      <c r="N317" s="17" t="n">
        <v>3.74768470805162</v>
      </c>
      <c r="O317" s="18" t="n">
        <v>0.0889042469025047</v>
      </c>
    </row>
    <row r="318" ht="15" customHeight="1" s="12">
      <c r="A318" s="14" t="inlineStr">
        <is>
          <t>Diamir</t>
        </is>
      </c>
      <c r="B318" s="14" t="inlineStr">
        <is>
          <t>Gilgit Baltistan</t>
        </is>
      </c>
      <c r="C318" s="14" t="n">
        <v>2023</v>
      </c>
      <c r="D318" s="15" t="n">
        <v>256.19638849677</v>
      </c>
      <c r="E318" s="15" t="n">
        <v>10708.0043474454</v>
      </c>
      <c r="F318" s="15" t="n">
        <v>837.570265054703</v>
      </c>
      <c r="G318" s="15" t="n">
        <v>68.3155514001846</v>
      </c>
      <c r="H318" s="15" t="n">
        <v>188.456129259191</v>
      </c>
      <c r="I318" s="16" t="n">
        <v>73.5592450638963</v>
      </c>
      <c r="J318" s="15" t="n">
        <v>23.1219741039595</v>
      </c>
      <c r="K318" s="15" t="n">
        <v>4215.4169667074</v>
      </c>
      <c r="L318" s="15" t="n">
        <v>231.054587483115</v>
      </c>
      <c r="M318" s="15" t="n">
        <v>25.1418010136547</v>
      </c>
      <c r="N318" s="17" t="n">
        <v>4.37382337631861</v>
      </c>
      <c r="O318" s="18" t="n">
        <v>0.103757787446942</v>
      </c>
    </row>
    <row r="319" ht="15" customHeight="1" s="12">
      <c r="A319" s="14" t="inlineStr">
        <is>
          <t>Diamir</t>
        </is>
      </c>
      <c r="B319" s="14" t="inlineStr">
        <is>
          <t>Gilgit Baltistan</t>
        </is>
      </c>
      <c r="C319" s="14" t="n">
        <v>2024</v>
      </c>
      <c r="D319" s="15" t="n">
        <v>245.132511250891</v>
      </c>
      <c r="E319" s="15" t="n">
        <v>10245.5776663215</v>
      </c>
      <c r="F319" s="15" t="n">
        <v>702.892611835152</v>
      </c>
      <c r="G319" s="15" t="n">
        <v>83.009264554441</v>
      </c>
      <c r="H319" s="15" t="n">
        <v>152.834686106934</v>
      </c>
      <c r="I319" s="16" t="n">
        <v>62.3477829713534</v>
      </c>
      <c r="J319" s="15" t="n">
        <v>22.1856821167198</v>
      </c>
      <c r="K319" s="15" t="n">
        <v>4215.4169667074</v>
      </c>
      <c r="L319" s="15" t="n">
        <v>231.054587483115</v>
      </c>
      <c r="M319" s="15" t="n">
        <v>14.0779237677753</v>
      </c>
      <c r="N319" s="17" t="n">
        <v>4.70214664781613</v>
      </c>
      <c r="O319" s="18" t="n">
        <v>0.111546418419645</v>
      </c>
    </row>
    <row r="320" ht="15" customHeight="1" s="12">
      <c r="A320" s="14" t="inlineStr">
        <is>
          <t>Diamir</t>
        </is>
      </c>
      <c r="B320" s="14" t="inlineStr">
        <is>
          <t>Gilgit Baltistan</t>
        </is>
      </c>
      <c r="C320" s="14" t="n">
        <v>2025</v>
      </c>
      <c r="D320" s="15" t="n">
        <v>221.991676707372</v>
      </c>
      <c r="E320" s="15" t="n">
        <v>9278.38153077322</v>
      </c>
      <c r="F320" s="15" t="n">
        <v>764.715250040899</v>
      </c>
      <c r="G320" s="15" t="n">
        <v>65.88798819482329</v>
      </c>
      <c r="H320" s="15" t="n">
        <v>166.907767732376</v>
      </c>
      <c r="I320" s="16" t="n">
        <v>75.1864980741563</v>
      </c>
      <c r="J320" s="15" t="n">
        <v>18.6951585663352</v>
      </c>
      <c r="K320" s="15" t="n">
        <v>4215.4169667074</v>
      </c>
      <c r="L320" s="15" t="n">
        <v>231.054587483115</v>
      </c>
      <c r="M320" s="15" t="n">
        <v>-9.062910775743401</v>
      </c>
      <c r="N320" s="17" t="n">
        <v>4.06172679023558</v>
      </c>
      <c r="O320" s="18" t="n">
        <v>0.09635409313750851</v>
      </c>
    </row>
    <row r="321" ht="15" customHeight="1" s="12">
      <c r="A321" s="14" t="inlineStr">
        <is>
          <t>Duki</t>
        </is>
      </c>
      <c r="B321" s="14" t="inlineStr">
        <is>
          <t>Balochistan</t>
        </is>
      </c>
      <c r="C321" s="14" t="n">
        <v>2015</v>
      </c>
      <c r="D321" s="15" t="n">
        <v>174.573262336086</v>
      </c>
      <c r="E321" s="15" t="n">
        <v>7089.72825393139</v>
      </c>
      <c r="F321" s="15" t="n">
        <v>277.937962174416</v>
      </c>
      <c r="G321" s="15" t="n">
        <v>95.25918415188789</v>
      </c>
      <c r="H321" s="15" t="n">
        <v>64.0051277020318</v>
      </c>
      <c r="I321" s="16" t="n">
        <v>36.6637633080432</v>
      </c>
      <c r="J321" s="15" t="n">
        <v>17.0371765160294</v>
      </c>
      <c r="K321" s="15" t="n">
        <v>4341.23245297836</v>
      </c>
      <c r="L321" s="15" t="n">
        <v>183.175962555174</v>
      </c>
      <c r="M321" s="15" t="n">
        <v>-8.60270021908798</v>
      </c>
      <c r="N321" s="17" t="n">
        <v>0.602990432922363</v>
      </c>
      <c r="O321" s="18" t="n">
        <v>0.0138898444037171</v>
      </c>
    </row>
    <row r="322" ht="15" customHeight="1" s="12">
      <c r="A322" s="14" t="inlineStr">
        <is>
          <t>Duki</t>
        </is>
      </c>
      <c r="B322" s="14" t="inlineStr">
        <is>
          <t>Balochistan</t>
        </is>
      </c>
      <c r="C322" s="14" t="n">
        <v>2016</v>
      </c>
      <c r="D322" s="15" t="n">
        <v>179.249905171007</v>
      </c>
      <c r="E322" s="15" t="n">
        <v>7279.65497235668</v>
      </c>
      <c r="F322" s="15" t="n">
        <v>321.404309034348</v>
      </c>
      <c r="G322" s="15" t="n">
        <v>74.30616450309751</v>
      </c>
      <c r="H322" s="15" t="n">
        <v>82.46345745962419</v>
      </c>
      <c r="I322" s="16" t="n">
        <v>46.0047425860296</v>
      </c>
      <c r="J322" s="15" t="n">
        <v>21.3679026651217</v>
      </c>
      <c r="K322" s="15" t="n">
        <v>4341.23245297836</v>
      </c>
      <c r="L322" s="15" t="n">
        <v>183.175962555174</v>
      </c>
      <c r="M322" s="15" t="n">
        <v>-3.92605738416643</v>
      </c>
      <c r="N322" s="17" t="n">
        <v>2.186155730896</v>
      </c>
      <c r="O322" s="18" t="n">
        <v>0.050357951447547</v>
      </c>
    </row>
    <row r="323" ht="15" customHeight="1" s="12">
      <c r="A323" s="14" t="inlineStr">
        <is>
          <t>Duki</t>
        </is>
      </c>
      <c r="B323" s="14" t="inlineStr">
        <is>
          <t>Balochistan</t>
        </is>
      </c>
      <c r="C323" s="14" t="n">
        <v>2017</v>
      </c>
      <c r="D323" s="15" t="n">
        <v>145.423758142065</v>
      </c>
      <c r="E323" s="15" t="n">
        <v>5905.91544831068</v>
      </c>
      <c r="F323" s="15" t="n">
        <v>256.024978280067</v>
      </c>
      <c r="G323" s="15" t="n">
        <v>73.2439804673195</v>
      </c>
      <c r="H323" s="15" t="n">
        <v>64.0079628924139</v>
      </c>
      <c r="I323" s="16" t="n">
        <v>44.0147907812177</v>
      </c>
      <c r="J323" s="15" t="n">
        <v>21.5876786404017</v>
      </c>
      <c r="K323" s="15" t="n">
        <v>4341.23245297836</v>
      </c>
      <c r="L323" s="15" t="n">
        <v>183.175962555174</v>
      </c>
      <c r="M323" s="15" t="n">
        <v>-37.752204413109</v>
      </c>
      <c r="N323" s="17" t="n">
        <v>0.890237264282226</v>
      </c>
      <c r="O323" s="18" t="n">
        <v>0.0205065560051148</v>
      </c>
    </row>
    <row r="324" ht="15" customHeight="1" s="12">
      <c r="A324" s="14" t="inlineStr">
        <is>
          <t>Duki</t>
        </is>
      </c>
      <c r="B324" s="14" t="inlineStr">
        <is>
          <t>Balochistan</t>
        </is>
      </c>
      <c r="C324" s="14" t="n">
        <v>2018</v>
      </c>
      <c r="D324" s="15" t="n">
        <v>114.134628801608</v>
      </c>
      <c r="E324" s="15" t="n">
        <v>4635.20868968411</v>
      </c>
      <c r="F324" s="15" t="n">
        <v>216.538072109222</v>
      </c>
      <c r="G324" s="15" t="n">
        <v>42.0689253583551</v>
      </c>
      <c r="H324" s="15" t="n">
        <v>61.1795627928236</v>
      </c>
      <c r="I324" s="16" t="n">
        <v>53.6029804759499</v>
      </c>
      <c r="J324" s="15" t="n">
        <v>19.0371765160294</v>
      </c>
      <c r="K324" s="15" t="n">
        <v>4341.23245297836</v>
      </c>
      <c r="L324" s="15" t="n">
        <v>183.175962555174</v>
      </c>
      <c r="M324" s="15" t="n">
        <v>-69.04133375356621</v>
      </c>
      <c r="N324" s="17" t="n">
        <v>0.846166968078613</v>
      </c>
      <c r="O324" s="18" t="n">
        <v>0.019491399671494</v>
      </c>
    </row>
    <row r="325" ht="15" customHeight="1" s="12">
      <c r="A325" s="14" t="inlineStr">
        <is>
          <t>Duki</t>
        </is>
      </c>
      <c r="B325" s="14" t="inlineStr">
        <is>
          <t>Balochistan</t>
        </is>
      </c>
      <c r="C325" s="14" t="n">
        <v>2019</v>
      </c>
      <c r="D325" s="15" t="n">
        <v>145.922919607947</v>
      </c>
      <c r="E325" s="15" t="n">
        <v>5926.18727631332</v>
      </c>
      <c r="F325" s="15" t="n">
        <v>244.491236925125</v>
      </c>
      <c r="G325" s="15" t="n">
        <v>65.59340160340069</v>
      </c>
      <c r="H325" s="15" t="n">
        <v>59.381580671249</v>
      </c>
      <c r="I325" s="16" t="n">
        <v>40.6937997339899</v>
      </c>
      <c r="J325" s="15" t="n">
        <v>22.7302047122441</v>
      </c>
      <c r="K325" s="15" t="n">
        <v>4341.23245297836</v>
      </c>
      <c r="L325" s="15" t="n">
        <v>183.175962555174</v>
      </c>
      <c r="M325" s="15" t="n">
        <v>-37.253042947227</v>
      </c>
      <c r="N325" s="17" t="n">
        <v>0.915810237426758</v>
      </c>
      <c r="O325" s="18" t="n">
        <v>0.0210956277358162</v>
      </c>
    </row>
    <row r="326" ht="15" customHeight="1" s="12">
      <c r="A326" s="14" t="inlineStr">
        <is>
          <t>Duki</t>
        </is>
      </c>
      <c r="B326" s="14" t="inlineStr">
        <is>
          <t>Balochistan</t>
        </is>
      </c>
      <c r="C326" s="14" t="n">
        <v>2020</v>
      </c>
      <c r="D326" s="15" t="n">
        <v>132.449222526255</v>
      </c>
      <c r="E326" s="15" t="n">
        <v>5378.99666071331</v>
      </c>
      <c r="F326" s="15" t="n">
        <v>199.299917035356</v>
      </c>
      <c r="G326" s="15" t="n">
        <v>85.3956906147714</v>
      </c>
      <c r="H326" s="15" t="n">
        <v>32.4397197008999</v>
      </c>
      <c r="I326" s="16" t="n">
        <v>24.4921933720446</v>
      </c>
      <c r="J326" s="15" t="n">
        <v>21.4351100811124</v>
      </c>
      <c r="K326" s="15" t="n">
        <v>4341.23245297836</v>
      </c>
      <c r="L326" s="15" t="n">
        <v>183.175962555174</v>
      </c>
      <c r="M326" s="15" t="n">
        <v>-50.7267400289191</v>
      </c>
      <c r="N326" s="17" t="n">
        <v>0.726508172302246</v>
      </c>
      <c r="O326" s="18" t="n">
        <v>0.0167350672918658</v>
      </c>
    </row>
    <row r="327" ht="15" customHeight="1" s="12">
      <c r="A327" s="14" t="inlineStr">
        <is>
          <t>Duki</t>
        </is>
      </c>
      <c r="B327" s="14" t="inlineStr">
        <is>
          <t>Balochistan</t>
        </is>
      </c>
      <c r="C327" s="14" t="n">
        <v>2021</v>
      </c>
      <c r="D327" s="15" t="n">
        <v>142.549043425495</v>
      </c>
      <c r="E327" s="15" t="n">
        <v>5789.16821064481</v>
      </c>
      <c r="F327" s="15" t="n">
        <v>217.382174134255</v>
      </c>
      <c r="G327" s="15" t="n">
        <v>79.3597900271416</v>
      </c>
      <c r="H327" s="15" t="n">
        <v>44.2550959519745</v>
      </c>
      <c r="I327" s="16" t="n">
        <v>31.0455229221548</v>
      </c>
      <c r="J327" s="15" t="n">
        <v>19.6777713402858</v>
      </c>
      <c r="K327" s="15" t="n">
        <v>4341.23245297836</v>
      </c>
      <c r="L327" s="15" t="n">
        <v>183.175962555174</v>
      </c>
      <c r="M327" s="15" t="n">
        <v>-40.6269191296787</v>
      </c>
      <c r="N327" s="17" t="n">
        <v>1.20709930700684</v>
      </c>
      <c r="O327" s="18" t="n">
        <v>0.0278054520250048</v>
      </c>
    </row>
    <row r="328" ht="15" customHeight="1" s="12">
      <c r="A328" s="14" t="inlineStr">
        <is>
          <t>Duki</t>
        </is>
      </c>
      <c r="B328" s="14" t="inlineStr">
        <is>
          <t>Balochistan</t>
        </is>
      </c>
      <c r="C328" s="14" t="n">
        <v>2022</v>
      </c>
      <c r="D328" s="15" t="n">
        <v>360.622422982678</v>
      </c>
      <c r="E328" s="15" t="n">
        <v>14645.5129898377</v>
      </c>
      <c r="F328" s="15" t="n">
        <v>523.578085382722</v>
      </c>
      <c r="G328" s="15" t="n">
        <v>233.237993214279</v>
      </c>
      <c r="H328" s="15" t="n">
        <v>81.1494709093358</v>
      </c>
      <c r="I328" s="16" t="n">
        <v>22.5026137415847</v>
      </c>
      <c r="J328" s="15" t="n">
        <v>36.952201622248</v>
      </c>
      <c r="K328" s="15" t="n">
        <v>4341.23245297836</v>
      </c>
      <c r="L328" s="15" t="n">
        <v>183.175962555174</v>
      </c>
      <c r="M328" s="15" t="n">
        <v>177.446460427504</v>
      </c>
      <c r="N328" s="17" t="n">
        <v>2.58508214953613</v>
      </c>
      <c r="O328" s="18" t="n">
        <v>0.0595471948930678</v>
      </c>
    </row>
    <row r="329" ht="15" customHeight="1" s="12">
      <c r="A329" s="14" t="inlineStr">
        <is>
          <t>Duki</t>
        </is>
      </c>
      <c r="B329" s="14" t="inlineStr">
        <is>
          <t>Balochistan</t>
        </is>
      </c>
      <c r="C329" s="14" t="n">
        <v>2023</v>
      </c>
      <c r="D329" s="15" t="n">
        <v>166.918696594296</v>
      </c>
      <c r="E329" s="15" t="n">
        <v>6778.86283110012</v>
      </c>
      <c r="F329" s="15" t="n">
        <v>312.531356573105</v>
      </c>
      <c r="G329" s="15" t="n">
        <v>74.78253883123401</v>
      </c>
      <c r="H329" s="15" t="n">
        <v>76.5615250107866</v>
      </c>
      <c r="I329" s="16" t="n">
        <v>45.867555027028</v>
      </c>
      <c r="J329" s="15" t="n">
        <v>20.62224797219</v>
      </c>
      <c r="K329" s="15" t="n">
        <v>4341.23245297836</v>
      </c>
      <c r="L329" s="15" t="n">
        <v>183.175962555174</v>
      </c>
      <c r="M329" s="15" t="n">
        <v>-16.2572659608777</v>
      </c>
      <c r="N329" s="17" t="n">
        <v>0.461066472045898</v>
      </c>
      <c r="O329" s="18" t="n">
        <v>0.0106206354310647</v>
      </c>
    </row>
    <row r="330" ht="15" customHeight="1" s="12">
      <c r="A330" s="14" t="inlineStr">
        <is>
          <t>Duki</t>
        </is>
      </c>
      <c r="B330" s="14" t="inlineStr">
        <is>
          <t>Balochistan</t>
        </is>
      </c>
      <c r="C330" s="14" t="n">
        <v>2024</v>
      </c>
      <c r="D330" s="15" t="n">
        <v>262.090296667776</v>
      </c>
      <c r="E330" s="15" t="n">
        <v>10643.9494599666</v>
      </c>
      <c r="F330" s="15" t="n">
        <v>364.584509329743</v>
      </c>
      <c r="G330" s="15" t="n">
        <v>173.479703329129</v>
      </c>
      <c r="H330" s="15" t="n">
        <v>58.0642383788211</v>
      </c>
      <c r="I330" s="16" t="n">
        <v>22.1542877081111</v>
      </c>
      <c r="J330" s="15" t="n">
        <v>34.5489571263036</v>
      </c>
      <c r="K330" s="15" t="n">
        <v>4341.23245297836</v>
      </c>
      <c r="L330" s="15" t="n">
        <v>183.175962555174</v>
      </c>
      <c r="M330" s="15" t="n">
        <v>78.9143341126026</v>
      </c>
      <c r="N330" s="17" t="n">
        <v>0.476640554321289</v>
      </c>
      <c r="O330" s="18" t="n">
        <v>0.010979383377508</v>
      </c>
    </row>
    <row r="331" ht="15" customHeight="1" s="12">
      <c r="A331" s="14" t="inlineStr">
        <is>
          <t>Duki</t>
        </is>
      </c>
      <c r="B331" s="14" t="inlineStr">
        <is>
          <t>Balochistan</t>
        </is>
      </c>
      <c r="C331" s="14" t="n">
        <v>2025</v>
      </c>
      <c r="D331" s="15" t="n">
        <v>191.001431851699</v>
      </c>
      <c r="E331" s="15" t="n">
        <v>7756.90520884783</v>
      </c>
      <c r="F331" s="15" t="n">
        <v>290.259778951644</v>
      </c>
      <c r="G331" s="15" t="n">
        <v>102.067242824938</v>
      </c>
      <c r="H331" s="15" t="n">
        <v>62.3579052729955</v>
      </c>
      <c r="I331" s="16" t="n">
        <v>32.6478731957426</v>
      </c>
      <c r="J331" s="15" t="n">
        <v>24.5768636539204</v>
      </c>
      <c r="K331" s="15" t="n">
        <v>4341.23245297836</v>
      </c>
      <c r="L331" s="15" t="n">
        <v>183.175962555174</v>
      </c>
      <c r="M331" s="15" t="n">
        <v>7.82546929652534</v>
      </c>
      <c r="N331" s="17" t="n">
        <v>0.448610091430664</v>
      </c>
      <c r="O331" s="18" t="n">
        <v>0.0103337035344166</v>
      </c>
    </row>
    <row r="332" ht="15" customHeight="1" s="12">
      <c r="A332" s="14" t="inlineStr">
        <is>
          <t>East Karachi</t>
        </is>
      </c>
      <c r="B332" s="14" t="inlineStr">
        <is>
          <t>Sindh</t>
        </is>
      </c>
      <c r="C332" s="14" t="n">
        <v>2015</v>
      </c>
      <c r="D332" s="15" t="n">
        <v>137.827080740408</v>
      </c>
      <c r="E332" s="15" t="n">
        <v>252.412732179492</v>
      </c>
      <c r="F332" s="15" t="n">
        <v>150.843888163567</v>
      </c>
      <c r="G332" s="15" t="n">
        <v>125.811366975308</v>
      </c>
      <c r="H332" s="15" t="n">
        <v>7.82729130316124</v>
      </c>
      <c r="I332" s="16" t="n">
        <v>5.67906630620991</v>
      </c>
      <c r="J332" s="15" t="n">
        <v>9.38972162740899</v>
      </c>
      <c r="K332" s="15" t="n">
        <v>203.347859426352</v>
      </c>
      <c r="L332" s="15" t="n">
        <v>244.989571460445</v>
      </c>
      <c r="M332" s="15" t="n">
        <v>-107.162490720037</v>
      </c>
      <c r="N332" s="17" t="n">
        <v>0.00888493046875</v>
      </c>
      <c r="O332" s="18" t="n">
        <v>0.00436932579168257</v>
      </c>
    </row>
    <row r="333" ht="15" customHeight="1" s="12">
      <c r="A333" s="14" t="inlineStr">
        <is>
          <t>East Karachi</t>
        </is>
      </c>
      <c r="B333" s="14" t="inlineStr">
        <is>
          <t>Sindh</t>
        </is>
      </c>
      <c r="C333" s="14" t="n">
        <v>2016</v>
      </c>
      <c r="D333" s="15" t="n">
        <v>164.12023461835</v>
      </c>
      <c r="E333" s="15" t="n">
        <v>300.565292418704</v>
      </c>
      <c r="F333" s="15" t="n">
        <v>170.769127249718</v>
      </c>
      <c r="G333" s="15" t="n">
        <v>156.50694835186</v>
      </c>
      <c r="H333" s="15" t="n">
        <v>4.21260410005859</v>
      </c>
      <c r="I333" s="16" t="n">
        <v>2.56677923344108</v>
      </c>
      <c r="J333" s="15" t="n">
        <v>15.0578158458244</v>
      </c>
      <c r="K333" s="15" t="n">
        <v>203.347859426352</v>
      </c>
      <c r="L333" s="15" t="n">
        <v>244.989571460445</v>
      </c>
      <c r="M333" s="15" t="n">
        <v>-80.8693368420948</v>
      </c>
      <c r="N333" s="17" t="n">
        <v>0.0170598047485351</v>
      </c>
      <c r="O333" s="18" t="n">
        <v>0.00838946856714457</v>
      </c>
    </row>
    <row r="334" ht="15" customHeight="1" s="12">
      <c r="A334" s="14" t="inlineStr">
        <is>
          <t>East Karachi</t>
        </is>
      </c>
      <c r="B334" s="14" t="inlineStr">
        <is>
          <t>Sindh</t>
        </is>
      </c>
      <c r="C334" s="14" t="n">
        <v>2017</v>
      </c>
      <c r="D334" s="15" t="n">
        <v>244.635109738824</v>
      </c>
      <c r="E334" s="15" t="n">
        <v>448.018024502081</v>
      </c>
      <c r="F334" s="15" t="n">
        <v>250.203783988953</v>
      </c>
      <c r="G334" s="15" t="n">
        <v>236.202438235283</v>
      </c>
      <c r="H334" s="15" t="n">
        <v>4.8797567718624</v>
      </c>
      <c r="I334" s="16" t="n">
        <v>1.99470827268911</v>
      </c>
      <c r="J334" s="15" t="n">
        <v>22.7044967880086</v>
      </c>
      <c r="K334" s="15" t="n">
        <v>203.347859426352</v>
      </c>
      <c r="L334" s="15" t="n">
        <v>244.989571460445</v>
      </c>
      <c r="M334" s="15" t="n">
        <v>-0.354461721621448</v>
      </c>
      <c r="N334" s="17" t="n">
        <v>0.0105598073730468</v>
      </c>
      <c r="O334" s="18" t="n">
        <v>0.00519297690314332</v>
      </c>
    </row>
    <row r="335" ht="15" customHeight="1" s="12">
      <c r="A335" s="14" t="inlineStr">
        <is>
          <t>East Karachi</t>
        </is>
      </c>
      <c r="B335" s="14" t="inlineStr">
        <is>
          <t>Sindh</t>
        </is>
      </c>
      <c r="C335" s="14" t="n">
        <v>2018</v>
      </c>
      <c r="D335" s="15" t="n">
        <v>44.2050808060414</v>
      </c>
      <c r="E335" s="15" t="n">
        <v>80.9559715153777</v>
      </c>
      <c r="F335" s="15" t="n">
        <v>45.5282111326233</v>
      </c>
      <c r="G335" s="15" t="n">
        <v>40.8760134582408</v>
      </c>
      <c r="H335" s="15" t="n">
        <v>1.51445486082097</v>
      </c>
      <c r="I335" s="16" t="n">
        <v>3.42597464636688</v>
      </c>
      <c r="J335" s="15" t="n">
        <v>7.62955032119914</v>
      </c>
      <c r="K335" s="15" t="n">
        <v>203.347859426352</v>
      </c>
      <c r="L335" s="15" t="n">
        <v>244.989571460445</v>
      </c>
      <c r="M335" s="15" t="n">
        <v>-200.784490654404</v>
      </c>
      <c r="N335" s="17" t="n">
        <v>0.0040636063842773</v>
      </c>
      <c r="O335" s="18" t="n">
        <v>0.00199835218120359</v>
      </c>
    </row>
    <row r="336" ht="15" customHeight="1" s="12">
      <c r="A336" s="14" t="inlineStr">
        <is>
          <t>East Karachi</t>
        </is>
      </c>
      <c r="B336" s="14" t="inlineStr">
        <is>
          <t>Sindh</t>
        </is>
      </c>
      <c r="C336" s="14" t="n">
        <v>2019</v>
      </c>
      <c r="D336" s="15" t="n">
        <v>357.044327975167</v>
      </c>
      <c r="E336" s="15" t="n">
        <v>653.881181036875</v>
      </c>
      <c r="F336" s="15" t="n">
        <v>372.558542312661</v>
      </c>
      <c r="G336" s="15" t="n">
        <v>342.039628156475</v>
      </c>
      <c r="H336" s="15" t="n">
        <v>9.0732503304621</v>
      </c>
      <c r="I336" s="16" t="n">
        <v>2.54121116610853</v>
      </c>
      <c r="J336" s="15" t="n">
        <v>21.3190578158458</v>
      </c>
      <c r="K336" s="15" t="n">
        <v>203.347859426352</v>
      </c>
      <c r="L336" s="15" t="n">
        <v>244.989571460445</v>
      </c>
      <c r="M336" s="15" t="n">
        <v>112.054756514722</v>
      </c>
      <c r="N336" s="17" t="n">
        <v>0.0276210894165039</v>
      </c>
      <c r="O336" s="18" t="n">
        <v>0.0135831719568741</v>
      </c>
    </row>
    <row r="337" ht="15" customHeight="1" s="12">
      <c r="A337" s="14" t="inlineStr">
        <is>
          <t>East Karachi</t>
        </is>
      </c>
      <c r="B337" s="14" t="inlineStr">
        <is>
          <t>Sindh</t>
        </is>
      </c>
      <c r="C337" s="14" t="n">
        <v>2020</v>
      </c>
      <c r="D337" s="15" t="n">
        <v>414.258497597997</v>
      </c>
      <c r="E337" s="15" t="n">
        <v>758.661640699077</v>
      </c>
      <c r="F337" s="15" t="n">
        <v>420.374977114691</v>
      </c>
      <c r="G337" s="15" t="n">
        <v>394.961280603568</v>
      </c>
      <c r="H337" s="15" t="n">
        <v>8.592541166286541</v>
      </c>
      <c r="I337" s="16" t="n">
        <v>2.07419792620039</v>
      </c>
      <c r="J337" s="15" t="n">
        <v>31.5182012847966</v>
      </c>
      <c r="K337" s="15" t="n">
        <v>203.347859426352</v>
      </c>
      <c r="L337" s="15" t="n">
        <v>244.989571460445</v>
      </c>
      <c r="M337" s="15" t="n">
        <v>169.268926137552</v>
      </c>
      <c r="N337" s="17" t="n">
        <v>0.0178251248046875</v>
      </c>
      <c r="O337" s="18" t="n">
        <v>0.00876582859292078</v>
      </c>
    </row>
    <row r="338" ht="15" customHeight="1" s="12">
      <c r="A338" s="14" t="inlineStr">
        <is>
          <t>East Karachi</t>
        </is>
      </c>
      <c r="B338" s="14" t="inlineStr">
        <is>
          <t>Sindh</t>
        </is>
      </c>
      <c r="C338" s="14" t="n">
        <v>2021</v>
      </c>
      <c r="D338" s="15" t="n">
        <v>158.349337864292</v>
      </c>
      <c r="E338" s="15" t="n">
        <v>289.996630520096</v>
      </c>
      <c r="F338" s="15" t="n">
        <v>166.823251366615</v>
      </c>
      <c r="G338" s="15" t="n">
        <v>148.548154950142</v>
      </c>
      <c r="H338" s="15" t="n">
        <v>6.61572979814742</v>
      </c>
      <c r="I338" s="16" t="n">
        <v>4.17793335126996</v>
      </c>
      <c r="J338" s="15" t="n">
        <v>21.7408993576017</v>
      </c>
      <c r="K338" s="15" t="n">
        <v>203.347859426352</v>
      </c>
      <c r="L338" s="15" t="n">
        <v>244.989571460445</v>
      </c>
      <c r="M338" s="15" t="n">
        <v>-86.6402335961529</v>
      </c>
      <c r="N338" s="17" t="n">
        <v>0.0040642841796875</v>
      </c>
      <c r="O338" s="18" t="n">
        <v>0.00199868549939642</v>
      </c>
    </row>
    <row r="339" ht="15" customHeight="1" s="12">
      <c r="A339" s="14" t="inlineStr">
        <is>
          <t>East Karachi</t>
        </is>
      </c>
      <c r="B339" s="14" t="inlineStr">
        <is>
          <t>Sindh</t>
        </is>
      </c>
      <c r="C339" s="14" t="n">
        <v>2022</v>
      </c>
      <c r="D339" s="15" t="n">
        <v>565.869755425046</v>
      </c>
      <c r="E339" s="15" t="n">
        <v>1036.31833640587</v>
      </c>
      <c r="F339" s="15" t="n">
        <v>575.385523432093</v>
      </c>
      <c r="G339" s="15" t="n">
        <v>545.156739628037</v>
      </c>
      <c r="H339" s="15" t="n">
        <v>9.33927180365267</v>
      </c>
      <c r="I339" s="16" t="n">
        <v>1.65042780854008</v>
      </c>
      <c r="J339" s="15" t="n">
        <v>36.0599571734475</v>
      </c>
      <c r="K339" s="15" t="n">
        <v>203.347859426352</v>
      </c>
      <c r="L339" s="15" t="n">
        <v>244.989571460445</v>
      </c>
      <c r="M339" s="15" t="n">
        <v>320.880183964601</v>
      </c>
      <c r="N339" s="17" t="n">
        <v>0.0178783457641601</v>
      </c>
      <c r="O339" s="18" t="n">
        <v>0.00879200096553525</v>
      </c>
    </row>
    <row r="340" ht="15" customHeight="1" s="12">
      <c r="A340" s="14" t="inlineStr">
        <is>
          <t>East Karachi</t>
        </is>
      </c>
      <c r="B340" s="14" t="inlineStr">
        <is>
          <t>Sindh</t>
        </is>
      </c>
      <c r="C340" s="14" t="n">
        <v>2023</v>
      </c>
      <c r="D340" s="15" t="n">
        <v>147.656807279944</v>
      </c>
      <c r="E340" s="15" t="n">
        <v>270.414623528368</v>
      </c>
      <c r="F340" s="15" t="n">
        <v>159.500769019127</v>
      </c>
      <c r="G340" s="15" t="n">
        <v>132.563210427761</v>
      </c>
      <c r="H340" s="15" t="n">
        <v>8.54231210902004</v>
      </c>
      <c r="I340" s="16" t="n">
        <v>5.78524774196464</v>
      </c>
      <c r="J340" s="15" t="n">
        <v>16.6959314775161</v>
      </c>
      <c r="K340" s="15" t="n">
        <v>203.347859426352</v>
      </c>
      <c r="L340" s="15" t="n">
        <v>244.989571460445</v>
      </c>
      <c r="M340" s="15" t="n">
        <v>-97.332764180501</v>
      </c>
      <c r="N340" s="17" t="n">
        <v>0.008936641235351501</v>
      </c>
      <c r="O340" s="18" t="n">
        <v>0.0043947554995474</v>
      </c>
    </row>
    <row r="341" ht="15" customHeight="1" s="12">
      <c r="A341" s="14" t="inlineStr">
        <is>
          <t>East Karachi</t>
        </is>
      </c>
      <c r="B341" s="14" t="inlineStr">
        <is>
          <t>Sindh</t>
        </is>
      </c>
      <c r="C341" s="14" t="n">
        <v>2024</v>
      </c>
      <c r="D341" s="15" t="n">
        <v>243.115363421757</v>
      </c>
      <c r="E341" s="15" t="n">
        <v>445.234802815532</v>
      </c>
      <c r="F341" s="15" t="n">
        <v>247.120842015938</v>
      </c>
      <c r="G341" s="15" t="n">
        <v>233.171612150036</v>
      </c>
      <c r="H341" s="15" t="n">
        <v>5.60058035235864</v>
      </c>
      <c r="I341" s="16" t="n">
        <v>2.30367191671171</v>
      </c>
      <c r="J341" s="15" t="n">
        <v>25.2398286937902</v>
      </c>
      <c r="K341" s="15" t="n">
        <v>203.347859426352</v>
      </c>
      <c r="L341" s="15" t="n">
        <v>244.989571460445</v>
      </c>
      <c r="M341" s="15" t="n">
        <v>-1.8742080386881</v>
      </c>
      <c r="N341" s="17" t="n">
        <v>0.0040626779785156</v>
      </c>
      <c r="O341" s="18" t="n">
        <v>0.00199789562082261</v>
      </c>
    </row>
    <row r="342" ht="15" customHeight="1" s="12">
      <c r="A342" s="14" t="inlineStr">
        <is>
          <t>East Karachi</t>
        </is>
      </c>
      <c r="B342" s="14" t="inlineStr">
        <is>
          <t>Sindh</t>
        </is>
      </c>
      <c r="C342" s="14" t="n">
        <v>2025</v>
      </c>
      <c r="D342" s="15" t="n">
        <v>217.80369059707</v>
      </c>
      <c r="E342" s="15" t="n">
        <v>398.879700034634</v>
      </c>
      <c r="F342" s="15" t="n">
        <v>222.291159636578</v>
      </c>
      <c r="G342" s="15" t="n">
        <v>202.312331183057</v>
      </c>
      <c r="H342" s="15" t="n">
        <v>6.31945155257073</v>
      </c>
      <c r="I342" s="16" t="n">
        <v>2.90144374287097</v>
      </c>
      <c r="J342" s="15" t="n">
        <v>17.2419700214133</v>
      </c>
      <c r="K342" s="15" t="n">
        <v>203.347859426352</v>
      </c>
      <c r="L342" s="15" t="n">
        <v>244.989571460445</v>
      </c>
      <c r="M342" s="15" t="n">
        <v>-27.1858808633753</v>
      </c>
      <c r="N342" s="17" t="n">
        <v>0.0113774144287109</v>
      </c>
      <c r="O342" s="18" t="n">
        <v>0.00559505000977478</v>
      </c>
    </row>
    <row r="343" ht="15" customHeight="1" s="12">
      <c r="A343" s="14" t="inlineStr">
        <is>
          <t>Faisalabad</t>
        </is>
      </c>
      <c r="B343" s="14" t="inlineStr">
        <is>
          <t>Punjab</t>
        </is>
      </c>
      <c r="C343" s="14" t="n">
        <v>2015</v>
      </c>
      <c r="D343" s="15" t="n">
        <v>271.47679937851</v>
      </c>
      <c r="E343" s="15" t="n">
        <v>15260.1899697708</v>
      </c>
      <c r="F343" s="15" t="n">
        <v>345.022241055965</v>
      </c>
      <c r="G343" s="15" t="n">
        <v>216.067630648613</v>
      </c>
      <c r="H343" s="15" t="n">
        <v>27.8230958575854</v>
      </c>
      <c r="I343" s="16" t="n">
        <v>10.2487932380523</v>
      </c>
      <c r="J343" s="15" t="n">
        <v>28.4952560346031</v>
      </c>
      <c r="K343" s="15" t="n">
        <v>5952.6440657997</v>
      </c>
      <c r="L343" s="15" t="n">
        <v>318.684112207219</v>
      </c>
      <c r="M343" s="15" t="n">
        <v>-47.2073128287092</v>
      </c>
      <c r="N343" s="17" t="n">
        <v>10.4205635427727</v>
      </c>
      <c r="O343" s="18" t="n">
        <v>0.175057729432253</v>
      </c>
    </row>
    <row r="344" ht="15" customHeight="1" s="12">
      <c r="A344" s="14" t="inlineStr">
        <is>
          <t>Faisalabad</t>
        </is>
      </c>
      <c r="B344" s="14" t="inlineStr">
        <is>
          <t>Punjab</t>
        </is>
      </c>
      <c r="C344" s="14" t="n">
        <v>2016</v>
      </c>
      <c r="D344" s="15" t="n">
        <v>251.030236445408</v>
      </c>
      <c r="E344" s="15" t="n">
        <v>14110.8525851313</v>
      </c>
      <c r="F344" s="15" t="n">
        <v>343.932683348656</v>
      </c>
      <c r="G344" s="15" t="n">
        <v>144.769814789295</v>
      </c>
      <c r="H344" s="15" t="n">
        <v>43.7796205590571</v>
      </c>
      <c r="I344" s="16" t="n">
        <v>17.4399790156665</v>
      </c>
      <c r="J344" s="15" t="n">
        <v>20.4988837728478</v>
      </c>
      <c r="K344" s="15" t="n">
        <v>5952.6440657997</v>
      </c>
      <c r="L344" s="15" t="n">
        <v>318.684112207219</v>
      </c>
      <c r="M344" s="15" t="n">
        <v>-67.65387576181099</v>
      </c>
      <c r="N344" s="17" t="n">
        <v>16.6330906817565</v>
      </c>
      <c r="O344" s="18" t="n">
        <v>0.279423572078166</v>
      </c>
    </row>
    <row r="345" ht="15" customHeight="1" s="12">
      <c r="A345" s="14" t="inlineStr">
        <is>
          <t>Faisalabad</t>
        </is>
      </c>
      <c r="B345" s="14" t="inlineStr">
        <is>
          <t>Punjab</t>
        </is>
      </c>
      <c r="C345" s="14" t="n">
        <v>2017</v>
      </c>
      <c r="D345" s="15" t="n">
        <v>244.078928476387</v>
      </c>
      <c r="E345" s="15" t="n">
        <v>13720.1072971786</v>
      </c>
      <c r="F345" s="15" t="n">
        <v>300.507112145424</v>
      </c>
      <c r="G345" s="15" t="n">
        <v>142.728064894676</v>
      </c>
      <c r="H345" s="15" t="n">
        <v>27.9645061190807</v>
      </c>
      <c r="I345" s="16" t="n">
        <v>11.4571570326219</v>
      </c>
      <c r="J345" s="15" t="n">
        <v>21.8689828380075</v>
      </c>
      <c r="K345" s="15" t="n">
        <v>5952.6440657997</v>
      </c>
      <c r="L345" s="15" t="n">
        <v>318.684112207219</v>
      </c>
      <c r="M345" s="15" t="n">
        <v>-74.6051837308314</v>
      </c>
      <c r="N345" s="17" t="n">
        <v>8.73533094836997</v>
      </c>
      <c r="O345" s="18" t="n">
        <v>0.14674707326376</v>
      </c>
    </row>
    <row r="346" ht="15" customHeight="1" s="12">
      <c r="A346" s="14" t="inlineStr">
        <is>
          <t>Faisalabad</t>
        </is>
      </c>
      <c r="B346" s="14" t="inlineStr">
        <is>
          <t>Punjab</t>
        </is>
      </c>
      <c r="C346" s="14" t="n">
        <v>2018</v>
      </c>
      <c r="D346" s="15" t="n">
        <v>268.440119012005</v>
      </c>
      <c r="E346" s="15" t="n">
        <v>15089.4928075219</v>
      </c>
      <c r="F346" s="15" t="n">
        <v>367.449573013932</v>
      </c>
      <c r="G346" s="15" t="n">
        <v>111.322497626767</v>
      </c>
      <c r="H346" s="15" t="n">
        <v>54.2644223453137</v>
      </c>
      <c r="I346" s="16" t="n">
        <v>20.2147214600538</v>
      </c>
      <c r="J346" s="15" t="n">
        <v>19.6324822101298</v>
      </c>
      <c r="K346" s="15" t="n">
        <v>5952.6440657997</v>
      </c>
      <c r="L346" s="15" t="n">
        <v>318.684112207219</v>
      </c>
      <c r="M346" s="15" t="n">
        <v>-50.2439931952138</v>
      </c>
      <c r="N346" s="17" t="n">
        <v>11.3874870215535</v>
      </c>
      <c r="O346" s="18" t="n">
        <v>0.191301325859196</v>
      </c>
    </row>
    <row r="347" ht="15" customHeight="1" s="12">
      <c r="A347" s="14" t="inlineStr">
        <is>
          <t>Faisalabad</t>
        </is>
      </c>
      <c r="B347" s="14" t="inlineStr">
        <is>
          <t>Punjab</t>
        </is>
      </c>
      <c r="C347" s="14" t="n">
        <v>2019</v>
      </c>
      <c r="D347" s="15" t="n">
        <v>249.164639145191</v>
      </c>
      <c r="E347" s="15" t="n">
        <v>14005.9840686556</v>
      </c>
      <c r="F347" s="15" t="n">
        <v>316.069984912872</v>
      </c>
      <c r="G347" s="15" t="n">
        <v>148.971916608512</v>
      </c>
      <c r="H347" s="15" t="n">
        <v>30.8991497015095</v>
      </c>
      <c r="I347" s="16" t="n">
        <v>12.4010974460562</v>
      </c>
      <c r="J347" s="15" t="n">
        <v>20.8494488628436</v>
      </c>
      <c r="K347" s="15" t="n">
        <v>5952.6440657997</v>
      </c>
      <c r="L347" s="15" t="n">
        <v>318.684112207219</v>
      </c>
      <c r="M347" s="15" t="n">
        <v>-69.5194730620275</v>
      </c>
      <c r="N347" s="17" t="n">
        <v>8.52495445442038</v>
      </c>
      <c r="O347" s="18" t="n">
        <v>0.143212904386466</v>
      </c>
    </row>
    <row r="348" ht="15" customHeight="1" s="12">
      <c r="A348" s="14" t="inlineStr">
        <is>
          <t>Faisalabad</t>
        </is>
      </c>
      <c r="B348" s="14" t="inlineStr">
        <is>
          <t>Punjab</t>
        </is>
      </c>
      <c r="C348" s="14" t="n">
        <v>2020</v>
      </c>
      <c r="D348" s="15" t="n">
        <v>405.611218175745</v>
      </c>
      <c r="E348" s="15" t="n">
        <v>22800.1223581613</v>
      </c>
      <c r="F348" s="15" t="n">
        <v>483.948923349904</v>
      </c>
      <c r="G348" s="15" t="n">
        <v>205.721088855296</v>
      </c>
      <c r="H348" s="15" t="n">
        <v>56.1457251347651</v>
      </c>
      <c r="I348" s="16" t="n">
        <v>13.8422515499653</v>
      </c>
      <c r="J348" s="15" t="n">
        <v>26.6656899679085</v>
      </c>
      <c r="K348" s="15" t="n">
        <v>5952.6440657997</v>
      </c>
      <c r="L348" s="15" t="n">
        <v>318.684112207219</v>
      </c>
      <c r="M348" s="15" t="n">
        <v>86.9271059685266</v>
      </c>
      <c r="N348" s="17" t="n">
        <v>15.422521564563</v>
      </c>
      <c r="O348" s="18" t="n">
        <v>0.259086909851901</v>
      </c>
    </row>
    <row r="349" ht="15" customHeight="1" s="12">
      <c r="A349" s="14" t="inlineStr">
        <is>
          <t>Faisalabad</t>
        </is>
      </c>
      <c r="B349" s="14" t="inlineStr">
        <is>
          <t>Punjab</t>
        </is>
      </c>
      <c r="C349" s="14" t="n">
        <v>2021</v>
      </c>
      <c r="D349" s="15" t="n">
        <v>307.237075700131</v>
      </c>
      <c r="E349" s="15" t="n">
        <v>17270.3382081792</v>
      </c>
      <c r="F349" s="15" t="n">
        <v>444.726557254791</v>
      </c>
      <c r="G349" s="15" t="n">
        <v>111.575247943401</v>
      </c>
      <c r="H349" s="15" t="n">
        <v>74.4970288388059</v>
      </c>
      <c r="I349" s="16" t="n">
        <v>24.2474085098754</v>
      </c>
      <c r="J349" s="15" t="n">
        <v>19.4268871215292</v>
      </c>
      <c r="K349" s="15" t="n">
        <v>5952.6440657997</v>
      </c>
      <c r="L349" s="15" t="n">
        <v>318.684112207219</v>
      </c>
      <c r="M349" s="15" t="n">
        <v>-11.4470365070875</v>
      </c>
      <c r="N349" s="17" t="n">
        <v>11.1653262154704</v>
      </c>
      <c r="O349" s="18" t="n">
        <v>0.187569189288834</v>
      </c>
    </row>
    <row r="350" ht="15" customHeight="1" s="12">
      <c r="A350" s="14" t="inlineStr">
        <is>
          <t>Faisalabad</t>
        </is>
      </c>
      <c r="B350" s="14" t="inlineStr">
        <is>
          <t>Punjab</t>
        </is>
      </c>
      <c r="C350" s="14" t="n">
        <v>2022</v>
      </c>
      <c r="D350" s="15" t="n">
        <v>339.928425595809</v>
      </c>
      <c r="E350" s="15" t="n">
        <v>19107.9766764326</v>
      </c>
      <c r="F350" s="15" t="n">
        <v>444.506254449487</v>
      </c>
      <c r="G350" s="15" t="n">
        <v>203.72331249707</v>
      </c>
      <c r="H350" s="15" t="n">
        <v>51.202180114465</v>
      </c>
      <c r="I350" s="16" t="n">
        <v>15.0626356194603</v>
      </c>
      <c r="J350" s="15" t="n">
        <v>23.6192967768941</v>
      </c>
      <c r="K350" s="15" t="n">
        <v>5952.6440657997</v>
      </c>
      <c r="L350" s="15" t="n">
        <v>318.684112207219</v>
      </c>
      <c r="M350" s="15" t="n">
        <v>21.2443133885899</v>
      </c>
      <c r="N350" s="17" t="n">
        <v>14.7026057061554</v>
      </c>
      <c r="O350" s="18" t="n">
        <v>0.246992858024684</v>
      </c>
    </row>
    <row r="351" ht="15" customHeight="1" s="12">
      <c r="A351" s="14" t="inlineStr">
        <is>
          <t>Faisalabad</t>
        </is>
      </c>
      <c r="B351" s="14" t="inlineStr">
        <is>
          <t>Punjab</t>
        </is>
      </c>
      <c r="C351" s="14" t="n">
        <v>2023</v>
      </c>
      <c r="D351" s="15" t="n">
        <v>309.69001057191</v>
      </c>
      <c r="E351" s="15" t="n">
        <v>17408.2220060304</v>
      </c>
      <c r="F351" s="15" t="n">
        <v>448.627255558968</v>
      </c>
      <c r="G351" s="15" t="n">
        <v>151.922775149345</v>
      </c>
      <c r="H351" s="15" t="n">
        <v>68.3128588853541</v>
      </c>
      <c r="I351" s="16" t="n">
        <v>22.058463803595</v>
      </c>
      <c r="J351" s="15" t="n">
        <v>20.5676712711037</v>
      </c>
      <c r="K351" s="15" t="n">
        <v>5952.6440657997</v>
      </c>
      <c r="L351" s="15" t="n">
        <v>318.684112207219</v>
      </c>
      <c r="M351" s="15" t="n">
        <v>-8.994101635309161</v>
      </c>
      <c r="N351" s="17" t="n">
        <v>14.356387946329</v>
      </c>
      <c r="O351" s="18" t="n">
        <v>0.241176656753461</v>
      </c>
    </row>
    <row r="352" ht="15" customHeight="1" s="12">
      <c r="A352" s="14" t="inlineStr">
        <is>
          <t>Faisalabad</t>
        </is>
      </c>
      <c r="B352" s="14" t="inlineStr">
        <is>
          <t>Punjab</t>
        </is>
      </c>
      <c r="C352" s="14" t="n">
        <v>2024</v>
      </c>
      <c r="D352" s="15" t="n">
        <v>374.948632228941</v>
      </c>
      <c r="E352" s="15" t="n">
        <v>21076.5242916456</v>
      </c>
      <c r="F352" s="15" t="n">
        <v>461.205299980938</v>
      </c>
      <c r="G352" s="15" t="n">
        <v>255.016177459596</v>
      </c>
      <c r="H352" s="15" t="n">
        <v>49.157047974824</v>
      </c>
      <c r="I352" s="16" t="n">
        <v>13.1103419907421</v>
      </c>
      <c r="J352" s="15" t="n">
        <v>32.6875959257709</v>
      </c>
      <c r="K352" s="15" t="n">
        <v>5952.6440657997</v>
      </c>
      <c r="L352" s="15" t="n">
        <v>318.684112207219</v>
      </c>
      <c r="M352" s="15" t="n">
        <v>56.2645200217219</v>
      </c>
      <c r="N352" s="17" t="n">
        <v>11.8547265701787</v>
      </c>
      <c r="O352" s="18" t="n">
        <v>0.19915060331406</v>
      </c>
    </row>
    <row r="353" ht="15" customHeight="1" s="12">
      <c r="A353" s="14" t="inlineStr">
        <is>
          <t>Faisalabad</t>
        </is>
      </c>
      <c r="B353" s="14" t="inlineStr">
        <is>
          <t>Punjab</t>
        </is>
      </c>
      <c r="C353" s="14" t="n">
        <v>2025</v>
      </c>
      <c r="D353" s="15" t="n">
        <v>483.91914954937</v>
      </c>
      <c r="E353" s="15" t="n">
        <v>27201.9493711399</v>
      </c>
      <c r="F353" s="15" t="n">
        <v>648.757295939195</v>
      </c>
      <c r="G353" s="15" t="n">
        <v>276.197625449487</v>
      </c>
      <c r="H353" s="15" t="n">
        <v>82.23246898759579</v>
      </c>
      <c r="I353" s="16" t="n">
        <v>16.9930181651566</v>
      </c>
      <c r="J353" s="15" t="n">
        <v>30.7105483465885</v>
      </c>
      <c r="K353" s="15" t="n">
        <v>5952.6440657997</v>
      </c>
      <c r="L353" s="15" t="n">
        <v>318.684112207219</v>
      </c>
      <c r="M353" s="15" t="n">
        <v>165.235037342151</v>
      </c>
      <c r="N353" s="17" t="n">
        <v>18.9100620367263</v>
      </c>
      <c r="O353" s="18" t="n">
        <v>0.317675000011711</v>
      </c>
    </row>
    <row r="354" ht="15" customHeight="1" s="12">
      <c r="A354" s="14" t="inlineStr">
        <is>
          <t>Ghanche</t>
        </is>
      </c>
      <c r="B354" s="14" t="inlineStr">
        <is>
          <t>Gilgit Baltistan</t>
        </is>
      </c>
      <c r="C354" s="14" t="n">
        <v>2015</v>
      </c>
      <c r="D354" s="15" t="n">
        <v>78.16243080765641</v>
      </c>
      <c r="E354" s="15" t="n">
        <v>6711.54739201743</v>
      </c>
      <c r="F354" s="15" t="n">
        <v>389.634662985802</v>
      </c>
      <c r="G354" s="15" t="n">
        <v>9.62352444527097</v>
      </c>
      <c r="H354" s="15" t="n">
        <v>49.0807496779292</v>
      </c>
      <c r="I354" s="16" t="n">
        <v>62.79327442964</v>
      </c>
      <c r="J354" s="15" t="n">
        <v>8.815993788819871</v>
      </c>
      <c r="K354" s="15" t="n">
        <v>8672.48506017507</v>
      </c>
      <c r="L354" s="15" t="n">
        <v>59.9259142199036</v>
      </c>
      <c r="M354" s="15" t="n">
        <v>18.2365165877528</v>
      </c>
      <c r="N354" s="17" t="n">
        <v>10.0629325383914</v>
      </c>
      <c r="O354" s="18" t="n">
        <v>0.116032861037737</v>
      </c>
    </row>
    <row r="355" ht="15" customHeight="1" s="12">
      <c r="A355" s="14" t="inlineStr">
        <is>
          <t>Ghanche</t>
        </is>
      </c>
      <c r="B355" s="14" t="inlineStr">
        <is>
          <t>Gilgit Baltistan</t>
        </is>
      </c>
      <c r="C355" s="14" t="n">
        <v>2016</v>
      </c>
      <c r="D355" s="15" t="n">
        <v>47.814431488979</v>
      </c>
      <c r="E355" s="15" t="n">
        <v>4105.66585052033</v>
      </c>
      <c r="F355" s="15" t="n">
        <v>258.959688901901</v>
      </c>
      <c r="G355" s="15" t="n">
        <v>3.62908184528351</v>
      </c>
      <c r="H355" s="15" t="n">
        <v>33.5565304820319</v>
      </c>
      <c r="I355" s="16" t="n">
        <v>70.1807580620645</v>
      </c>
      <c r="J355" s="15" t="n">
        <v>10.8125685056631</v>
      </c>
      <c r="K355" s="15" t="n">
        <v>8672.48506017507</v>
      </c>
      <c r="L355" s="15" t="n">
        <v>59.9259142199036</v>
      </c>
      <c r="M355" s="15" t="n">
        <v>-12.1114827309246</v>
      </c>
      <c r="N355" s="17" t="n">
        <v>7.50953031053996</v>
      </c>
      <c r="O355" s="18" t="n">
        <v>0.0865902939980201</v>
      </c>
    </row>
    <row r="356" ht="15" customHeight="1" s="12">
      <c r="A356" s="14" t="inlineStr">
        <is>
          <t>Ghanche</t>
        </is>
      </c>
      <c r="B356" s="14" t="inlineStr">
        <is>
          <t>Gilgit Baltistan</t>
        </is>
      </c>
      <c r="C356" s="14" t="n">
        <v>2017</v>
      </c>
      <c r="D356" s="15" t="n">
        <v>56.5932865360684</v>
      </c>
      <c r="E356" s="15" t="n">
        <v>4859.47687056374</v>
      </c>
      <c r="F356" s="15" t="n">
        <v>236.480466842651</v>
      </c>
      <c r="G356" s="15" t="n">
        <v>8.3622453212738</v>
      </c>
      <c r="H356" s="15" t="n">
        <v>34.7554227783502</v>
      </c>
      <c r="I356" s="16" t="n">
        <v>61.4126248988909</v>
      </c>
      <c r="J356" s="15" t="n">
        <v>10.5519272926562</v>
      </c>
      <c r="K356" s="15" t="n">
        <v>8672.48506017507</v>
      </c>
      <c r="L356" s="15" t="n">
        <v>59.9259142199036</v>
      </c>
      <c r="M356" s="15" t="n">
        <v>-3.33262768383513</v>
      </c>
      <c r="N356" s="17" t="n">
        <v>7.51161345992531</v>
      </c>
      <c r="O356" s="18" t="n">
        <v>0.08661431421103739</v>
      </c>
    </row>
    <row r="357" ht="15" customHeight="1" s="12">
      <c r="A357" s="14" t="inlineStr">
        <is>
          <t>Ghanche</t>
        </is>
      </c>
      <c r="B357" s="14" t="inlineStr">
        <is>
          <t>Gilgit Baltistan</t>
        </is>
      </c>
      <c r="C357" s="14" t="n">
        <v>2018</v>
      </c>
      <c r="D357" s="15" t="n">
        <v>52.8715345703338</v>
      </c>
      <c r="E357" s="15" t="n">
        <v>4539.902435106</v>
      </c>
      <c r="F357" s="15" t="n">
        <v>285.237744342536</v>
      </c>
      <c r="G357" s="15" t="n">
        <v>5.67645862698555</v>
      </c>
      <c r="H357" s="15" t="n">
        <v>36.3410644069696</v>
      </c>
      <c r="I357" s="16" t="n">
        <v>68.7346503223316</v>
      </c>
      <c r="J357" s="15" t="n">
        <v>11.3031147241505</v>
      </c>
      <c r="K357" s="15" t="n">
        <v>8672.48506017507</v>
      </c>
      <c r="L357" s="15" t="n">
        <v>59.9259142199036</v>
      </c>
      <c r="M357" s="15" t="n">
        <v>-7.05437964956975</v>
      </c>
      <c r="N357" s="17" t="n">
        <v>16.2441841773088</v>
      </c>
      <c r="O357" s="18" t="n">
        <v>0.187307145121572</v>
      </c>
    </row>
    <row r="358" ht="15" customHeight="1" s="12">
      <c r="A358" s="14" t="inlineStr">
        <is>
          <t>Ghanche</t>
        </is>
      </c>
      <c r="B358" s="14" t="inlineStr">
        <is>
          <t>Gilgit Baltistan</t>
        </is>
      </c>
      <c r="C358" s="14" t="n">
        <v>2019</v>
      </c>
      <c r="D358" s="15" t="n">
        <v>65.1519235135336</v>
      </c>
      <c r="E358" s="15" t="n">
        <v>5594.37849902875</v>
      </c>
      <c r="F358" s="15" t="n">
        <v>371.896867752075</v>
      </c>
      <c r="G358" s="15" t="n">
        <v>13.0201355926693</v>
      </c>
      <c r="H358" s="15" t="n">
        <v>42.9076059964931</v>
      </c>
      <c r="I358" s="16" t="n">
        <v>65.8577731593453</v>
      </c>
      <c r="J358" s="15" t="n">
        <v>12.9051881622214</v>
      </c>
      <c r="K358" s="15" t="n">
        <v>8672.48506017507</v>
      </c>
      <c r="L358" s="15" t="n">
        <v>59.9259142199036</v>
      </c>
      <c r="M358" s="15" t="n">
        <v>5.22600929363004</v>
      </c>
      <c r="N358" s="17" t="n">
        <v>13.8453651792902</v>
      </c>
      <c r="O358" s="18" t="n">
        <v>0.159647034076421</v>
      </c>
    </row>
    <row r="359" ht="15" customHeight="1" s="12">
      <c r="A359" s="14" t="inlineStr">
        <is>
          <t>Ghanche</t>
        </is>
      </c>
      <c r="B359" s="14" t="inlineStr">
        <is>
          <t>Gilgit Baltistan</t>
        </is>
      </c>
      <c r="C359" s="14" t="n">
        <v>2020</v>
      </c>
      <c r="D359" s="15" t="n">
        <v>50.6920306452506</v>
      </c>
      <c r="E359" s="15" t="n">
        <v>4352.75569807218</v>
      </c>
      <c r="F359" s="15" t="n">
        <v>212.514716267586</v>
      </c>
      <c r="G359" s="15" t="n">
        <v>8.19314451608807</v>
      </c>
      <c r="H359" s="15" t="n">
        <v>31.0477337531375</v>
      </c>
      <c r="I359" s="16" t="n">
        <v>61.24776095559</v>
      </c>
      <c r="J359" s="15" t="n">
        <v>12.3717117281695</v>
      </c>
      <c r="K359" s="15" t="n">
        <v>8672.48506017507</v>
      </c>
      <c r="L359" s="15" t="n">
        <v>59.9259142199036</v>
      </c>
      <c r="M359" s="15" t="n">
        <v>-9.23388357465301</v>
      </c>
      <c r="N359" s="17" t="n">
        <v>9.662145929996321</v>
      </c>
      <c r="O359" s="18" t="n">
        <v>0.111411502734849</v>
      </c>
    </row>
    <row r="360" ht="15" customHeight="1" s="12">
      <c r="A360" s="14" t="inlineStr">
        <is>
          <t>Ghanche</t>
        </is>
      </c>
      <c r="B360" s="14" t="inlineStr">
        <is>
          <t>Gilgit Baltistan</t>
        </is>
      </c>
      <c r="C360" s="14" t="n">
        <v>2021</v>
      </c>
      <c r="D360" s="15" t="n">
        <v>54.1036218593832</v>
      </c>
      <c r="E360" s="15" t="n">
        <v>4645.69766365904</v>
      </c>
      <c r="F360" s="15" t="n">
        <v>239.680146932602</v>
      </c>
      <c r="G360" s="15" t="n">
        <v>3.10157644748688</v>
      </c>
      <c r="H360" s="15" t="n">
        <v>35.8779467460701</v>
      </c>
      <c r="I360" s="16" t="n">
        <v>66.3133918082561</v>
      </c>
      <c r="J360" s="15" t="n">
        <v>9.34736938253562</v>
      </c>
      <c r="K360" s="15" t="n">
        <v>8672.48506017507</v>
      </c>
      <c r="L360" s="15" t="n">
        <v>59.9259142199036</v>
      </c>
      <c r="M360" s="15" t="n">
        <v>-5.82229236052034</v>
      </c>
      <c r="N360" s="17" t="n">
        <v>1.87806845182076</v>
      </c>
      <c r="O360" s="18" t="n">
        <v>0.021655482122939</v>
      </c>
    </row>
    <row r="361" ht="15" customHeight="1" s="12">
      <c r="A361" s="14" t="inlineStr">
        <is>
          <t>Ghanche</t>
        </is>
      </c>
      <c r="B361" s="14" t="inlineStr">
        <is>
          <t>Gilgit Baltistan</t>
        </is>
      </c>
      <c r="C361" s="14" t="n">
        <v>2022</v>
      </c>
      <c r="D361" s="15" t="n">
        <v>55.0666258426984</v>
      </c>
      <c r="E361" s="15" t="n">
        <v>4728.38760569303</v>
      </c>
      <c r="F361" s="15" t="n">
        <v>298.68859739718</v>
      </c>
      <c r="G361" s="15" t="n">
        <v>9.388796161860229</v>
      </c>
      <c r="H361" s="15" t="n">
        <v>36.2075539057285</v>
      </c>
      <c r="I361" s="16" t="n">
        <v>65.75226528162069</v>
      </c>
      <c r="J361" s="15" t="n">
        <v>12.6573803434417</v>
      </c>
      <c r="K361" s="15" t="n">
        <v>8672.48506017507</v>
      </c>
      <c r="L361" s="15" t="n">
        <v>59.9259142199036</v>
      </c>
      <c r="M361" s="15" t="n">
        <v>-4.8592883772052</v>
      </c>
      <c r="N361" s="17" t="n">
        <v>0</v>
      </c>
      <c r="O361" s="18" t="n">
        <v>0</v>
      </c>
    </row>
    <row r="362" ht="15" customHeight="1" s="12">
      <c r="A362" s="14" t="inlineStr">
        <is>
          <t>Ghanche</t>
        </is>
      </c>
      <c r="B362" s="14" t="inlineStr">
        <is>
          <t>Gilgit Baltistan</t>
        </is>
      </c>
      <c r="C362" s="14" t="n">
        <v>2023</v>
      </c>
      <c r="D362" s="15" t="n">
        <v>61.334631492688</v>
      </c>
      <c r="E362" s="15" t="n">
        <v>5266.60035750548</v>
      </c>
      <c r="F362" s="15" t="n">
        <v>364.874984145165</v>
      </c>
      <c r="G362" s="15" t="n">
        <v>14.9739311933518</v>
      </c>
      <c r="H362" s="15" t="n">
        <v>40.617298670846</v>
      </c>
      <c r="I362" s="16" t="n">
        <v>66.22245488780381</v>
      </c>
      <c r="J362" s="15" t="n">
        <v>9.709810010960901</v>
      </c>
      <c r="K362" s="15" t="n">
        <v>8672.48506017507</v>
      </c>
      <c r="L362" s="15" t="n">
        <v>59.9259142199036</v>
      </c>
      <c r="M362" s="15" t="n">
        <v>1.40871727278441</v>
      </c>
      <c r="N362" s="17" t="n">
        <v>11.9494030419755</v>
      </c>
      <c r="O362" s="18" t="n">
        <v>0.137785224869955</v>
      </c>
    </row>
    <row r="363" ht="15" customHeight="1" s="12">
      <c r="A363" s="14" t="inlineStr">
        <is>
          <t>Ghanche</t>
        </is>
      </c>
      <c r="B363" s="14" t="inlineStr">
        <is>
          <t>Gilgit Baltistan</t>
        </is>
      </c>
      <c r="C363" s="14" t="n">
        <v>2024</v>
      </c>
      <c r="D363" s="15" t="n">
        <v>54.5256970590389</v>
      </c>
      <c r="E363" s="15" t="n">
        <v>4681.93985413614</v>
      </c>
      <c r="F363" s="15" t="n">
        <v>234.784445924655</v>
      </c>
      <c r="G363" s="15" t="n">
        <v>7.7636693790555</v>
      </c>
      <c r="H363" s="15" t="n">
        <v>33.664909502562</v>
      </c>
      <c r="I363" s="16" t="n">
        <v>61.7413647479107</v>
      </c>
      <c r="J363" s="15" t="n">
        <v>11.3817592254293</v>
      </c>
      <c r="K363" s="15" t="n">
        <v>8672.48506017507</v>
      </c>
      <c r="L363" s="15" t="n">
        <v>59.9259142199036</v>
      </c>
      <c r="M363" s="15" t="n">
        <v>-5.40021716086468</v>
      </c>
      <c r="N363" s="17" t="n">
        <v>12.5057132333405</v>
      </c>
      <c r="O363" s="18" t="n">
        <v>0.144199882116465</v>
      </c>
    </row>
    <row r="364" ht="15" customHeight="1" s="12">
      <c r="A364" s="14" t="inlineStr">
        <is>
          <t>Ghanche</t>
        </is>
      </c>
      <c r="B364" s="14" t="inlineStr">
        <is>
          <t>Gilgit Baltistan</t>
        </is>
      </c>
      <c r="C364" s="14" t="n">
        <v>2025</v>
      </c>
      <c r="D364" s="15" t="n">
        <v>82.86884260330901</v>
      </c>
      <c r="E364" s="15" t="n">
        <v>7115.6712848708</v>
      </c>
      <c r="F364" s="15" t="n">
        <v>403.296433789656</v>
      </c>
      <c r="G364" s="15" t="n">
        <v>4.73586699799125</v>
      </c>
      <c r="H364" s="15" t="n">
        <v>58.0845446327993</v>
      </c>
      <c r="I364" s="16" t="n">
        <v>70.09213934705051</v>
      </c>
      <c r="J364" s="15" t="n">
        <v>13.7920624771648</v>
      </c>
      <c r="K364" s="15" t="n">
        <v>8672.48506017507</v>
      </c>
      <c r="L364" s="15" t="n">
        <v>59.9259142199036</v>
      </c>
      <c r="M364" s="15" t="n">
        <v>22.9429283834054</v>
      </c>
      <c r="N364" s="17" t="n">
        <v>10.7532725029743</v>
      </c>
      <c r="O364" s="18" t="n">
        <v>0.123992978118283</v>
      </c>
    </row>
    <row r="365" ht="15" customHeight="1" s="12">
      <c r="A365" s="14" t="inlineStr">
        <is>
          <t>Ghizer</t>
        </is>
      </c>
      <c r="B365" s="14" t="inlineStr">
        <is>
          <t>Gilgit Baltistan</t>
        </is>
      </c>
      <c r="C365" s="14" t="n">
        <v>2015</v>
      </c>
      <c r="D365" s="15" t="n">
        <v>127.153221287114</v>
      </c>
      <c r="E365" s="15" t="n">
        <v>5517.45252369379</v>
      </c>
      <c r="F365" s="15" t="n">
        <v>356.918301939964</v>
      </c>
      <c r="G365" s="15" t="n">
        <v>28.4698212295771</v>
      </c>
      <c r="H365" s="15" t="n">
        <v>82.1198103098254</v>
      </c>
      <c r="I365" s="16" t="n">
        <v>64.58335029074701</v>
      </c>
      <c r="J365" s="15" t="n">
        <v>14.466425666516</v>
      </c>
      <c r="K365" s="15" t="n">
        <v>4322.50260132732</v>
      </c>
      <c r="L365" s="15" t="n">
        <v>120.361230473368</v>
      </c>
      <c r="M365" s="15" t="n">
        <v>6.79199081374549</v>
      </c>
      <c r="N365" s="17" t="n">
        <v>3.31900261710899</v>
      </c>
      <c r="O365" s="18" t="n">
        <v>0.0767842826997911</v>
      </c>
    </row>
    <row r="366" ht="15" customHeight="1" s="12">
      <c r="A366" s="14" t="inlineStr">
        <is>
          <t>Ghizer</t>
        </is>
      </c>
      <c r="B366" s="14" t="inlineStr">
        <is>
          <t>Gilgit Baltistan</t>
        </is>
      </c>
      <c r="C366" s="14" t="n">
        <v>2016</v>
      </c>
      <c r="D366" s="15" t="n">
        <v>125.029167309124</v>
      </c>
      <c r="E366" s="15" t="n">
        <v>5425.28524029591</v>
      </c>
      <c r="F366" s="15" t="n">
        <v>340.046095967293</v>
      </c>
      <c r="G366" s="15" t="n">
        <v>27.7138518095017</v>
      </c>
      <c r="H366" s="15" t="n">
        <v>85.8352919604373</v>
      </c>
      <c r="I366" s="16" t="n">
        <v>68.65221436548219</v>
      </c>
      <c r="J366" s="15" t="n">
        <v>19.1730682331677</v>
      </c>
      <c r="K366" s="15" t="n">
        <v>4322.50260132732</v>
      </c>
      <c r="L366" s="15" t="n">
        <v>120.361230473368</v>
      </c>
      <c r="M366" s="15" t="n">
        <v>4.66793683575561</v>
      </c>
      <c r="N366" s="17" t="n">
        <v>4.04458291719396</v>
      </c>
      <c r="O366" s="18" t="n">
        <v>0.09357039868413231</v>
      </c>
    </row>
    <row r="367" ht="15" customHeight="1" s="12">
      <c r="A367" s="14" t="inlineStr">
        <is>
          <t>Ghizer</t>
        </is>
      </c>
      <c r="B367" s="14" t="inlineStr">
        <is>
          <t>Gilgit Baltistan</t>
        </is>
      </c>
      <c r="C367" s="14" t="n">
        <v>2017</v>
      </c>
      <c r="D367" s="15" t="n">
        <v>121.630389060405</v>
      </c>
      <c r="E367" s="15" t="n">
        <v>5277.80492138582</v>
      </c>
      <c r="F367" s="15" t="n">
        <v>340.501486182213</v>
      </c>
      <c r="G367" s="15" t="n">
        <v>29.9164008051157</v>
      </c>
      <c r="H367" s="15" t="n">
        <v>81.4077629663384</v>
      </c>
      <c r="I367" s="16" t="n">
        <v>66.9304469016447</v>
      </c>
      <c r="J367" s="15" t="n">
        <v>18.1580659737912</v>
      </c>
      <c r="K367" s="15" t="n">
        <v>4322.50260132732</v>
      </c>
      <c r="L367" s="15" t="n">
        <v>120.361230473368</v>
      </c>
      <c r="M367" s="15" t="n">
        <v>1.26915858703686</v>
      </c>
      <c r="N367" s="17" t="n">
        <v>0.989017303388288</v>
      </c>
      <c r="O367" s="18" t="n">
        <v>0.022880664157023</v>
      </c>
    </row>
    <row r="368" ht="15" customHeight="1" s="12">
      <c r="A368" s="14" t="inlineStr">
        <is>
          <t>Ghizer</t>
        </is>
      </c>
      <c r="B368" s="14" t="inlineStr">
        <is>
          <t>Gilgit Baltistan</t>
        </is>
      </c>
      <c r="C368" s="14" t="n">
        <v>2018</v>
      </c>
      <c r="D368" s="15" t="n">
        <v>108.783999664725</v>
      </c>
      <c r="E368" s="15" t="n">
        <v>4720.37237760856</v>
      </c>
      <c r="F368" s="15" t="n">
        <v>312.453841388226</v>
      </c>
      <c r="G368" s="15" t="n">
        <v>24.514906167984</v>
      </c>
      <c r="H368" s="15" t="n">
        <v>73.4894170582574</v>
      </c>
      <c r="I368" s="16" t="n">
        <v>67.5553549095028</v>
      </c>
      <c r="J368" s="15" t="n">
        <v>18.0150926344329</v>
      </c>
      <c r="K368" s="15" t="n">
        <v>4322.50260132732</v>
      </c>
      <c r="L368" s="15" t="n">
        <v>120.361230473368</v>
      </c>
      <c r="M368" s="15" t="n">
        <v>-11.5772308086433</v>
      </c>
      <c r="N368" s="17" t="n">
        <v>3.46083695843505</v>
      </c>
      <c r="O368" s="18" t="n">
        <v>0.0800655841681235</v>
      </c>
    </row>
    <row r="369" ht="15" customHeight="1" s="12">
      <c r="A369" s="14" t="inlineStr">
        <is>
          <t>Ghizer</t>
        </is>
      </c>
      <c r="B369" s="14" t="inlineStr">
        <is>
          <t>Gilgit Baltistan</t>
        </is>
      </c>
      <c r="C369" s="14" t="n">
        <v>2019</v>
      </c>
      <c r="D369" s="15" t="n">
        <v>133.61425347101</v>
      </c>
      <c r="E369" s="15" t="n">
        <v>5797.81064571264</v>
      </c>
      <c r="F369" s="15" t="n">
        <v>324.566278070211</v>
      </c>
      <c r="G369" s="15" t="n">
        <v>32.9114274531603</v>
      </c>
      <c r="H369" s="15" t="n">
        <v>80.2323286295925</v>
      </c>
      <c r="I369" s="16" t="n">
        <v>60.0477318439686</v>
      </c>
      <c r="J369" s="15" t="n">
        <v>20.8591956619973</v>
      </c>
      <c r="K369" s="15" t="n">
        <v>4322.50260132732</v>
      </c>
      <c r="L369" s="15" t="n">
        <v>120.361230473368</v>
      </c>
      <c r="M369" s="15" t="n">
        <v>13.2530229976414</v>
      </c>
      <c r="N369" s="17" t="n">
        <v>2.51596900726319</v>
      </c>
      <c r="O369" s="18" t="n">
        <v>0.0582063040630815</v>
      </c>
    </row>
    <row r="370" ht="15" customHeight="1" s="12">
      <c r="A370" s="14" t="inlineStr">
        <is>
          <t>Ghizer</t>
        </is>
      </c>
      <c r="B370" s="14" t="inlineStr">
        <is>
          <t>Gilgit Baltistan</t>
        </is>
      </c>
      <c r="C370" s="14" t="n">
        <v>2020</v>
      </c>
      <c r="D370" s="15" t="n">
        <v>140.487932803137</v>
      </c>
      <c r="E370" s="15" t="n">
        <v>6096.07441751651</v>
      </c>
      <c r="F370" s="15" t="n">
        <v>348.244176030159</v>
      </c>
      <c r="G370" s="15" t="n">
        <v>34.703045675531</v>
      </c>
      <c r="H370" s="15" t="n">
        <v>83.643122158483</v>
      </c>
      <c r="I370" s="16" t="n">
        <v>59.5375848228122</v>
      </c>
      <c r="J370" s="15" t="n">
        <v>20.507275192047</v>
      </c>
      <c r="K370" s="15" t="n">
        <v>4322.50260132732</v>
      </c>
      <c r="L370" s="15" t="n">
        <v>120.361230473368</v>
      </c>
      <c r="M370" s="15" t="n">
        <v>20.1267023297684</v>
      </c>
      <c r="N370" s="17" t="n">
        <v>2.03728569364708</v>
      </c>
      <c r="O370" s="18" t="n">
        <v>0.047132087162226</v>
      </c>
    </row>
    <row r="371" ht="15" customHeight="1" s="12">
      <c r="A371" s="14" t="inlineStr">
        <is>
          <t>Ghizer</t>
        </is>
      </c>
      <c r="B371" s="14" t="inlineStr">
        <is>
          <t>Gilgit Baltistan</t>
        </is>
      </c>
      <c r="C371" s="14" t="n">
        <v>2021</v>
      </c>
      <c r="D371" s="15" t="n">
        <v>113.476863284632</v>
      </c>
      <c r="E371" s="15" t="n">
        <v>4924.00585193903</v>
      </c>
      <c r="F371" s="15" t="n">
        <v>370.219375967979</v>
      </c>
      <c r="G371" s="15" t="n">
        <v>23.6522517800331</v>
      </c>
      <c r="H371" s="15" t="n">
        <v>84.5249294680842</v>
      </c>
      <c r="I371" s="16" t="n">
        <v>74.4864873961769</v>
      </c>
      <c r="J371" s="15" t="n">
        <v>18.4830546769092</v>
      </c>
      <c r="K371" s="15" t="n">
        <v>4322.50260132732</v>
      </c>
      <c r="L371" s="15" t="n">
        <v>120.361230473368</v>
      </c>
      <c r="M371" s="15" t="n">
        <v>-6.88436718873649</v>
      </c>
      <c r="N371" s="17" t="n">
        <v>2.86788946600342</v>
      </c>
      <c r="O371" s="18" t="n">
        <v>0.0663478945072877</v>
      </c>
    </row>
    <row r="372" ht="15" customHeight="1" s="12">
      <c r="A372" s="14" t="inlineStr">
        <is>
          <t>Ghizer</t>
        </is>
      </c>
      <c r="B372" s="14" t="inlineStr">
        <is>
          <t>Gilgit Baltistan</t>
        </is>
      </c>
      <c r="C372" s="14" t="n">
        <v>2022</v>
      </c>
      <c r="D372" s="15" t="n">
        <v>116.542613816451</v>
      </c>
      <c r="E372" s="15" t="n">
        <v>5057.03537991778</v>
      </c>
      <c r="F372" s="15" t="n">
        <v>339.333135008812</v>
      </c>
      <c r="G372" s="15" t="n">
        <v>27.6378488441706</v>
      </c>
      <c r="H372" s="15" t="n">
        <v>79.70547451032991</v>
      </c>
      <c r="I372" s="16" t="n">
        <v>68.3916997398583</v>
      </c>
      <c r="J372" s="15" t="n">
        <v>18.1838228648893</v>
      </c>
      <c r="K372" s="15" t="n">
        <v>4322.50260132732</v>
      </c>
      <c r="L372" s="15" t="n">
        <v>120.361230473368</v>
      </c>
      <c r="M372" s="15" t="n">
        <v>-3.8186166569172</v>
      </c>
      <c r="N372" s="17" t="n">
        <v>2.15840593493652</v>
      </c>
      <c r="O372" s="18" t="n">
        <v>0.0499341731864716</v>
      </c>
    </row>
    <row r="373" ht="15" customHeight="1" s="12">
      <c r="A373" s="14" t="inlineStr">
        <is>
          <t>Ghizer</t>
        </is>
      </c>
      <c r="B373" s="14" t="inlineStr">
        <is>
          <t>Gilgit Baltistan</t>
        </is>
      </c>
      <c r="C373" s="14" t="n">
        <v>2023</v>
      </c>
      <c r="D373" s="15" t="n">
        <v>118.414316791301</v>
      </c>
      <c r="E373" s="15" t="n">
        <v>5138.25260900294</v>
      </c>
      <c r="F373" s="15" t="n">
        <v>407.470292329788</v>
      </c>
      <c r="G373" s="15" t="n">
        <v>25.8322224020958</v>
      </c>
      <c r="H373" s="15" t="n">
        <v>90.5184531317833</v>
      </c>
      <c r="I373" s="16" t="n">
        <v>76.44215292929231</v>
      </c>
      <c r="J373" s="15" t="n">
        <v>19.4510619069137</v>
      </c>
      <c r="K373" s="15" t="n">
        <v>4322.50260132732</v>
      </c>
      <c r="L373" s="15" t="n">
        <v>120.361230473368</v>
      </c>
      <c r="M373" s="15" t="n">
        <v>-1.94691368206699</v>
      </c>
      <c r="N373" s="17" t="n">
        <v>2.23483137547081</v>
      </c>
      <c r="O373" s="18" t="n">
        <v>0.0517022563453068</v>
      </c>
    </row>
    <row r="374" ht="15" customHeight="1" s="12">
      <c r="A374" s="14" t="inlineStr">
        <is>
          <t>Ghizer</t>
        </is>
      </c>
      <c r="B374" s="14" t="inlineStr">
        <is>
          <t>Gilgit Baltistan</t>
        </is>
      </c>
      <c r="C374" s="14" t="n">
        <v>2024</v>
      </c>
      <c r="D374" s="15" t="n">
        <v>121.99548601519</v>
      </c>
      <c r="E374" s="15" t="n">
        <v>5293.64726571794</v>
      </c>
      <c r="F374" s="15" t="n">
        <v>313.341555699706</v>
      </c>
      <c r="G374" s="15" t="n">
        <v>31.4559032926336</v>
      </c>
      <c r="H374" s="15" t="n">
        <v>77.8522191149314</v>
      </c>
      <c r="I374" s="16" t="n">
        <v>63.8156555278102</v>
      </c>
      <c r="J374" s="15" t="n">
        <v>19.2332580207863</v>
      </c>
      <c r="K374" s="15" t="n">
        <v>4322.50260132732</v>
      </c>
      <c r="L374" s="15" t="n">
        <v>120.361230473368</v>
      </c>
      <c r="M374" s="15" t="n">
        <v>1.63425554182136</v>
      </c>
      <c r="N374" s="17" t="n">
        <v>2.51983439715576</v>
      </c>
      <c r="O374" s="18" t="n">
        <v>0.0582957288766464</v>
      </c>
    </row>
    <row r="375" ht="15" customHeight="1" s="12">
      <c r="A375" s="14" t="inlineStr">
        <is>
          <t>Ghizer</t>
        </is>
      </c>
      <c r="B375" s="14" t="inlineStr">
        <is>
          <t>Gilgit Baltistan</t>
        </is>
      </c>
      <c r="C375" s="14" t="n">
        <v>2025</v>
      </c>
      <c r="D375" s="15" t="n">
        <v>96.8452917039633</v>
      </c>
      <c r="E375" s="15" t="n">
        <v>4202.32608903668</v>
      </c>
      <c r="F375" s="15" t="n">
        <v>263.934802293778</v>
      </c>
      <c r="G375" s="15" t="n">
        <v>19.0386841390864</v>
      </c>
      <c r="H375" s="15" t="n">
        <v>64.6703618186539</v>
      </c>
      <c r="I375" s="16" t="n">
        <v>66.7769807708756</v>
      </c>
      <c r="J375" s="15" t="n">
        <v>15.6631721644826</v>
      </c>
      <c r="K375" s="15" t="n">
        <v>4322.50260132732</v>
      </c>
      <c r="L375" s="15" t="n">
        <v>120.361230473368</v>
      </c>
      <c r="M375" s="15" t="n">
        <v>-23.5159387694051</v>
      </c>
      <c r="N375" s="17" t="n">
        <v>2.09682778161621</v>
      </c>
      <c r="O375" s="18" t="n">
        <v>0.0485095782469243</v>
      </c>
    </row>
    <row r="376" ht="15" customHeight="1" s="12">
      <c r="A376" s="14" t="inlineStr">
        <is>
          <t>Ghotki</t>
        </is>
      </c>
      <c r="B376" s="14" t="inlineStr">
        <is>
          <t>Sindh</t>
        </is>
      </c>
      <c r="C376" s="14" t="n">
        <v>2015</v>
      </c>
      <c r="D376" s="15" t="n">
        <v>96.4652851366402</v>
      </c>
      <c r="E376" s="15" t="n">
        <v>5623.73697584821</v>
      </c>
      <c r="F376" s="15" t="n">
        <v>128.344975650311</v>
      </c>
      <c r="G376" s="15" t="n">
        <v>64.26858067512509</v>
      </c>
      <c r="H376" s="15" t="n">
        <v>16.5960120301678</v>
      </c>
      <c r="I376" s="16" t="n">
        <v>17.2041289326622</v>
      </c>
      <c r="J376" s="15" t="n">
        <v>13.9365666621822</v>
      </c>
      <c r="K376" s="15" t="n">
        <v>6376.83354968248</v>
      </c>
      <c r="L376" s="15" t="n">
        <v>133.415787242531</v>
      </c>
      <c r="M376" s="15" t="n">
        <v>-36.9505021058909</v>
      </c>
      <c r="N376" s="17" t="n">
        <v>27.4629556187035</v>
      </c>
      <c r="O376" s="18" t="n">
        <v>0.430667593951405</v>
      </c>
    </row>
    <row r="377" ht="15" customHeight="1" s="12">
      <c r="A377" s="14" t="inlineStr">
        <is>
          <t>Ghotki</t>
        </is>
      </c>
      <c r="B377" s="14" t="inlineStr">
        <is>
          <t>Sindh</t>
        </is>
      </c>
      <c r="C377" s="14" t="n">
        <v>2016</v>
      </c>
      <c r="D377" s="15" t="n">
        <v>135.984286338159</v>
      </c>
      <c r="E377" s="15" t="n">
        <v>7927.61725765911</v>
      </c>
      <c r="F377" s="15" t="n">
        <v>175.014933645725</v>
      </c>
      <c r="G377" s="15" t="n">
        <v>104.428017377853</v>
      </c>
      <c r="H377" s="15" t="n">
        <v>16.0948530035755</v>
      </c>
      <c r="I377" s="16" t="n">
        <v>11.8358182676722</v>
      </c>
      <c r="J377" s="15" t="n">
        <v>20.1397147854164</v>
      </c>
      <c r="K377" s="15" t="n">
        <v>6376.83354968248</v>
      </c>
      <c r="L377" s="15" t="n">
        <v>133.415787242531</v>
      </c>
      <c r="M377" s="15" t="n">
        <v>2.56849909562791</v>
      </c>
      <c r="N377" s="17" t="n">
        <v>16.8958510549704</v>
      </c>
      <c r="O377" s="18" t="n">
        <v>0.264956752020157</v>
      </c>
    </row>
    <row r="378" ht="15" customHeight="1" s="12">
      <c r="A378" s="14" t="inlineStr">
        <is>
          <t>Ghotki</t>
        </is>
      </c>
      <c r="B378" s="14" t="inlineStr">
        <is>
          <t>Sindh</t>
        </is>
      </c>
      <c r="C378" s="14" t="n">
        <v>2017</v>
      </c>
      <c r="D378" s="15" t="n">
        <v>137.633667573297</v>
      </c>
      <c r="E378" s="15" t="n">
        <v>8023.77294958678</v>
      </c>
      <c r="F378" s="15" t="n">
        <v>208.301142215729</v>
      </c>
      <c r="G378" s="15" t="n">
        <v>82.58595854043961</v>
      </c>
      <c r="H378" s="15" t="n">
        <v>26.2739412743619</v>
      </c>
      <c r="I378" s="16" t="n">
        <v>19.0897632371598</v>
      </c>
      <c r="J378" s="15" t="n">
        <v>20.2537333512714</v>
      </c>
      <c r="K378" s="15" t="n">
        <v>6376.83354968248</v>
      </c>
      <c r="L378" s="15" t="n">
        <v>133.415787242531</v>
      </c>
      <c r="M378" s="15" t="n">
        <v>4.21788033076555</v>
      </c>
      <c r="N378" s="17" t="n">
        <v>21.6467066265675</v>
      </c>
      <c r="O378" s="18" t="n">
        <v>0.339458548790964</v>
      </c>
    </row>
    <row r="379" ht="15" customHeight="1" s="12">
      <c r="A379" s="14" t="inlineStr">
        <is>
          <t>Ghotki</t>
        </is>
      </c>
      <c r="B379" s="14" t="inlineStr">
        <is>
          <t>Sindh</t>
        </is>
      </c>
      <c r="C379" s="14" t="n">
        <v>2018</v>
      </c>
      <c r="D379" s="15" t="n">
        <v>56.3637069196414</v>
      </c>
      <c r="E379" s="15" t="n">
        <v>3285.8935963427</v>
      </c>
      <c r="F379" s="15" t="n">
        <v>96.7731871232031</v>
      </c>
      <c r="G379" s="15" t="n">
        <v>28.9192960146561</v>
      </c>
      <c r="H379" s="15" t="n">
        <v>15.0115095836382</v>
      </c>
      <c r="I379" s="16" t="n">
        <v>26.633290115287</v>
      </c>
      <c r="J379" s="15" t="n">
        <v>11.9858738060003</v>
      </c>
      <c r="K379" s="15" t="n">
        <v>6376.83354968248</v>
      </c>
      <c r="L379" s="15" t="n">
        <v>133.415787242531</v>
      </c>
      <c r="M379" s="15" t="n">
        <v>-77.05208032288969</v>
      </c>
      <c r="N379" s="17" t="n">
        <v>21.4672587979643</v>
      </c>
      <c r="O379" s="18" t="n">
        <v>0.336644490258543</v>
      </c>
    </row>
    <row r="380" ht="15" customHeight="1" s="12">
      <c r="A380" s="14" t="inlineStr">
        <is>
          <t>Ghotki</t>
        </is>
      </c>
      <c r="B380" s="14" t="inlineStr">
        <is>
          <t>Sindh</t>
        </is>
      </c>
      <c r="C380" s="14" t="n">
        <v>2019</v>
      </c>
      <c r="D380" s="15" t="n">
        <v>104.052019013941</v>
      </c>
      <c r="E380" s="15" t="n">
        <v>6066.02868494605</v>
      </c>
      <c r="F380" s="15" t="n">
        <v>152.244238853455</v>
      </c>
      <c r="G380" s="15" t="n">
        <v>57.8210260942578</v>
      </c>
      <c r="H380" s="15" t="n">
        <v>26.9086599766571</v>
      </c>
      <c r="I380" s="16" t="n">
        <v>25.8607763997851</v>
      </c>
      <c r="J380" s="15" t="n">
        <v>19.5688820126463</v>
      </c>
      <c r="K380" s="15" t="n">
        <v>6376.83354968248</v>
      </c>
      <c r="L380" s="15" t="n">
        <v>133.415787242531</v>
      </c>
      <c r="M380" s="15" t="n">
        <v>-29.3637682285904</v>
      </c>
      <c r="N380" s="17" t="n">
        <v>20.9066724880857</v>
      </c>
      <c r="O380" s="18" t="n">
        <v>0.327853507939323</v>
      </c>
    </row>
    <row r="381" ht="15" customHeight="1" s="12">
      <c r="A381" s="14" t="inlineStr">
        <is>
          <t>Ghotki</t>
        </is>
      </c>
      <c r="B381" s="14" t="inlineStr">
        <is>
          <t>Sindh</t>
        </is>
      </c>
      <c r="C381" s="14" t="n">
        <v>2020</v>
      </c>
      <c r="D381" s="15" t="n">
        <v>133.343668170318</v>
      </c>
      <c r="E381" s="15" t="n">
        <v>7773.67439615664</v>
      </c>
      <c r="F381" s="15" t="n">
        <v>225.822018961691</v>
      </c>
      <c r="G381" s="15" t="n">
        <v>61.3499942156632</v>
      </c>
      <c r="H381" s="15" t="n">
        <v>47.9421379110676</v>
      </c>
      <c r="I381" s="16" t="n">
        <v>35.9538166070487</v>
      </c>
      <c r="J381" s="15" t="n">
        <v>19.1660836808826</v>
      </c>
      <c r="K381" s="15" t="n">
        <v>6376.83354968248</v>
      </c>
      <c r="L381" s="15" t="n">
        <v>133.415787242531</v>
      </c>
      <c r="M381" s="15" t="n">
        <v>-0.0721190722133826</v>
      </c>
      <c r="N381" s="17" t="n">
        <v>25.6036724067466</v>
      </c>
      <c r="O381" s="18" t="n">
        <v>0.401510753060529</v>
      </c>
    </row>
    <row r="382" ht="15" customHeight="1" s="12">
      <c r="A382" s="14" t="inlineStr">
        <is>
          <t>Ghotki</t>
        </is>
      </c>
      <c r="B382" s="14" t="inlineStr">
        <is>
          <t>Sindh</t>
        </is>
      </c>
      <c r="C382" s="14" t="n">
        <v>2021</v>
      </c>
      <c r="D382" s="15" t="n">
        <v>85.1883997985216</v>
      </c>
      <c r="E382" s="15" t="n">
        <v>4966.31667217577</v>
      </c>
      <c r="F382" s="15" t="n">
        <v>193.145289242268</v>
      </c>
      <c r="G382" s="15" t="n">
        <v>43.5526628792286</v>
      </c>
      <c r="H382" s="15" t="n">
        <v>25.6478963114697</v>
      </c>
      <c r="I382" s="16" t="n">
        <v>30.1072638670632</v>
      </c>
      <c r="J382" s="15" t="n">
        <v>13.8536929907171</v>
      </c>
      <c r="K382" s="15" t="n">
        <v>6376.83354968248</v>
      </c>
      <c r="L382" s="15" t="n">
        <v>133.415787242531</v>
      </c>
      <c r="M382" s="15" t="n">
        <v>-48.2273874440096</v>
      </c>
      <c r="N382" s="17" t="n">
        <v>20.9133568387156</v>
      </c>
      <c r="O382" s="18" t="n">
        <v>0.32795833034966</v>
      </c>
    </row>
    <row r="383" ht="15" customHeight="1" s="12">
      <c r="A383" s="14" t="inlineStr">
        <is>
          <t>Ghotki</t>
        </is>
      </c>
      <c r="B383" s="14" t="inlineStr">
        <is>
          <t>Sindh</t>
        </is>
      </c>
      <c r="C383" s="14" t="n">
        <v>2022</v>
      </c>
      <c r="D383" s="15" t="n">
        <v>319.143359609701</v>
      </c>
      <c r="E383" s="15" t="n">
        <v>18605.4320939522</v>
      </c>
      <c r="F383" s="15" t="n">
        <v>430.46061325205</v>
      </c>
      <c r="G383" s="15" t="n">
        <v>196.831345617771</v>
      </c>
      <c r="H383" s="15" t="n">
        <v>57.5214888871411</v>
      </c>
      <c r="I383" s="16" t="n">
        <v>18.0237147836908</v>
      </c>
      <c r="J383" s="15" t="n">
        <v>34.8901520247545</v>
      </c>
      <c r="K383" s="15" t="n">
        <v>6376.83354968248</v>
      </c>
      <c r="L383" s="15" t="n">
        <v>133.415787242531</v>
      </c>
      <c r="M383" s="15" t="n">
        <v>185.727572367169</v>
      </c>
      <c r="N383" s="17" t="n">
        <v>39.7471070614641</v>
      </c>
      <c r="O383" s="18" t="n">
        <v>0.623304760141391</v>
      </c>
    </row>
    <row r="384" ht="15" customHeight="1" s="12">
      <c r="A384" s="14" t="inlineStr">
        <is>
          <t>Ghotki</t>
        </is>
      </c>
      <c r="B384" s="14" t="inlineStr">
        <is>
          <t>Sindh</t>
        </is>
      </c>
      <c r="C384" s="14" t="n">
        <v>2023</v>
      </c>
      <c r="D384" s="15" t="n">
        <v>101.494395713794</v>
      </c>
      <c r="E384" s="15" t="n">
        <v>5916.92426149517</v>
      </c>
      <c r="F384" s="15" t="n">
        <v>138.740167617798</v>
      </c>
      <c r="G384" s="15" t="n">
        <v>65.3232716321945</v>
      </c>
      <c r="H384" s="15" t="n">
        <v>18.5697418339431</v>
      </c>
      <c r="I384" s="16" t="n">
        <v>18.2963223765657</v>
      </c>
      <c r="J384" s="15" t="n">
        <v>13.2143145432531</v>
      </c>
      <c r="K384" s="15" t="n">
        <v>6376.83354968248</v>
      </c>
      <c r="L384" s="15" t="n">
        <v>133.415787242531</v>
      </c>
      <c r="M384" s="15" t="n">
        <v>-31.9213915287368</v>
      </c>
      <c r="N384" s="17" t="n">
        <v>26.654106671381</v>
      </c>
      <c r="O384" s="18" t="n">
        <v>0.417983415494798</v>
      </c>
    </row>
    <row r="385" ht="15" customHeight="1" s="12">
      <c r="A385" s="14" t="inlineStr">
        <is>
          <t>Ghotki</t>
        </is>
      </c>
      <c r="B385" s="14" t="inlineStr">
        <is>
          <t>Sindh</t>
        </is>
      </c>
      <c r="C385" s="14" t="n">
        <v>2024</v>
      </c>
      <c r="D385" s="15" t="n">
        <v>190.427966744135</v>
      </c>
      <c r="E385" s="15" t="n">
        <v>11101.577073013</v>
      </c>
      <c r="F385" s="15" t="n">
        <v>327.240098619975</v>
      </c>
      <c r="G385" s="15" t="n">
        <v>115.856185799465</v>
      </c>
      <c r="H385" s="15" t="n">
        <v>52.5266541789881</v>
      </c>
      <c r="I385" s="16" t="n">
        <v>27.5834768795093</v>
      </c>
      <c r="J385" s="15" t="n">
        <v>27.2698775729853</v>
      </c>
      <c r="K385" s="15" t="n">
        <v>6376.83354968248</v>
      </c>
      <c r="L385" s="15" t="n">
        <v>133.415787242531</v>
      </c>
      <c r="M385" s="15" t="n">
        <v>57.0121795016038</v>
      </c>
      <c r="N385" s="17" t="n">
        <v>26.8394819910613</v>
      </c>
      <c r="O385" s="18" t="n">
        <v>0.420890427544525</v>
      </c>
    </row>
    <row r="386" ht="15" customHeight="1" s="12">
      <c r="A386" s="14" t="inlineStr">
        <is>
          <t>Ghotki</t>
        </is>
      </c>
      <c r="B386" s="14" t="inlineStr">
        <is>
          <t>Sindh</t>
        </is>
      </c>
      <c r="C386" s="14" t="n">
        <v>2025</v>
      </c>
      <c r="D386" s="15" t="n">
        <v>107.476904649695</v>
      </c>
      <c r="E386" s="15" t="n">
        <v>6265.69280204851</v>
      </c>
      <c r="F386" s="15" t="n">
        <v>183.9406736127</v>
      </c>
      <c r="G386" s="15" t="n">
        <v>60.1932100480938</v>
      </c>
      <c r="H386" s="15" t="n">
        <v>24.1862212165912</v>
      </c>
      <c r="I386" s="16" t="n">
        <v>22.5036451276881</v>
      </c>
      <c r="J386" s="15" t="n">
        <v>21.1561953450827</v>
      </c>
      <c r="K386" s="15" t="n">
        <v>6376.83354968248</v>
      </c>
      <c r="L386" s="15" t="n">
        <v>133.415787242531</v>
      </c>
      <c r="M386" s="15" t="n">
        <v>-25.9388825928359</v>
      </c>
      <c r="N386" s="17" t="n">
        <v>27.3778321308422</v>
      </c>
      <c r="O386" s="18" t="n">
        <v>0.4293327074878</v>
      </c>
    </row>
    <row r="387" ht="15" customHeight="1" s="12">
      <c r="A387" s="14" t="inlineStr">
        <is>
          <t>Gilgit</t>
        </is>
      </c>
      <c r="B387" s="14" t="inlineStr">
        <is>
          <t>Gilgit Baltistan</t>
        </is>
      </c>
      <c r="C387" s="14" t="n">
        <v>2015</v>
      </c>
      <c r="D387" s="15" t="n">
        <v>174.018035999455</v>
      </c>
      <c r="E387" s="15" t="n">
        <v>6978.46445541343</v>
      </c>
      <c r="F387" s="15" t="n">
        <v>581.72363948822</v>
      </c>
      <c r="G387" s="15" t="n">
        <v>28.4698212295771</v>
      </c>
      <c r="H387" s="15" t="n">
        <v>128.011012764437</v>
      </c>
      <c r="I387" s="16" t="n">
        <v>73.5619224922399</v>
      </c>
      <c r="J387" s="15" t="n">
        <v>13.051046352435</v>
      </c>
      <c r="K387" s="15" t="n">
        <v>4015.49648163254</v>
      </c>
      <c r="L387" s="15" t="n">
        <v>156.829473336513</v>
      </c>
      <c r="M387" s="15" t="n">
        <v>17.1885626629422</v>
      </c>
      <c r="N387" s="17" t="n">
        <v>3.61148093359327</v>
      </c>
      <c r="O387" s="18" t="n">
        <v>0.0899385904112408</v>
      </c>
    </row>
    <row r="388" ht="15" customHeight="1" s="12">
      <c r="A388" s="14" t="inlineStr">
        <is>
          <t>Gilgit</t>
        </is>
      </c>
      <c r="B388" s="14" t="inlineStr">
        <is>
          <t>Gilgit Baltistan</t>
        </is>
      </c>
      <c r="C388" s="14" t="n">
        <v>2016</v>
      </c>
      <c r="D388" s="15" t="n">
        <v>141.581115829788</v>
      </c>
      <c r="E388" s="15" t="n">
        <v>5677.68035480555</v>
      </c>
      <c r="F388" s="15" t="n">
        <v>436.325703859329</v>
      </c>
      <c r="G388" s="15" t="n">
        <v>27.7138518095017</v>
      </c>
      <c r="H388" s="15" t="n">
        <v>98.07565839793661</v>
      </c>
      <c r="I388" s="16" t="n">
        <v>69.2717088879601</v>
      </c>
      <c r="J388" s="15" t="n">
        <v>19.2243301388617</v>
      </c>
      <c r="K388" s="15" t="n">
        <v>4015.49648163254</v>
      </c>
      <c r="L388" s="15" t="n">
        <v>156.829473336513</v>
      </c>
      <c r="M388" s="15" t="n">
        <v>-15.2483575067242</v>
      </c>
      <c r="N388" s="17" t="n">
        <v>4.29838653582308</v>
      </c>
      <c r="O388" s="18" t="n">
        <v>0.107044958337892</v>
      </c>
    </row>
    <row r="389" ht="15" customHeight="1" s="12">
      <c r="A389" s="14" t="inlineStr">
        <is>
          <t>Gilgit</t>
        </is>
      </c>
      <c r="B389" s="14" t="inlineStr">
        <is>
          <t>Gilgit Baltistan</t>
        </is>
      </c>
      <c r="C389" s="14" t="n">
        <v>2017</v>
      </c>
      <c r="D389" s="15" t="n">
        <v>148.784261357514</v>
      </c>
      <c r="E389" s="15" t="n">
        <v>5966.54061428209</v>
      </c>
      <c r="F389" s="15" t="n">
        <v>434.231833577156</v>
      </c>
      <c r="G389" s="15" t="n">
        <v>29.9164008051157</v>
      </c>
      <c r="H389" s="15" t="n">
        <v>103.324678791307</v>
      </c>
      <c r="I389" s="16" t="n">
        <v>69.4459735516166</v>
      </c>
      <c r="J389" s="15" t="n">
        <v>19.5584783884217</v>
      </c>
      <c r="K389" s="15" t="n">
        <v>4015.49648163254</v>
      </c>
      <c r="L389" s="15" t="n">
        <v>156.829473336513</v>
      </c>
      <c r="M389" s="15" t="n">
        <v>-8.045211978999131</v>
      </c>
      <c r="N389" s="17" t="n">
        <v>2.18842834577134</v>
      </c>
      <c r="O389" s="18" t="n">
        <v>0.0544995707450257</v>
      </c>
    </row>
    <row r="390" ht="15" customHeight="1" s="12">
      <c r="A390" s="14" t="inlineStr">
        <is>
          <t>Gilgit</t>
        </is>
      </c>
      <c r="B390" s="14" t="inlineStr">
        <is>
          <t>Gilgit Baltistan</t>
        </is>
      </c>
      <c r="C390" s="14" t="n">
        <v>2018</v>
      </c>
      <c r="D390" s="15" t="n">
        <v>134.30795645977</v>
      </c>
      <c r="E390" s="15" t="n">
        <v>5386.01240297101</v>
      </c>
      <c r="F390" s="15" t="n">
        <v>434.413173913956</v>
      </c>
      <c r="G390" s="15" t="n">
        <v>24.514906167984</v>
      </c>
      <c r="H390" s="15" t="n">
        <v>96.677922906893</v>
      </c>
      <c r="I390" s="16" t="n">
        <v>71.98227525399921</v>
      </c>
      <c r="J390" s="15" t="n">
        <v>22.1461959710542</v>
      </c>
      <c r="K390" s="15" t="n">
        <v>4015.49648163254</v>
      </c>
      <c r="L390" s="15" t="n">
        <v>156.829473336513</v>
      </c>
      <c r="M390" s="15" t="n">
        <v>-22.5215168767427</v>
      </c>
      <c r="N390" s="17" t="n">
        <v>3.48140696757119</v>
      </c>
      <c r="O390" s="18" t="n">
        <v>0.0866992906978164</v>
      </c>
    </row>
    <row r="391" ht="15" customHeight="1" s="12">
      <c r="A391" s="14" t="inlineStr">
        <is>
          <t>Gilgit</t>
        </is>
      </c>
      <c r="B391" s="14" t="inlineStr">
        <is>
          <t>Gilgit Baltistan</t>
        </is>
      </c>
      <c r="C391" s="14" t="n">
        <v>2019</v>
      </c>
      <c r="D391" s="15" t="n">
        <v>199.311089438723</v>
      </c>
      <c r="E391" s="15" t="n">
        <v>7992.76549255052</v>
      </c>
      <c r="F391" s="15" t="n">
        <v>580.578817844391</v>
      </c>
      <c r="G391" s="15" t="n">
        <v>32.9114274531603</v>
      </c>
      <c r="H391" s="15" t="n">
        <v>142.596113692487</v>
      </c>
      <c r="I391" s="16" t="n">
        <v>71.54449563947971</v>
      </c>
      <c r="J391" s="15" t="n">
        <v>22.4556033639742</v>
      </c>
      <c r="K391" s="15" t="n">
        <v>4015.49648163254</v>
      </c>
      <c r="L391" s="15" t="n">
        <v>156.829473336513</v>
      </c>
      <c r="M391" s="15" t="n">
        <v>42.4816161022104</v>
      </c>
      <c r="N391" s="17" t="n">
        <v>3.09112707459957</v>
      </c>
      <c r="O391" s="18" t="n">
        <v>0.0769799472802138</v>
      </c>
    </row>
    <row r="392" ht="15" customHeight="1" s="12">
      <c r="A392" s="14" t="inlineStr">
        <is>
          <t>Gilgit</t>
        </is>
      </c>
      <c r="B392" s="14" t="inlineStr">
        <is>
          <t>Gilgit Baltistan</t>
        </is>
      </c>
      <c r="C392" s="14" t="n">
        <v>2020</v>
      </c>
      <c r="D392" s="15" t="n">
        <v>145.956004479229</v>
      </c>
      <c r="E392" s="15" t="n">
        <v>5853.12196786116</v>
      </c>
      <c r="F392" s="15" t="n">
        <v>458.214605152607</v>
      </c>
      <c r="G392" s="15" t="n">
        <v>27.4321641921997</v>
      </c>
      <c r="H392" s="15" t="n">
        <v>101.819624492427</v>
      </c>
      <c r="I392" s="16" t="n">
        <v>69.7604903996377</v>
      </c>
      <c r="J392" s="15" t="n">
        <v>25.336690788187</v>
      </c>
      <c r="K392" s="15" t="n">
        <v>4015.49648163254</v>
      </c>
      <c r="L392" s="15" t="n">
        <v>156.829473336513</v>
      </c>
      <c r="M392" s="15" t="n">
        <v>-10.8734688572836</v>
      </c>
      <c r="N392" s="17" t="n">
        <v>3.31141396534855</v>
      </c>
      <c r="O392" s="18" t="n">
        <v>0.0824658664375733</v>
      </c>
    </row>
    <row r="393" ht="15" customHeight="1" s="12">
      <c r="A393" s="14" t="inlineStr">
        <is>
          <t>Gilgit</t>
        </is>
      </c>
      <c r="B393" s="14" t="inlineStr">
        <is>
          <t>Gilgit Baltistan</t>
        </is>
      </c>
      <c r="C393" s="14" t="n">
        <v>2021</v>
      </c>
      <c r="D393" s="15" t="n">
        <v>148.979006387808</v>
      </c>
      <c r="E393" s="15" t="n">
        <v>5974.35027184989</v>
      </c>
      <c r="F393" s="15" t="n">
        <v>496.267171502113</v>
      </c>
      <c r="G393" s="15" t="n">
        <v>23.6522517800331</v>
      </c>
      <c r="H393" s="15" t="n">
        <v>109.511165680261</v>
      </c>
      <c r="I393" s="16" t="n">
        <v>73.5077836371064</v>
      </c>
      <c r="J393" s="15" t="n">
        <v>17.6599843536085</v>
      </c>
      <c r="K393" s="15" t="n">
        <v>4015.49648163254</v>
      </c>
      <c r="L393" s="15" t="n">
        <v>156.829473336513</v>
      </c>
      <c r="M393" s="15" t="n">
        <v>-7.85046694870493</v>
      </c>
      <c r="N393" s="17" t="n">
        <v>3.43607468522256</v>
      </c>
      <c r="O393" s="18" t="n">
        <v>0.0855703572631592</v>
      </c>
    </row>
    <row r="394" ht="15" customHeight="1" s="12">
      <c r="A394" s="14" t="inlineStr">
        <is>
          <t>Gilgit</t>
        </is>
      </c>
      <c r="B394" s="14" t="inlineStr">
        <is>
          <t>Gilgit Baltistan</t>
        </is>
      </c>
      <c r="C394" s="14" t="n">
        <v>2022</v>
      </c>
      <c r="D394" s="15" t="n">
        <v>159.857666871871</v>
      </c>
      <c r="E394" s="15" t="n">
        <v>6410.60588796767</v>
      </c>
      <c r="F394" s="15" t="n">
        <v>507.263845443726</v>
      </c>
      <c r="G394" s="15" t="n">
        <v>27.6378488441706</v>
      </c>
      <c r="H394" s="15" t="n">
        <v>111.123894775811</v>
      </c>
      <c r="I394" s="16" t="n">
        <v>69.51427288431429</v>
      </c>
      <c r="J394" s="15" t="n">
        <v>17.8446117739096</v>
      </c>
      <c r="K394" s="15" t="n">
        <v>4015.49648163254</v>
      </c>
      <c r="L394" s="15" t="n">
        <v>156.829473336513</v>
      </c>
      <c r="M394" s="15" t="n">
        <v>3.02819353535853</v>
      </c>
      <c r="N394" s="17" t="n">
        <v>2.78075043813835</v>
      </c>
      <c r="O394" s="18" t="n">
        <v>0.0692504762700679</v>
      </c>
    </row>
    <row r="395" ht="15" customHeight="1" s="12">
      <c r="A395" s="14" t="inlineStr">
        <is>
          <t>Gilgit</t>
        </is>
      </c>
      <c r="B395" s="14" t="inlineStr">
        <is>
          <t>Gilgit Baltistan</t>
        </is>
      </c>
      <c r="C395" s="14" t="n">
        <v>2023</v>
      </c>
      <c r="D395" s="15" t="n">
        <v>160.13833543215</v>
      </c>
      <c r="E395" s="15" t="n">
        <v>6421.86124756535</v>
      </c>
      <c r="F395" s="15" t="n">
        <v>516.52416574955</v>
      </c>
      <c r="G395" s="15" t="n">
        <v>25.8322224020958</v>
      </c>
      <c r="H395" s="15" t="n">
        <v>116.397253129257</v>
      </c>
      <c r="I395" s="16" t="n">
        <v>72.6854396326442</v>
      </c>
      <c r="J395" s="15" t="n">
        <v>20.6215529043614</v>
      </c>
      <c r="K395" s="15" t="n">
        <v>4015.49648163254</v>
      </c>
      <c r="L395" s="15" t="n">
        <v>156.829473336513</v>
      </c>
      <c r="M395" s="15" t="n">
        <v>3.30886209563715</v>
      </c>
      <c r="N395" s="17" t="n">
        <v>3.02761842094033</v>
      </c>
      <c r="O395" s="18" t="n">
        <v>0.07539835820524531</v>
      </c>
    </row>
    <row r="396" ht="15" customHeight="1" s="12">
      <c r="A396" s="14" t="inlineStr">
        <is>
          <t>Gilgit</t>
        </is>
      </c>
      <c r="B396" s="14" t="inlineStr">
        <is>
          <t>Gilgit Baltistan</t>
        </is>
      </c>
      <c r="C396" s="14" t="n">
        <v>2024</v>
      </c>
      <c r="D396" s="15" t="n">
        <v>159.181905916308</v>
      </c>
      <c r="E396" s="15" t="n">
        <v>6383.50654862811</v>
      </c>
      <c r="F396" s="15" t="n">
        <v>479.581517193466</v>
      </c>
      <c r="G396" s="15" t="n">
        <v>31.4559032926336</v>
      </c>
      <c r="H396" s="15" t="n">
        <v>111.697419837945</v>
      </c>
      <c r="I396" s="16" t="n">
        <v>70.1696711036187</v>
      </c>
      <c r="J396" s="15" t="n">
        <v>20.5563270095834</v>
      </c>
      <c r="K396" s="15" t="n">
        <v>4015.49648163254</v>
      </c>
      <c r="L396" s="15" t="n">
        <v>156.829473336513</v>
      </c>
      <c r="M396" s="15" t="n">
        <v>2.35243257979556</v>
      </c>
      <c r="N396" s="17" t="n">
        <v>2.96247233531255</v>
      </c>
      <c r="O396" s="18" t="n">
        <v>0.07377599130925221</v>
      </c>
    </row>
    <row r="397" ht="15" customHeight="1" s="12">
      <c r="A397" s="14" t="inlineStr">
        <is>
          <t>Gilgit</t>
        </is>
      </c>
      <c r="B397" s="14" t="inlineStr">
        <is>
          <t>Gilgit Baltistan</t>
        </is>
      </c>
      <c r="C397" s="14" t="n">
        <v>2025</v>
      </c>
      <c r="D397" s="15" t="n">
        <v>153.008828529024</v>
      </c>
      <c r="E397" s="15" t="n">
        <v>6135.9540413247</v>
      </c>
      <c r="F397" s="15" t="n">
        <v>521.481560592099</v>
      </c>
      <c r="G397" s="15" t="n">
        <v>19.0386841390864</v>
      </c>
      <c r="H397" s="15" t="n">
        <v>128.762914796946</v>
      </c>
      <c r="I397" s="16" t="n">
        <v>84.1539119244492</v>
      </c>
      <c r="J397" s="15" t="n">
        <v>13.9712497555251</v>
      </c>
      <c r="K397" s="15" t="n">
        <v>4015.49648163254</v>
      </c>
      <c r="L397" s="15" t="n">
        <v>156.829473336513</v>
      </c>
      <c r="M397" s="15" t="n">
        <v>-3.82064480748881</v>
      </c>
      <c r="N397" s="17" t="n">
        <v>2.66378573975615</v>
      </c>
      <c r="O397" s="18" t="n">
        <v>0.06633764347548771</v>
      </c>
    </row>
    <row r="398" ht="15" customHeight="1" s="12">
      <c r="A398" s="14" t="inlineStr">
        <is>
          <t>Gujranwala</t>
        </is>
      </c>
      <c r="B398" s="14" t="inlineStr">
        <is>
          <t>Punjab</t>
        </is>
      </c>
      <c r="C398" s="14" t="n">
        <v>2015</v>
      </c>
      <c r="D398" s="15" t="n">
        <v>412.855163951758</v>
      </c>
      <c r="E398" s="15" t="n">
        <v>14278.3125132963</v>
      </c>
      <c r="F398" s="15" t="n">
        <v>647.696522057056</v>
      </c>
      <c r="G398" s="15" t="n">
        <v>314.864834308624</v>
      </c>
      <c r="H398" s="15" t="n">
        <v>67.3964047564841</v>
      </c>
      <c r="I398" s="16" t="n">
        <v>16.3244669417189</v>
      </c>
      <c r="J398" s="15" t="n">
        <v>33.1697471368636</v>
      </c>
      <c r="K398" s="15" t="n">
        <v>3622.32170859864</v>
      </c>
      <c r="L398" s="15" t="n">
        <v>540.258304966386</v>
      </c>
      <c r="M398" s="15" t="n">
        <v>-127.403141014629</v>
      </c>
      <c r="N398" s="17" t="n">
        <v>18.6855960899083</v>
      </c>
      <c r="O398" s="18" t="n">
        <v>0.5158458467549289</v>
      </c>
    </row>
    <row r="399" ht="15" customHeight="1" s="12">
      <c r="A399" s="14" t="inlineStr">
        <is>
          <t>Gujranwala</t>
        </is>
      </c>
      <c r="B399" s="14" t="inlineStr">
        <is>
          <t>Punjab</t>
        </is>
      </c>
      <c r="C399" s="14" t="n">
        <v>2016</v>
      </c>
      <c r="D399" s="15" t="n">
        <v>539.056709812955</v>
      </c>
      <c r="E399" s="15" t="n">
        <v>18642.9063680018</v>
      </c>
      <c r="F399" s="15" t="n">
        <v>790.495098114014</v>
      </c>
      <c r="G399" s="15" t="n">
        <v>381.506709098816</v>
      </c>
      <c r="H399" s="15" t="n">
        <v>95.49883680503351</v>
      </c>
      <c r="I399" s="16" t="n">
        <v>17.7159165383862</v>
      </c>
      <c r="J399" s="15" t="n">
        <v>35.9841251842613</v>
      </c>
      <c r="K399" s="15" t="n">
        <v>3622.32170859864</v>
      </c>
      <c r="L399" s="15" t="n">
        <v>540.258304966386</v>
      </c>
      <c r="M399" s="15" t="n">
        <v>-1.2015951534313</v>
      </c>
      <c r="N399" s="17" t="n">
        <v>30.475494153151</v>
      </c>
      <c r="O399" s="18" t="n">
        <v>0.841324890630462</v>
      </c>
    </row>
    <row r="400" ht="15" customHeight="1" s="12">
      <c r="A400" s="14" t="inlineStr">
        <is>
          <t>Gujranwala</t>
        </is>
      </c>
      <c r="B400" s="14" t="inlineStr">
        <is>
          <t>Punjab</t>
        </is>
      </c>
      <c r="C400" s="14" t="n">
        <v>2017</v>
      </c>
      <c r="D400" s="15" t="n">
        <v>468.884784182652</v>
      </c>
      <c r="E400" s="15" t="n">
        <v>16216.0584772816</v>
      </c>
      <c r="F400" s="15" t="n">
        <v>690.487534999847</v>
      </c>
      <c r="G400" s="15" t="n">
        <v>335.441347241402</v>
      </c>
      <c r="H400" s="15" t="n">
        <v>74.5984305914445</v>
      </c>
      <c r="I400" s="16" t="n">
        <v>15.9097571744587</v>
      </c>
      <c r="J400" s="15" t="n">
        <v>32.3875722871074</v>
      </c>
      <c r="K400" s="15" t="n">
        <v>3622.32170859864</v>
      </c>
      <c r="L400" s="15" t="n">
        <v>540.258304966386</v>
      </c>
      <c r="M400" s="15" t="n">
        <v>-71.3735207837347</v>
      </c>
      <c r="N400" s="17" t="n">
        <v>11.7258445923721</v>
      </c>
      <c r="O400" s="18" t="n">
        <v>0.323710745087532</v>
      </c>
    </row>
    <row r="401" ht="15" customHeight="1" s="12">
      <c r="A401" s="14" t="inlineStr">
        <is>
          <t>Gujranwala</t>
        </is>
      </c>
      <c r="B401" s="14" t="inlineStr">
        <is>
          <t>Punjab</t>
        </is>
      </c>
      <c r="C401" s="14" t="n">
        <v>2018</v>
      </c>
      <c r="D401" s="15" t="n">
        <v>442.696769789071</v>
      </c>
      <c r="E401" s="15" t="n">
        <v>15310.3639716463</v>
      </c>
      <c r="F401" s="15" t="n">
        <v>709.7758264541631</v>
      </c>
      <c r="G401" s="15" t="n">
        <v>313.935963749886</v>
      </c>
      <c r="H401" s="15" t="n">
        <v>83.21906539695421</v>
      </c>
      <c r="I401" s="16" t="n">
        <v>18.7982093107671</v>
      </c>
      <c r="J401" s="15" t="n">
        <v>27.0565823789545</v>
      </c>
      <c r="K401" s="15" t="n">
        <v>3622.32170859864</v>
      </c>
      <c r="L401" s="15" t="n">
        <v>540.258304966386</v>
      </c>
      <c r="M401" s="15" t="n">
        <v>-97.5615351773159</v>
      </c>
      <c r="N401" s="17" t="n">
        <v>21.759138258461</v>
      </c>
      <c r="O401" s="18" t="n">
        <v>0.600695907456515</v>
      </c>
    </row>
    <row r="402" ht="15" customHeight="1" s="12">
      <c r="A402" s="14" t="inlineStr">
        <is>
          <t>Gujranwala</t>
        </is>
      </c>
      <c r="B402" s="14" t="inlineStr">
        <is>
          <t>Punjab</t>
        </is>
      </c>
      <c r="C402" s="14" t="n">
        <v>2019</v>
      </c>
      <c r="D402" s="15" t="n">
        <v>475.993122761658</v>
      </c>
      <c r="E402" s="15" t="n">
        <v>16461.8954887649</v>
      </c>
      <c r="F402" s="15" t="n">
        <v>725.195296764374</v>
      </c>
      <c r="G402" s="15" t="n">
        <v>360.364777803421</v>
      </c>
      <c r="H402" s="15" t="n">
        <v>69.69068975465331</v>
      </c>
      <c r="I402" s="16" t="n">
        <v>14.6411127434606</v>
      </c>
      <c r="J402" s="15" t="n">
        <v>26.671051139585</v>
      </c>
      <c r="K402" s="15" t="n">
        <v>3622.32170859864</v>
      </c>
      <c r="L402" s="15" t="n">
        <v>540.258304966386</v>
      </c>
      <c r="M402" s="15" t="n">
        <v>-64.2651822047288</v>
      </c>
      <c r="N402" s="17" t="n">
        <v>18.7109632514836</v>
      </c>
      <c r="O402" s="18" t="n">
        <v>0.516546147932351</v>
      </c>
    </row>
    <row r="403" ht="15" customHeight="1" s="12">
      <c r="A403" s="14" t="inlineStr">
        <is>
          <t>Gujranwala</t>
        </is>
      </c>
      <c r="B403" s="14" t="inlineStr">
        <is>
          <t>Punjab</t>
        </is>
      </c>
      <c r="C403" s="14" t="n">
        <v>2020</v>
      </c>
      <c r="D403" s="15" t="n">
        <v>586.1181948861559</v>
      </c>
      <c r="E403" s="15" t="n">
        <v>20270.4955321608</v>
      </c>
      <c r="F403" s="15" t="n">
        <v>769.568004709079</v>
      </c>
      <c r="G403" s="15" t="n">
        <v>463.066628483625</v>
      </c>
      <c r="H403" s="15" t="n">
        <v>66.99152033570731</v>
      </c>
      <c r="I403" s="16" t="n">
        <v>11.4296947134902</v>
      </c>
      <c r="J403" s="15" t="n">
        <v>30.3812223608119</v>
      </c>
      <c r="K403" s="15" t="n">
        <v>3622.32170859864</v>
      </c>
      <c r="L403" s="15" t="n">
        <v>540.258304966386</v>
      </c>
      <c r="M403" s="15" t="n">
        <v>45.8598899197696</v>
      </c>
      <c r="N403" s="17" t="n">
        <v>23.2395981501771</v>
      </c>
      <c r="O403" s="18" t="n">
        <v>0.641566377028609</v>
      </c>
    </row>
    <row r="404" ht="15" customHeight="1" s="12">
      <c r="A404" s="14" t="inlineStr">
        <is>
          <t>Gujranwala</t>
        </is>
      </c>
      <c r="B404" s="14" t="inlineStr">
        <is>
          <t>Punjab</t>
        </is>
      </c>
      <c r="C404" s="14" t="n">
        <v>2021</v>
      </c>
      <c r="D404" s="15" t="n">
        <v>646.748862233903</v>
      </c>
      <c r="E404" s="15" t="n">
        <v>22367.3655531011</v>
      </c>
      <c r="F404" s="15" t="n">
        <v>967.185451507568</v>
      </c>
      <c r="G404" s="15" t="n">
        <v>489.442041754723</v>
      </c>
      <c r="H404" s="15" t="n">
        <v>104.047616812796</v>
      </c>
      <c r="I404" s="16" t="n">
        <v>16.0877927876688</v>
      </c>
      <c r="J404" s="15" t="n">
        <v>21.5074271459349</v>
      </c>
      <c r="K404" s="15" t="n">
        <v>3622.32170859864</v>
      </c>
      <c r="L404" s="15" t="n">
        <v>540.258304966386</v>
      </c>
      <c r="M404" s="15" t="n">
        <v>106.490557267517</v>
      </c>
      <c r="N404" s="17" t="n">
        <v>22.2196726958075</v>
      </c>
      <c r="O404" s="18" t="n">
        <v>0.6134096991733941</v>
      </c>
    </row>
    <row r="405" ht="15" customHeight="1" s="12">
      <c r="A405" s="14" t="inlineStr">
        <is>
          <t>Gujranwala</t>
        </is>
      </c>
      <c r="B405" s="14" t="inlineStr">
        <is>
          <t>Punjab</t>
        </is>
      </c>
      <c r="C405" s="14" t="n">
        <v>2022</v>
      </c>
      <c r="D405" s="15" t="n">
        <v>463.317485606953</v>
      </c>
      <c r="E405" s="15" t="n">
        <v>16023.5172767362</v>
      </c>
      <c r="F405" s="15" t="n">
        <v>716.987367389527</v>
      </c>
      <c r="G405" s="15" t="n">
        <v>343.219810247421</v>
      </c>
      <c r="H405" s="15" t="n">
        <v>76.1703470679402</v>
      </c>
      <c r="I405" s="16" t="n">
        <v>16.4402055683601</v>
      </c>
      <c r="J405" s="15" t="n">
        <v>32.5285179725592</v>
      </c>
      <c r="K405" s="15" t="n">
        <v>3622.32170859864</v>
      </c>
      <c r="L405" s="15" t="n">
        <v>540.258304966386</v>
      </c>
      <c r="M405" s="15" t="n">
        <v>-76.94081935943341</v>
      </c>
      <c r="N405" s="17" t="n">
        <v>16.1789610530242</v>
      </c>
      <c r="O405" s="18" t="n">
        <v>0.446646166590304</v>
      </c>
    </row>
    <row r="406" ht="15" customHeight="1" s="12">
      <c r="A406" s="14" t="inlineStr">
        <is>
          <t>Gujranwala</t>
        </is>
      </c>
      <c r="B406" s="14" t="inlineStr">
        <is>
          <t>Punjab</t>
        </is>
      </c>
      <c r="C406" s="14" t="n">
        <v>2023</v>
      </c>
      <c r="D406" s="15" t="n">
        <v>554.40254440612</v>
      </c>
      <c r="E406" s="15" t="n">
        <v>19173.6315259513</v>
      </c>
      <c r="F406" s="15" t="n">
        <v>773.302429556847</v>
      </c>
      <c r="G406" s="15" t="n">
        <v>403.071229934692</v>
      </c>
      <c r="H406" s="15" t="n">
        <v>80.18392511947221</v>
      </c>
      <c r="I406" s="16" t="n">
        <v>14.4631235784399</v>
      </c>
      <c r="J406" s="15" t="n">
        <v>21.8775371357297</v>
      </c>
      <c r="K406" s="15" t="n">
        <v>3622.32170859864</v>
      </c>
      <c r="L406" s="15" t="n">
        <v>540.258304966386</v>
      </c>
      <c r="M406" s="15" t="n">
        <v>14.144239439734</v>
      </c>
      <c r="N406" s="17" t="n">
        <v>17.8030808335606</v>
      </c>
      <c r="O406" s="18" t="n">
        <v>0.491482597785276</v>
      </c>
    </row>
    <row r="407" ht="15" customHeight="1" s="12">
      <c r="A407" s="14" t="inlineStr">
        <is>
          <t>Gujranwala</t>
        </is>
      </c>
      <c r="B407" s="14" t="inlineStr">
        <is>
          <t>Punjab</t>
        </is>
      </c>
      <c r="C407" s="14" t="n">
        <v>2024</v>
      </c>
      <c r="D407" s="15" t="n">
        <v>570.757903828955</v>
      </c>
      <c r="E407" s="15" t="n">
        <v>19739.2704073237</v>
      </c>
      <c r="F407" s="15" t="n">
        <v>811.555233195424</v>
      </c>
      <c r="G407" s="15" t="n">
        <v>440.710681864293</v>
      </c>
      <c r="H407" s="15" t="n">
        <v>75.1399604016331</v>
      </c>
      <c r="I407" s="16" t="n">
        <v>13.1649443481296</v>
      </c>
      <c r="J407" s="15" t="n">
        <v>41.6947499716521</v>
      </c>
      <c r="K407" s="15" t="n">
        <v>3622.32170859864</v>
      </c>
      <c r="L407" s="15" t="n">
        <v>540.258304966386</v>
      </c>
      <c r="M407" s="15" t="n">
        <v>30.4995988625682</v>
      </c>
      <c r="N407" s="17" t="n">
        <v>13.4884125476119</v>
      </c>
      <c r="O407" s="18" t="n">
        <v>0.372369260178995</v>
      </c>
    </row>
    <row r="408" ht="15" customHeight="1" s="12">
      <c r="A408" s="14" t="inlineStr">
        <is>
          <t>Gujranwala</t>
        </is>
      </c>
      <c r="B408" s="14" t="inlineStr">
        <is>
          <t>Punjab</t>
        </is>
      </c>
      <c r="C408" s="14" t="n">
        <v>2025</v>
      </c>
      <c r="D408" s="15" t="n">
        <v>782.0098131700699</v>
      </c>
      <c r="E408" s="15" t="n">
        <v>27045.2727150857</v>
      </c>
      <c r="F408" s="15" t="n">
        <v>1089.71223211288</v>
      </c>
      <c r="G408" s="15" t="n">
        <v>579.6430335268381</v>
      </c>
      <c r="H408" s="15" t="n">
        <v>98.28764873867441</v>
      </c>
      <c r="I408" s="16" t="n">
        <v>12.5685953147111</v>
      </c>
      <c r="J408" s="15" t="n">
        <v>34.1810862909627</v>
      </c>
      <c r="K408" s="15" t="n">
        <v>3622.32170859864</v>
      </c>
      <c r="L408" s="15" t="n">
        <v>540.258304966386</v>
      </c>
      <c r="M408" s="15" t="n">
        <v>241.751508203684</v>
      </c>
      <c r="N408" s="17" t="n">
        <v>19.5508314784422</v>
      </c>
      <c r="O408" s="18" t="n">
        <v>0.539732057261304</v>
      </c>
    </row>
    <row r="409" ht="15" customHeight="1" s="12">
      <c r="A409" s="14" t="inlineStr">
        <is>
          <t>Gujrat</t>
        </is>
      </c>
      <c r="B409" s="14" t="inlineStr">
        <is>
          <t>Punjab</t>
        </is>
      </c>
      <c r="C409" s="14" t="n">
        <v>2015</v>
      </c>
      <c r="D409" s="15" t="n">
        <v>613.923283130187</v>
      </c>
      <c r="E409" s="15" t="n">
        <v>18709.0111106066</v>
      </c>
      <c r="F409" s="15" t="n">
        <v>799.920611739159</v>
      </c>
      <c r="G409" s="15" t="n">
        <v>476.484956622124</v>
      </c>
      <c r="H409" s="15" t="n">
        <v>94.6937692684134</v>
      </c>
      <c r="I409" s="16" t="n">
        <v>15.4243652049816</v>
      </c>
      <c r="J409" s="15" t="n">
        <v>38.3657186977223</v>
      </c>
      <c r="K409" s="15" t="n">
        <v>3170.11881988153</v>
      </c>
      <c r="L409" s="15" t="n">
        <v>742.43354284058</v>
      </c>
      <c r="M409" s="15" t="n">
        <v>-128.510259710393</v>
      </c>
      <c r="N409" s="17" t="n">
        <v>9.18959222869392</v>
      </c>
      <c r="O409" s="18" t="n">
        <v>0.289881633806942</v>
      </c>
    </row>
    <row r="410" ht="15" customHeight="1" s="12">
      <c r="A410" s="14" t="inlineStr">
        <is>
          <t>Gujrat</t>
        </is>
      </c>
      <c r="B410" s="14" t="inlineStr">
        <is>
          <t>Punjab</t>
        </is>
      </c>
      <c r="C410" s="14" t="n">
        <v>2016</v>
      </c>
      <c r="D410" s="15" t="n">
        <v>747.232278675926</v>
      </c>
      <c r="E410" s="15" t="n">
        <v>22771.5374023162</v>
      </c>
      <c r="F410" s="15" t="n">
        <v>910.978584289551</v>
      </c>
      <c r="G410" s="15" t="n">
        <v>561.867495536804</v>
      </c>
      <c r="H410" s="15" t="n">
        <v>95.8845396543969</v>
      </c>
      <c r="I410" s="16" t="n">
        <v>12.831959002668</v>
      </c>
      <c r="J410" s="15" t="n">
        <v>39.96795779179</v>
      </c>
      <c r="K410" s="15" t="n">
        <v>3170.11881988153</v>
      </c>
      <c r="L410" s="15" t="n">
        <v>742.43354284058</v>
      </c>
      <c r="M410" s="15" t="n">
        <v>4.79873583534641</v>
      </c>
      <c r="N410" s="17" t="n">
        <v>16.5269189628741</v>
      </c>
      <c r="O410" s="18" t="n">
        <v>0.52133436952662</v>
      </c>
    </row>
    <row r="411" ht="15" customHeight="1" s="12">
      <c r="A411" s="14" t="inlineStr">
        <is>
          <t>Gujrat</t>
        </is>
      </c>
      <c r="B411" s="14" t="inlineStr">
        <is>
          <t>Punjab</t>
        </is>
      </c>
      <c r="C411" s="14" t="n">
        <v>2017</v>
      </c>
      <c r="D411" s="15" t="n">
        <v>653.500305488738</v>
      </c>
      <c r="E411" s="15" t="n">
        <v>19915.1014664823</v>
      </c>
      <c r="F411" s="15" t="n">
        <v>802.684787869453</v>
      </c>
      <c r="G411" s="15" t="n">
        <v>499.667603969574</v>
      </c>
      <c r="H411" s="15" t="n">
        <v>84.7927512018432</v>
      </c>
      <c r="I411" s="16" t="n">
        <v>12.9751662684272</v>
      </c>
      <c r="J411" s="15" t="n">
        <v>30.7015828078754</v>
      </c>
      <c r="K411" s="15" t="n">
        <v>3170.11881988153</v>
      </c>
      <c r="L411" s="15" t="n">
        <v>742.43354284058</v>
      </c>
      <c r="M411" s="15" t="n">
        <v>-88.9332373518417</v>
      </c>
      <c r="N411" s="17" t="n">
        <v>6.28806754639221</v>
      </c>
      <c r="O411" s="18" t="n">
        <v>0.198354317414109</v>
      </c>
    </row>
    <row r="412" ht="15" customHeight="1" s="12">
      <c r="A412" s="14" t="inlineStr">
        <is>
          <t>Gujrat</t>
        </is>
      </c>
      <c r="B412" s="14" t="inlineStr">
        <is>
          <t>Punjab</t>
        </is>
      </c>
      <c r="C412" s="14" t="n">
        <v>2018</v>
      </c>
      <c r="D412" s="15" t="n">
        <v>629.077552352589</v>
      </c>
      <c r="E412" s="15" t="n">
        <v>19170.830036596</v>
      </c>
      <c r="F412" s="15" t="n">
        <v>861.468618452549</v>
      </c>
      <c r="G412" s="15" t="n">
        <v>468.296867508441</v>
      </c>
      <c r="H412" s="15" t="n">
        <v>109.209526021739</v>
      </c>
      <c r="I412" s="16" t="n">
        <v>17.3602643447255</v>
      </c>
      <c r="J412" s="15" t="n">
        <v>30.6664521940548</v>
      </c>
      <c r="K412" s="15" t="n">
        <v>3170.11881988153</v>
      </c>
      <c r="L412" s="15" t="n">
        <v>742.43354284058</v>
      </c>
      <c r="M412" s="15" t="n">
        <v>-113.355990487991</v>
      </c>
      <c r="N412" s="17" t="n">
        <v>10.439629953164</v>
      </c>
      <c r="O412" s="18" t="n">
        <v>0.329313522499266</v>
      </c>
    </row>
    <row r="413" ht="15" customHeight="1" s="12">
      <c r="A413" s="14" t="inlineStr">
        <is>
          <t>Gujrat</t>
        </is>
      </c>
      <c r="B413" s="14" t="inlineStr">
        <is>
          <t>Punjab</t>
        </is>
      </c>
      <c r="C413" s="14" t="n">
        <v>2019</v>
      </c>
      <c r="D413" s="15" t="n">
        <v>654.971098912227</v>
      </c>
      <c r="E413" s="15" t="n">
        <v>19959.9231750859</v>
      </c>
      <c r="F413" s="15" t="n">
        <v>883.095144949179</v>
      </c>
      <c r="G413" s="15" t="n">
        <v>491.862185976876</v>
      </c>
      <c r="H413" s="15" t="n">
        <v>121.841902080056</v>
      </c>
      <c r="I413" s="16" t="n">
        <v>18.6026379304996</v>
      </c>
      <c r="J413" s="15" t="n">
        <v>27.4281302277699</v>
      </c>
      <c r="K413" s="15" t="n">
        <v>3170.11881988153</v>
      </c>
      <c r="L413" s="15" t="n">
        <v>742.43354284058</v>
      </c>
      <c r="M413" s="15" t="n">
        <v>-87.4624439283531</v>
      </c>
      <c r="N413" s="17" t="n">
        <v>13.0397515680027</v>
      </c>
      <c r="O413" s="18" t="n">
        <v>0.411333212062064</v>
      </c>
    </row>
    <row r="414" ht="15" customHeight="1" s="12">
      <c r="A414" s="14" t="inlineStr">
        <is>
          <t>Gujrat</t>
        </is>
      </c>
      <c r="B414" s="14" t="inlineStr">
        <is>
          <t>Punjab</t>
        </is>
      </c>
      <c r="C414" s="14" t="n">
        <v>2020</v>
      </c>
      <c r="D414" s="15" t="n">
        <v>772.681301033959</v>
      </c>
      <c r="E414" s="15" t="n">
        <v>23547.0838836663</v>
      </c>
      <c r="F414" s="15" t="n">
        <v>903.492043534665</v>
      </c>
      <c r="G414" s="15" t="n">
        <v>631.789509407312</v>
      </c>
      <c r="H414" s="15" t="n">
        <v>78.2738946059284</v>
      </c>
      <c r="I414" s="16" t="n">
        <v>10.1301655030589</v>
      </c>
      <c r="J414" s="15" t="n">
        <v>35.1025608029855</v>
      </c>
      <c r="K414" s="15" t="n">
        <v>3170.11881988153</v>
      </c>
      <c r="L414" s="15" t="n">
        <v>742.43354284058</v>
      </c>
      <c r="M414" s="15" t="n">
        <v>30.2477581933791</v>
      </c>
      <c r="N414" s="17" t="n">
        <v>13.2244980249538</v>
      </c>
      <c r="O414" s="18" t="n">
        <v>0.417160957564611</v>
      </c>
    </row>
    <row r="415" ht="15" customHeight="1" s="12">
      <c r="A415" s="14" t="inlineStr">
        <is>
          <t>Gujrat</t>
        </is>
      </c>
      <c r="B415" s="14" t="inlineStr">
        <is>
          <t>Punjab</t>
        </is>
      </c>
      <c r="C415" s="14" t="n">
        <v>2021</v>
      </c>
      <c r="D415" s="15" t="n">
        <v>902.1268040873711</v>
      </c>
      <c r="E415" s="15" t="n">
        <v>27491.872135541</v>
      </c>
      <c r="F415" s="15" t="n">
        <v>1163.02957689762</v>
      </c>
      <c r="G415" s="15" t="n">
        <v>672.581898450851</v>
      </c>
      <c r="H415" s="15" t="n">
        <v>146.406304048482</v>
      </c>
      <c r="I415" s="16" t="n">
        <v>16.2290160745853</v>
      </c>
      <c r="J415" s="15" t="n">
        <v>23.0028310384764</v>
      </c>
      <c r="K415" s="15" t="n">
        <v>3170.11881988153</v>
      </c>
      <c r="L415" s="15" t="n">
        <v>742.43354284058</v>
      </c>
      <c r="M415" s="15" t="n">
        <v>159.693261246791</v>
      </c>
      <c r="N415" s="17" t="n">
        <v>14.2321879917177</v>
      </c>
      <c r="O415" s="18" t="n">
        <v>0.448948093126981</v>
      </c>
    </row>
    <row r="416" ht="15" customHeight="1" s="12">
      <c r="A416" s="14" t="inlineStr">
        <is>
          <t>Gujrat</t>
        </is>
      </c>
      <c r="B416" s="14" t="inlineStr">
        <is>
          <t>Punjab</t>
        </is>
      </c>
      <c r="C416" s="14" t="n">
        <v>2022</v>
      </c>
      <c r="D416" s="15" t="n">
        <v>665.3277836659061</v>
      </c>
      <c r="E416" s="15" t="n">
        <v>20275.5380661481</v>
      </c>
      <c r="F416" s="15" t="n">
        <v>910.681867867708</v>
      </c>
      <c r="G416" s="15" t="n">
        <v>503.195733487606</v>
      </c>
      <c r="H416" s="15" t="n">
        <v>113.315213974187</v>
      </c>
      <c r="I416" s="16" t="n">
        <v>17.0314868484567</v>
      </c>
      <c r="J416" s="15" t="n">
        <v>32.0445245142195</v>
      </c>
      <c r="K416" s="15" t="n">
        <v>3170.11881988153</v>
      </c>
      <c r="L416" s="15" t="n">
        <v>742.43354284058</v>
      </c>
      <c r="M416" s="15" t="n">
        <v>-77.10575917467401</v>
      </c>
      <c r="N416" s="17" t="n">
        <v>10.2249050252647</v>
      </c>
      <c r="O416" s="18" t="n">
        <v>0.322540119352588</v>
      </c>
    </row>
    <row r="417" ht="15" customHeight="1" s="12">
      <c r="A417" s="14" t="inlineStr">
        <is>
          <t>Gujrat</t>
        </is>
      </c>
      <c r="B417" s="14" t="inlineStr">
        <is>
          <t>Punjab</t>
        </is>
      </c>
      <c r="C417" s="14" t="n">
        <v>2023</v>
      </c>
      <c r="D417" s="15" t="n">
        <v>691.919490719552</v>
      </c>
      <c r="E417" s="15" t="n">
        <v>21085.9073034574</v>
      </c>
      <c r="F417" s="15" t="n">
        <v>898.727232098579</v>
      </c>
      <c r="G417" s="15" t="n">
        <v>519.865380764008</v>
      </c>
      <c r="H417" s="15" t="n">
        <v>109.020249231334</v>
      </c>
      <c r="I417" s="16" t="n">
        <v>15.7562043985725</v>
      </c>
      <c r="J417" s="15" t="n">
        <v>23.1455411143997</v>
      </c>
      <c r="K417" s="15" t="n">
        <v>3170.11881988153</v>
      </c>
      <c r="L417" s="15" t="n">
        <v>742.43354284058</v>
      </c>
      <c r="M417" s="15" t="n">
        <v>-50.5140521210281</v>
      </c>
      <c r="N417" s="17" t="n">
        <v>10.7053966424039</v>
      </c>
      <c r="O417" s="18" t="n">
        <v>0.337697015495588</v>
      </c>
    </row>
    <row r="418" ht="15" customHeight="1" s="12">
      <c r="A418" s="14" t="inlineStr">
        <is>
          <t>Gujrat</t>
        </is>
      </c>
      <c r="B418" s="14" t="inlineStr">
        <is>
          <t>Punjab</t>
        </is>
      </c>
      <c r="C418" s="14" t="n">
        <v>2024</v>
      </c>
      <c r="D418" s="15" t="n">
        <v>815.2279388196509</v>
      </c>
      <c r="E418" s="15" t="n">
        <v>24843.6718139902</v>
      </c>
      <c r="F418" s="15" t="n">
        <v>984.518950616941</v>
      </c>
      <c r="G418" s="15" t="n">
        <v>625.465119167697</v>
      </c>
      <c r="H418" s="15" t="n">
        <v>106.335539737609</v>
      </c>
      <c r="I418" s="16" t="n">
        <v>13.0436574452502</v>
      </c>
      <c r="J418" s="15" t="n">
        <v>43.3466735297903</v>
      </c>
      <c r="K418" s="15" t="n">
        <v>3170.11881988153</v>
      </c>
      <c r="L418" s="15" t="n">
        <v>742.43354284058</v>
      </c>
      <c r="M418" s="15" t="n">
        <v>72.7943959790712</v>
      </c>
      <c r="N418" s="17" t="n">
        <v>9.912073879452469</v>
      </c>
      <c r="O418" s="18" t="n">
        <v>0.312671998831353</v>
      </c>
    </row>
    <row r="419" ht="15" customHeight="1" s="12">
      <c r="A419" s="14" t="inlineStr">
        <is>
          <t>Gujrat</t>
        </is>
      </c>
      <c r="B419" s="14" t="inlineStr">
        <is>
          <t>Punjab</t>
        </is>
      </c>
      <c r="C419" s="14" t="n">
        <v>2025</v>
      </c>
      <c r="D419" s="15" t="n">
        <v>1020.78113436027</v>
      </c>
      <c r="E419" s="15" t="n">
        <v>31107.8046867203</v>
      </c>
      <c r="F419" s="15" t="n">
        <v>1250.11709398439</v>
      </c>
      <c r="G419" s="15" t="n">
        <v>769.590942621231</v>
      </c>
      <c r="H419" s="15" t="n">
        <v>136.312742320372</v>
      </c>
      <c r="I419" s="16" t="n">
        <v>13.35376778939</v>
      </c>
      <c r="J419" s="15" t="n">
        <v>33.8771071934114</v>
      </c>
      <c r="K419" s="15" t="n">
        <v>3170.11881988153</v>
      </c>
      <c r="L419" s="15" t="n">
        <v>742.43354284058</v>
      </c>
      <c r="M419" s="15" t="n">
        <v>278.347591519691</v>
      </c>
      <c r="N419" s="17" t="n">
        <v>12.4510033853796</v>
      </c>
      <c r="O419" s="18" t="n">
        <v>0.392761410307166</v>
      </c>
    </row>
    <row r="420" ht="15" customHeight="1" s="12">
      <c r="A420" s="14" t="inlineStr">
        <is>
          <t>Gupis-Yasin</t>
        </is>
      </c>
      <c r="B420" s="14" t="inlineStr">
        <is>
          <t>Gilgit Baltistan</t>
        </is>
      </c>
      <c r="C420" s="14" t="n">
        <v>2015</v>
      </c>
      <c r="D420" s="15" t="n">
        <v>114.689829227456</v>
      </c>
      <c r="E420" s="15" t="n">
        <v>8872.94490587942</v>
      </c>
      <c r="F420" s="15" t="n">
        <v>391.44146001339</v>
      </c>
      <c r="G420" s="15" t="n">
        <v>11.0574762225151</v>
      </c>
      <c r="H420" s="15" t="n">
        <v>75.93071122837949</v>
      </c>
      <c r="I420" s="16" t="n">
        <v>66.2052701096901</v>
      </c>
      <c r="J420" s="15" t="n">
        <v>13.5195154095702</v>
      </c>
      <c r="K420" s="15" t="n">
        <v>7724.55898431035</v>
      </c>
      <c r="L420" s="15" t="n">
        <v>109.073007252584</v>
      </c>
      <c r="M420" s="15" t="n">
        <v>5.61682197487157</v>
      </c>
      <c r="N420" s="17" t="n">
        <v>1.85965093958644</v>
      </c>
      <c r="O420" s="18" t="n">
        <v>0.0240745257219688</v>
      </c>
    </row>
    <row r="421" ht="15" customHeight="1" s="12">
      <c r="A421" s="14" t="inlineStr">
        <is>
          <t>Gupis-Yasin</t>
        </is>
      </c>
      <c r="B421" s="14" t="inlineStr">
        <is>
          <t>Gilgit Baltistan</t>
        </is>
      </c>
      <c r="C421" s="14" t="n">
        <v>2016</v>
      </c>
      <c r="D421" s="15" t="n">
        <v>103.913528641471</v>
      </c>
      <c r="E421" s="15" t="n">
        <v>8039.23958054489</v>
      </c>
      <c r="F421" s="15" t="n">
        <v>348.3826212883</v>
      </c>
      <c r="G421" s="15" t="n">
        <v>8.835523247718809</v>
      </c>
      <c r="H421" s="15" t="n">
        <v>76.5469210049597</v>
      </c>
      <c r="I421" s="16" t="n">
        <v>73.6640570344469</v>
      </c>
      <c r="J421" s="15" t="n">
        <v>17.816301703163</v>
      </c>
      <c r="K421" s="15" t="n">
        <v>7724.55898431035</v>
      </c>
      <c r="L421" s="15" t="n">
        <v>109.073007252584</v>
      </c>
      <c r="M421" s="15" t="n">
        <v>-5.1594786111131</v>
      </c>
      <c r="N421" s="17" t="n">
        <v>4.02497523758497</v>
      </c>
      <c r="O421" s="18" t="n">
        <v>0.0521062140344873</v>
      </c>
    </row>
    <row r="422" ht="15" customHeight="1" s="12">
      <c r="A422" s="14" t="inlineStr">
        <is>
          <t>Gupis-Yasin</t>
        </is>
      </c>
      <c r="B422" s="14" t="inlineStr">
        <is>
          <t>Gilgit Baltistan</t>
        </is>
      </c>
      <c r="C422" s="14" t="n">
        <v>2017</v>
      </c>
      <c r="D422" s="15" t="n">
        <v>107.46191770608</v>
      </c>
      <c r="E422" s="15" t="n">
        <v>8313.759656884509</v>
      </c>
      <c r="F422" s="15" t="n">
        <v>370.482429981232</v>
      </c>
      <c r="G422" s="15" t="n">
        <v>7.61300086975098</v>
      </c>
      <c r="H422" s="15" t="n">
        <v>79.2740423032875</v>
      </c>
      <c r="I422" s="16" t="n">
        <v>73.7694282732889</v>
      </c>
      <c r="J422" s="15" t="n">
        <v>14.4351682887267</v>
      </c>
      <c r="K422" s="15" t="n">
        <v>7724.55898431035</v>
      </c>
      <c r="L422" s="15" t="n">
        <v>109.073007252584</v>
      </c>
      <c r="M422" s="15" t="n">
        <v>-1.61108954650425</v>
      </c>
      <c r="N422" s="17" t="n">
        <v>0.710121694896504</v>
      </c>
      <c r="O422" s="18" t="n">
        <v>0.0091930386749439</v>
      </c>
    </row>
    <row r="423" ht="15" customHeight="1" s="12">
      <c r="A423" s="14" t="inlineStr">
        <is>
          <t>Gupis-Yasin</t>
        </is>
      </c>
      <c r="B423" s="14" t="inlineStr">
        <is>
          <t>Gilgit Baltistan</t>
        </is>
      </c>
      <c r="C423" s="14" t="n">
        <v>2018</v>
      </c>
      <c r="D423" s="15" t="n">
        <v>100.33913703088</v>
      </c>
      <c r="E423" s="15" t="n">
        <v>7762.70782488311</v>
      </c>
      <c r="F423" s="15" t="n">
        <v>340.611330062151</v>
      </c>
      <c r="G423" s="15" t="n">
        <v>8.545098114991561</v>
      </c>
      <c r="H423" s="15" t="n">
        <v>68.9281242716544</v>
      </c>
      <c r="I423" s="16" t="n">
        <v>68.6951535674874</v>
      </c>
      <c r="J423" s="15" t="n">
        <v>16.6371147607462</v>
      </c>
      <c r="K423" s="15" t="n">
        <v>7724.55898431035</v>
      </c>
      <c r="L423" s="15" t="n">
        <v>109.073007252584</v>
      </c>
      <c r="M423" s="15" t="n">
        <v>-8.73387022170486</v>
      </c>
      <c r="N423" s="17" t="n">
        <v>1.92066079870606</v>
      </c>
      <c r="O423" s="18" t="n">
        <v>0.0248643424512284</v>
      </c>
    </row>
    <row r="424" ht="15" customHeight="1" s="12">
      <c r="A424" s="14" t="inlineStr">
        <is>
          <t>Gupis-Yasin</t>
        </is>
      </c>
      <c r="B424" s="14" t="inlineStr">
        <is>
          <t>Gilgit Baltistan</t>
        </is>
      </c>
      <c r="C424" s="14" t="n">
        <v>2019</v>
      </c>
      <c r="D424" s="15" t="n">
        <v>126.486611210214</v>
      </c>
      <c r="E424" s="15" t="n">
        <v>9785.59947433376</v>
      </c>
      <c r="F424" s="15" t="n">
        <v>386.830212295055</v>
      </c>
      <c r="G424" s="15" t="n">
        <v>21.6239461600781</v>
      </c>
      <c r="H424" s="15" t="n">
        <v>82.7361398712695</v>
      </c>
      <c r="I424" s="16" t="n">
        <v>65.4109862535302</v>
      </c>
      <c r="J424" s="15" t="n">
        <v>18.8583738848337</v>
      </c>
      <c r="K424" s="15" t="n">
        <v>7724.55898431035</v>
      </c>
      <c r="L424" s="15" t="n">
        <v>109.073007252584</v>
      </c>
      <c r="M424" s="15" t="n">
        <v>17.41360395763</v>
      </c>
      <c r="N424" s="17" t="n">
        <v>2.19981317510986</v>
      </c>
      <c r="O424" s="18" t="n">
        <v>0.0284781717581287</v>
      </c>
    </row>
    <row r="425" ht="15" customHeight="1" s="12">
      <c r="A425" s="14" t="inlineStr">
        <is>
          <t>Gupis-Yasin</t>
        </is>
      </c>
      <c r="B425" s="14" t="inlineStr">
        <is>
          <t>Gilgit Baltistan</t>
        </is>
      </c>
      <c r="C425" s="14" t="n">
        <v>2020</v>
      </c>
      <c r="D425" s="15" t="n">
        <v>133.384208467941</v>
      </c>
      <c r="E425" s="15" t="n">
        <v>10319.2300574727</v>
      </c>
      <c r="F425" s="15" t="n">
        <v>472.321100713329</v>
      </c>
      <c r="G425" s="15" t="n">
        <v>13.8065599254624</v>
      </c>
      <c r="H425" s="15" t="n">
        <v>89.45898935281031</v>
      </c>
      <c r="I425" s="16" t="n">
        <v>67.0686510647263</v>
      </c>
      <c r="J425" s="15" t="n">
        <v>21.5359387672344</v>
      </c>
      <c r="K425" s="15" t="n">
        <v>7724.55898431035</v>
      </c>
      <c r="L425" s="15" t="n">
        <v>109.073007252584</v>
      </c>
      <c r="M425" s="15" t="n">
        <v>24.3112012153562</v>
      </c>
      <c r="N425" s="17" t="n">
        <v>3.88792211902981</v>
      </c>
      <c r="O425" s="18" t="n">
        <v>0.050331962341497</v>
      </c>
    </row>
    <row r="426" ht="15" customHeight="1" s="12">
      <c r="A426" s="14" t="inlineStr">
        <is>
          <t>Gupis-Yasin</t>
        </is>
      </c>
      <c r="B426" s="14" t="inlineStr">
        <is>
          <t>Gilgit Baltistan</t>
        </is>
      </c>
      <c r="C426" s="14" t="n">
        <v>2021</v>
      </c>
      <c r="D426" s="15" t="n">
        <v>96.04695437835269</v>
      </c>
      <c r="E426" s="15" t="n">
        <v>7430.64437637703</v>
      </c>
      <c r="F426" s="15" t="n">
        <v>331.490610837936</v>
      </c>
      <c r="G426" s="15" t="n">
        <v>6.30581092834473</v>
      </c>
      <c r="H426" s="15" t="n">
        <v>72.6794283673333</v>
      </c>
      <c r="I426" s="16" t="n">
        <v>75.6707267166756</v>
      </c>
      <c r="J426" s="15" t="n">
        <v>15.6278386050284</v>
      </c>
      <c r="K426" s="15" t="n">
        <v>7724.55898431035</v>
      </c>
      <c r="L426" s="15" t="n">
        <v>109.073007252584</v>
      </c>
      <c r="M426" s="15" t="n">
        <v>-13.0260528742317</v>
      </c>
      <c r="N426" s="17" t="n">
        <v>2.17109187701416</v>
      </c>
      <c r="O426" s="18" t="n">
        <v>0.0281063537921576</v>
      </c>
    </row>
    <row r="427" ht="15" customHeight="1" s="12">
      <c r="A427" s="14" t="inlineStr">
        <is>
          <t>Gupis-Yasin</t>
        </is>
      </c>
      <c r="B427" s="14" t="inlineStr">
        <is>
          <t>Gilgit Baltistan</t>
        </is>
      </c>
      <c r="C427" s="14" t="n">
        <v>2022</v>
      </c>
      <c r="D427" s="15" t="n">
        <v>124.223452155563</v>
      </c>
      <c r="E427" s="15" t="n">
        <v>9610.51083970571</v>
      </c>
      <c r="F427" s="15" t="n">
        <v>431.017736077309</v>
      </c>
      <c r="G427" s="15" t="n">
        <v>10.5375901861116</v>
      </c>
      <c r="H427" s="15" t="n">
        <v>95.2899667661944</v>
      </c>
      <c r="I427" s="16" t="n">
        <v>76.7085160754219</v>
      </c>
      <c r="J427" s="15" t="n">
        <v>18.2913118410381</v>
      </c>
      <c r="K427" s="15" t="n">
        <v>7724.55898431035</v>
      </c>
      <c r="L427" s="15" t="n">
        <v>109.073007252584</v>
      </c>
      <c r="M427" s="15" t="n">
        <v>15.150444902979</v>
      </c>
      <c r="N427" s="17" t="n">
        <v>2.4183696817627</v>
      </c>
      <c r="O427" s="18" t="n">
        <v>0.031307543727412</v>
      </c>
    </row>
    <row r="428" ht="15" customHeight="1" s="12">
      <c r="A428" s="14" t="inlineStr">
        <is>
          <t>Gupis-Yasin</t>
        </is>
      </c>
      <c r="B428" s="14" t="inlineStr">
        <is>
          <t>Gilgit Baltistan</t>
        </is>
      </c>
      <c r="C428" s="14" t="n">
        <v>2023</v>
      </c>
      <c r="D428" s="15" t="n">
        <v>94.1801160921336</v>
      </c>
      <c r="E428" s="15" t="n">
        <v>7286.21698143377</v>
      </c>
      <c r="F428" s="15" t="n">
        <v>299.082374572754</v>
      </c>
      <c r="G428" s="15" t="n">
        <v>5.72851192951202</v>
      </c>
      <c r="H428" s="15" t="n">
        <v>68.5258538261515</v>
      </c>
      <c r="I428" s="16" t="n">
        <v>72.7604261595035</v>
      </c>
      <c r="J428" s="15" t="n">
        <v>15.716798459043</v>
      </c>
      <c r="K428" s="15" t="n">
        <v>7724.55898431035</v>
      </c>
      <c r="L428" s="15" t="n">
        <v>109.073007252584</v>
      </c>
      <c r="M428" s="15" t="n">
        <v>-14.8928911604508</v>
      </c>
      <c r="N428" s="17" t="n">
        <v>2.0222296634634</v>
      </c>
      <c r="O428" s="18" t="n">
        <v>0.0261792248278617</v>
      </c>
    </row>
    <row r="429" ht="15" customHeight="1" s="12">
      <c r="A429" s="14" t="inlineStr">
        <is>
          <t>Gupis-Yasin</t>
        </is>
      </c>
      <c r="B429" s="14" t="inlineStr">
        <is>
          <t>Gilgit Baltistan</t>
        </is>
      </c>
      <c r="C429" s="14" t="n">
        <v>2024</v>
      </c>
      <c r="D429" s="15" t="n">
        <v>111.616825824685</v>
      </c>
      <c r="E429" s="15" t="n">
        <v>8635.202901448571</v>
      </c>
      <c r="F429" s="15" t="n">
        <v>363.403809741139</v>
      </c>
      <c r="G429" s="15" t="n">
        <v>12.6281387713374</v>
      </c>
      <c r="H429" s="15" t="n">
        <v>80.0991401437692</v>
      </c>
      <c r="I429" s="16" t="n">
        <v>71.76260348917261</v>
      </c>
      <c r="J429" s="15" t="n">
        <v>18.8977088402271</v>
      </c>
      <c r="K429" s="15" t="n">
        <v>7724.55898431035</v>
      </c>
      <c r="L429" s="15" t="n">
        <v>109.073007252584</v>
      </c>
      <c r="M429" s="15" t="n">
        <v>2.54381857210061</v>
      </c>
      <c r="N429" s="17" t="n">
        <v>3.03719294415283</v>
      </c>
      <c r="O429" s="18" t="n">
        <v>0.0393186581955267</v>
      </c>
    </row>
    <row r="430" ht="15" customHeight="1" s="12">
      <c r="A430" s="14" t="inlineStr">
        <is>
          <t>Gupis-Yasin</t>
        </is>
      </c>
      <c r="B430" s="14" t="inlineStr">
        <is>
          <t>Gilgit Baltistan</t>
        </is>
      </c>
      <c r="C430" s="14" t="n">
        <v>2025</v>
      </c>
      <c r="D430" s="15" t="n">
        <v>87.46049904365169</v>
      </c>
      <c r="E430" s="15" t="n">
        <v>6766.35578483592</v>
      </c>
      <c r="F430" s="15" t="n">
        <v>273.531066119671</v>
      </c>
      <c r="G430" s="15" t="n">
        <v>6.2723261974752</v>
      </c>
      <c r="H430" s="15" t="n">
        <v>58.4881129704291</v>
      </c>
      <c r="I430" s="16" t="n">
        <v>66.8737471315337</v>
      </c>
      <c r="J430" s="15" t="n">
        <v>16.4844383617194</v>
      </c>
      <c r="K430" s="15" t="n">
        <v>7724.55898431035</v>
      </c>
      <c r="L430" s="15" t="n">
        <v>109.073007252584</v>
      </c>
      <c r="M430" s="15" t="n">
        <v>-21.6125082089327</v>
      </c>
      <c r="N430" s="17" t="n">
        <v>1.01351956872559</v>
      </c>
      <c r="O430" s="18" t="n">
        <v>0.0131207434726589</v>
      </c>
    </row>
    <row r="431" ht="15" customHeight="1" s="12">
      <c r="A431" s="14" t="inlineStr">
        <is>
          <t>Gwadar</t>
        </is>
      </c>
      <c r="B431" s="14" t="inlineStr">
        <is>
          <t>Balochistan</t>
        </is>
      </c>
      <c r="C431" s="14" t="n">
        <v>2015</v>
      </c>
      <c r="D431" s="15" t="n">
        <v>5.42743949866435</v>
      </c>
      <c r="E431" s="15" t="n">
        <v>562.410436520418</v>
      </c>
      <c r="F431" s="15" t="n">
        <v>27.7004369497299</v>
      </c>
      <c r="G431" s="15" t="n">
        <v>0</v>
      </c>
      <c r="H431" s="15" t="n">
        <v>6.99805966300195</v>
      </c>
      <c r="I431" s="16" t="n">
        <v>128.93851077887</v>
      </c>
      <c r="J431" s="15" t="n">
        <v>1.12125340599455</v>
      </c>
      <c r="K431" s="15" t="n">
        <v>11597.7207776497</v>
      </c>
      <c r="L431" s="15" t="n">
        <v>20.8657101715393</v>
      </c>
      <c r="M431" s="15" t="n">
        <v>-15.438270672875</v>
      </c>
      <c r="N431" s="17" t="n">
        <v>59.7632777971983</v>
      </c>
      <c r="O431" s="18" t="n">
        <v>0.515301919601049</v>
      </c>
    </row>
    <row r="432" ht="15" customHeight="1" s="12">
      <c r="A432" s="14" t="inlineStr">
        <is>
          <t>Gwadar</t>
        </is>
      </c>
      <c r="B432" s="14" t="inlineStr">
        <is>
          <t>Balochistan</t>
        </is>
      </c>
      <c r="C432" s="14" t="n">
        <v>2016</v>
      </c>
      <c r="D432" s="15" t="n">
        <v>4.80398859046835</v>
      </c>
      <c r="E432" s="15" t="n">
        <v>497.806252998179</v>
      </c>
      <c r="F432" s="15" t="n">
        <v>39.0623181760311</v>
      </c>
      <c r="G432" s="15" t="n">
        <v>0</v>
      </c>
      <c r="H432" s="15" t="n">
        <v>9.2741077071632</v>
      </c>
      <c r="I432" s="16" t="n">
        <v>193.050160975904</v>
      </c>
      <c r="J432" s="15" t="n">
        <v>1.78451407811081</v>
      </c>
      <c r="K432" s="15" t="n">
        <v>11597.7207776497</v>
      </c>
      <c r="L432" s="15" t="n">
        <v>20.8657101715393</v>
      </c>
      <c r="M432" s="15" t="n">
        <v>-16.061721581071</v>
      </c>
      <c r="N432" s="17" t="n">
        <v>44.3414076053449</v>
      </c>
      <c r="O432" s="18" t="n">
        <v>0.382328635560848</v>
      </c>
    </row>
    <row r="433" ht="15" customHeight="1" s="12">
      <c r="A433" s="14" t="inlineStr">
        <is>
          <t>Gwadar</t>
        </is>
      </c>
      <c r="B433" s="14" t="inlineStr">
        <is>
          <t>Balochistan</t>
        </is>
      </c>
      <c r="C433" s="14" t="n">
        <v>2017</v>
      </c>
      <c r="D433" s="15" t="n">
        <v>8.89100797942668</v>
      </c>
      <c r="E433" s="15" t="n">
        <v>921.317626856355</v>
      </c>
      <c r="F433" s="15" t="n">
        <v>61.8304044008255</v>
      </c>
      <c r="G433" s="15" t="n">
        <v>0</v>
      </c>
      <c r="H433" s="15" t="n">
        <v>14.2154838409267</v>
      </c>
      <c r="I433" s="16" t="n">
        <v>159.886076739787</v>
      </c>
      <c r="J433" s="15" t="n">
        <v>2.93903269754768</v>
      </c>
      <c r="K433" s="15" t="n">
        <v>11597.7207776497</v>
      </c>
      <c r="L433" s="15" t="n">
        <v>20.8657101715393</v>
      </c>
      <c r="M433" s="15" t="n">
        <v>-11.9747021921127</v>
      </c>
      <c r="N433" s="17" t="n">
        <v>25.9095264789666</v>
      </c>
      <c r="O433" s="18" t="n">
        <v>0.223401881936127</v>
      </c>
    </row>
    <row r="434" ht="15" customHeight="1" s="12">
      <c r="A434" s="14" t="inlineStr">
        <is>
          <t>Gwadar</t>
        </is>
      </c>
      <c r="B434" s="14" t="inlineStr">
        <is>
          <t>Balochistan</t>
        </is>
      </c>
      <c r="C434" s="14" t="n">
        <v>2018</v>
      </c>
      <c r="D434" s="15" t="n">
        <v>4.37824034479566</v>
      </c>
      <c r="E434" s="15" t="n">
        <v>453.688717140708</v>
      </c>
      <c r="F434" s="15" t="n">
        <v>22.2094408498309</v>
      </c>
      <c r="G434" s="15" t="n">
        <v>0.6558998078107831</v>
      </c>
      <c r="H434" s="15" t="n">
        <v>4.64739524669733</v>
      </c>
      <c r="I434" s="16" t="n">
        <v>106.147558852533</v>
      </c>
      <c r="J434" s="15" t="n">
        <v>1.00147593097184</v>
      </c>
      <c r="K434" s="15" t="n">
        <v>11597.7207776497</v>
      </c>
      <c r="L434" s="15" t="n">
        <v>20.8657101715393</v>
      </c>
      <c r="M434" s="15" t="n">
        <v>-16.4874698267437</v>
      </c>
      <c r="N434" s="17" t="n">
        <v>32.0355715839347</v>
      </c>
      <c r="O434" s="18" t="n">
        <v>0.276222994139258</v>
      </c>
    </row>
    <row r="435" ht="15" customHeight="1" s="12">
      <c r="A435" s="14" t="inlineStr">
        <is>
          <t>Gwadar</t>
        </is>
      </c>
      <c r="B435" s="14" t="inlineStr">
        <is>
          <t>Balochistan</t>
        </is>
      </c>
      <c r="C435" s="14" t="n">
        <v>2019</v>
      </c>
      <c r="D435" s="15" t="n">
        <v>20.1082621997727</v>
      </c>
      <c r="E435" s="15" t="n">
        <v>2083.68909947762</v>
      </c>
      <c r="F435" s="15" t="n">
        <v>90.4140167023935</v>
      </c>
      <c r="G435" s="15" t="n">
        <v>1.9928925037384</v>
      </c>
      <c r="H435" s="15" t="n">
        <v>22.6291395754879</v>
      </c>
      <c r="I435" s="16" t="n">
        <v>112.536525288315</v>
      </c>
      <c r="J435" s="15" t="n">
        <v>4.3951710566152</v>
      </c>
      <c r="K435" s="15" t="n">
        <v>11597.7207776497</v>
      </c>
      <c r="L435" s="15" t="n">
        <v>20.8657101715393</v>
      </c>
      <c r="M435" s="15" t="n">
        <v>-0.757447971766638</v>
      </c>
      <c r="N435" s="17" t="n">
        <v>47.0379040621831</v>
      </c>
      <c r="O435" s="18" t="n">
        <v>0.405578862985142</v>
      </c>
    </row>
    <row r="436" ht="15" customHeight="1" s="12">
      <c r="A436" s="14" t="inlineStr">
        <is>
          <t>Gwadar</t>
        </is>
      </c>
      <c r="B436" s="14" t="inlineStr">
        <is>
          <t>Balochistan</t>
        </is>
      </c>
      <c r="C436" s="14" t="n">
        <v>2020</v>
      </c>
      <c r="D436" s="15" t="n">
        <v>26.3612705046557</v>
      </c>
      <c r="E436" s="15" t="n">
        <v>2731.64788947067</v>
      </c>
      <c r="F436" s="15" t="n">
        <v>92.1881682555686</v>
      </c>
      <c r="G436" s="15" t="n">
        <v>6.19827897728288</v>
      </c>
      <c r="H436" s="15" t="n">
        <v>22.363898640706</v>
      </c>
      <c r="I436" s="16" t="n">
        <v>84.8361942067863</v>
      </c>
      <c r="J436" s="15" t="n">
        <v>7.94777475022706</v>
      </c>
      <c r="K436" s="15" t="n">
        <v>11597.7207776497</v>
      </c>
      <c r="L436" s="15" t="n">
        <v>20.8657101715393</v>
      </c>
      <c r="M436" s="15" t="n">
        <v>5.49556033311632</v>
      </c>
      <c r="N436" s="17" t="n">
        <v>48.4871286148443</v>
      </c>
      <c r="O436" s="18" t="n">
        <v>0.418074633321793</v>
      </c>
    </row>
    <row r="437" ht="15" customHeight="1" s="12">
      <c r="A437" s="14" t="inlineStr">
        <is>
          <t>Gwadar</t>
        </is>
      </c>
      <c r="B437" s="14" t="inlineStr">
        <is>
          <t>Balochistan</t>
        </is>
      </c>
      <c r="C437" s="14" t="n">
        <v>2021</v>
      </c>
      <c r="D437" s="15" t="n">
        <v>20.6488619438511</v>
      </c>
      <c r="E437" s="15" t="n">
        <v>2139.70795295813</v>
      </c>
      <c r="F437" s="15" t="n">
        <v>69.7246474027634</v>
      </c>
      <c r="G437" s="15" t="n">
        <v>7.14071220159531</v>
      </c>
      <c r="H437" s="15" t="n">
        <v>13.8955967526475</v>
      </c>
      <c r="I437" s="16" t="n">
        <v>67.29473416226379</v>
      </c>
      <c r="J437" s="15" t="n">
        <v>4.39358159249167</v>
      </c>
      <c r="K437" s="15" t="n">
        <v>11597.7207776497</v>
      </c>
      <c r="L437" s="15" t="n">
        <v>20.8657101715393</v>
      </c>
      <c r="M437" s="15" t="n">
        <v>-0.216848227688214</v>
      </c>
      <c r="N437" s="17" t="n">
        <v>19.9864703889177</v>
      </c>
      <c r="O437" s="18" t="n">
        <v>0.172331018931188</v>
      </c>
    </row>
    <row r="438" ht="15" customHeight="1" s="12">
      <c r="A438" s="14" t="inlineStr">
        <is>
          <t>Gwadar</t>
        </is>
      </c>
      <c r="B438" s="14" t="inlineStr">
        <is>
          <t>Balochistan</t>
        </is>
      </c>
      <c r="C438" s="14" t="n">
        <v>2022</v>
      </c>
      <c r="D438" s="15" t="n">
        <v>90.3842269055646</v>
      </c>
      <c r="E438" s="15" t="n">
        <v>9365.93259510839</v>
      </c>
      <c r="F438" s="15" t="n">
        <v>229.24584352559</v>
      </c>
      <c r="G438" s="15" t="n">
        <v>19.6556009063497</v>
      </c>
      <c r="H438" s="15" t="n">
        <v>60.2635036776027</v>
      </c>
      <c r="I438" s="16" t="n">
        <v>66.67480127983769</v>
      </c>
      <c r="J438" s="15" t="n">
        <v>16.384953072964</v>
      </c>
      <c r="K438" s="15" t="n">
        <v>11597.7207776497</v>
      </c>
      <c r="L438" s="15" t="n">
        <v>20.8657101715393</v>
      </c>
      <c r="M438" s="15" t="n">
        <v>69.5185167340253</v>
      </c>
      <c r="N438" s="17" t="n">
        <v>51.3604197830621</v>
      </c>
      <c r="O438" s="18" t="n">
        <v>0.442849252605223</v>
      </c>
    </row>
    <row r="439" ht="15" customHeight="1" s="12">
      <c r="A439" s="14" t="inlineStr">
        <is>
          <t>Gwadar</t>
        </is>
      </c>
      <c r="B439" s="14" t="inlineStr">
        <is>
          <t>Balochistan</t>
        </is>
      </c>
      <c r="C439" s="14" t="n">
        <v>2023</v>
      </c>
      <c r="D439" s="15" t="n">
        <v>11.5241686165726</v>
      </c>
      <c r="E439" s="15" t="n">
        <v>1194.17502558555</v>
      </c>
      <c r="F439" s="15" t="n">
        <v>45.7056169509888</v>
      </c>
      <c r="G439" s="15" t="n">
        <v>2.87648278474808</v>
      </c>
      <c r="H439" s="15" t="n">
        <v>9.06318551884727</v>
      </c>
      <c r="I439" s="16" t="n">
        <v>78.64502698974511</v>
      </c>
      <c r="J439" s="15" t="n">
        <v>3.90398879806237</v>
      </c>
      <c r="K439" s="15" t="n">
        <v>11597.7207776497</v>
      </c>
      <c r="L439" s="15" t="n">
        <v>20.8657101715393</v>
      </c>
      <c r="M439" s="15" t="n">
        <v>-9.341541554966691</v>
      </c>
      <c r="N439" s="17" t="n">
        <v>51.280468152939</v>
      </c>
      <c r="O439" s="18" t="n">
        <v>0.442159878963143</v>
      </c>
    </row>
    <row r="440" ht="15" customHeight="1" s="12">
      <c r="A440" s="14" t="inlineStr">
        <is>
          <t>Gwadar</t>
        </is>
      </c>
      <c r="B440" s="14" t="inlineStr">
        <is>
          <t>Balochistan</t>
        </is>
      </c>
      <c r="C440" s="14" t="n">
        <v>2024</v>
      </c>
      <c r="D440" s="15" t="n">
        <v>23.1245311775752</v>
      </c>
      <c r="E440" s="15" t="n">
        <v>2396.24553661274</v>
      </c>
      <c r="F440" s="15" t="n">
        <v>83.7243901152133</v>
      </c>
      <c r="G440" s="15" t="n">
        <v>3.63294317499297</v>
      </c>
      <c r="H440" s="15" t="n">
        <v>19.6806027722078</v>
      </c>
      <c r="I440" s="16" t="n">
        <v>85.10703469436351</v>
      </c>
      <c r="J440" s="15" t="n">
        <v>7.4406600060551</v>
      </c>
      <c r="K440" s="15" t="n">
        <v>11597.7207776497</v>
      </c>
      <c r="L440" s="15" t="n">
        <v>20.8657101715393</v>
      </c>
      <c r="M440" s="15" t="n">
        <v>2.25882100603589</v>
      </c>
      <c r="N440" s="17" t="n">
        <v>19.6427057369246</v>
      </c>
      <c r="O440" s="18" t="n">
        <v>0.169366948157423</v>
      </c>
    </row>
    <row r="441" ht="15" customHeight="1" s="12">
      <c r="A441" s="14" t="inlineStr">
        <is>
          <t>Gwadar</t>
        </is>
      </c>
      <c r="B441" s="14" t="inlineStr">
        <is>
          <t>Balochistan</t>
        </is>
      </c>
      <c r="C441" s="14" t="n">
        <v>2025</v>
      </c>
      <c r="D441" s="15" t="n">
        <v>13.8708141255857</v>
      </c>
      <c r="E441" s="15" t="n">
        <v>1437.34271550775</v>
      </c>
      <c r="F441" s="15" t="n">
        <v>69.3071249607747</v>
      </c>
      <c r="G441" s="15" t="n">
        <v>1.1208347785323</v>
      </c>
      <c r="H441" s="15" t="n">
        <v>14.4384514244204</v>
      </c>
      <c r="I441" s="16" t="n">
        <v>104.092314219593</v>
      </c>
      <c r="J441" s="15" t="n">
        <v>4.62473508931274</v>
      </c>
      <c r="K441" s="15" t="n">
        <v>11597.7207776497</v>
      </c>
      <c r="L441" s="15" t="n">
        <v>20.8657101715393</v>
      </c>
      <c r="M441" s="15" t="n">
        <v>-6.99489604595365</v>
      </c>
      <c r="N441" s="17" t="n">
        <v>37.1053942367954</v>
      </c>
      <c r="O441" s="18" t="n">
        <v>0.319936950959385</v>
      </c>
    </row>
    <row r="442" ht="15" customHeight="1" s="12">
      <c r="A442" s="14" t="inlineStr">
        <is>
          <t>Hafizabad</t>
        </is>
      </c>
      <c r="B442" s="14" t="inlineStr">
        <is>
          <t>Punjab</t>
        </is>
      </c>
      <c r="C442" s="14" t="n">
        <v>2015</v>
      </c>
      <c r="D442" s="15" t="n">
        <v>308.85415717861</v>
      </c>
      <c r="E442" s="15" t="n">
        <v>6713.64154212171</v>
      </c>
      <c r="F442" s="15" t="n">
        <v>381.788648068905</v>
      </c>
      <c r="G442" s="15" t="n">
        <v>230.742073714733</v>
      </c>
      <c r="H442" s="15" t="n">
        <v>40.7665814167688</v>
      </c>
      <c r="I442" s="16" t="n">
        <v>13.199298267238</v>
      </c>
      <c r="J442" s="15" t="n">
        <v>31.5307595165073</v>
      </c>
      <c r="K442" s="15" t="n">
        <v>2278.96347327525</v>
      </c>
      <c r="L442" s="15" t="n">
        <v>388.324081674284</v>
      </c>
      <c r="M442" s="15" t="n">
        <v>-79.46992449567421</v>
      </c>
      <c r="N442" s="17" t="n">
        <v>14.7005233926833</v>
      </c>
      <c r="O442" s="18" t="n">
        <v>0.645053049997162</v>
      </c>
    </row>
    <row r="443" ht="15" customHeight="1" s="12">
      <c r="A443" s="14" t="inlineStr">
        <is>
          <t>Hafizabad</t>
        </is>
      </c>
      <c r="B443" s="14" t="inlineStr">
        <is>
          <t>Punjab</t>
        </is>
      </c>
      <c r="C443" s="14" t="n">
        <v>2016</v>
      </c>
      <c r="D443" s="15" t="n">
        <v>368.402296620845</v>
      </c>
      <c r="E443" s="15" t="n">
        <v>8008.05462811508</v>
      </c>
      <c r="F443" s="15" t="n">
        <v>465.400290727615</v>
      </c>
      <c r="G443" s="15" t="n">
        <v>279.003871202469</v>
      </c>
      <c r="H443" s="15" t="n">
        <v>39.6191542823167</v>
      </c>
      <c r="I443" s="16" t="n">
        <v>10.7543179414791</v>
      </c>
      <c r="J443" s="15" t="n">
        <v>30.6278188706477</v>
      </c>
      <c r="K443" s="15" t="n">
        <v>2278.96347327525</v>
      </c>
      <c r="L443" s="15" t="n">
        <v>388.324081674284</v>
      </c>
      <c r="M443" s="15" t="n">
        <v>-19.9217850534394</v>
      </c>
      <c r="N443" s="17" t="n">
        <v>27.2477080494244</v>
      </c>
      <c r="O443" s="18" t="n">
        <v>1.19561846290871</v>
      </c>
    </row>
    <row r="444" ht="15" customHeight="1" s="12">
      <c r="A444" s="14" t="inlineStr">
        <is>
          <t>Hafizabad</t>
        </is>
      </c>
      <c r="B444" s="14" t="inlineStr">
        <is>
          <t>Punjab</t>
        </is>
      </c>
      <c r="C444" s="14" t="n">
        <v>2017</v>
      </c>
      <c r="D444" s="15" t="n">
        <v>323.927789905216</v>
      </c>
      <c r="E444" s="15" t="n">
        <v>7041.30093899848</v>
      </c>
      <c r="F444" s="15" t="n">
        <v>424.698341846466</v>
      </c>
      <c r="G444" s="15" t="n">
        <v>238.278055012226</v>
      </c>
      <c r="H444" s="15" t="n">
        <v>44.6854114030197</v>
      </c>
      <c r="I444" s="16" t="n">
        <v>13.7948681143088</v>
      </c>
      <c r="J444" s="15" t="n">
        <v>24.2159480425762</v>
      </c>
      <c r="K444" s="15" t="n">
        <v>2278.96347327525</v>
      </c>
      <c r="L444" s="15" t="n">
        <v>388.324081674284</v>
      </c>
      <c r="M444" s="15" t="n">
        <v>-64.3962917690682</v>
      </c>
      <c r="N444" s="17" t="n">
        <v>9.864640896400861</v>
      </c>
      <c r="O444" s="18" t="n">
        <v>0.432856472342829</v>
      </c>
    </row>
    <row r="445" ht="15" customHeight="1" s="12">
      <c r="A445" s="14" t="inlineStr">
        <is>
          <t>Hafizabad</t>
        </is>
      </c>
      <c r="B445" s="14" t="inlineStr">
        <is>
          <t>Punjab</t>
        </is>
      </c>
      <c r="C445" s="14" t="n">
        <v>2018</v>
      </c>
      <c r="D445" s="15" t="n">
        <v>313.702819985854</v>
      </c>
      <c r="E445" s="15" t="n">
        <v>6819.03816149642</v>
      </c>
      <c r="F445" s="15" t="n">
        <v>384.79761838913</v>
      </c>
      <c r="G445" s="15" t="n">
        <v>253.882193952799</v>
      </c>
      <c r="H445" s="15" t="n">
        <v>28.8986624268035</v>
      </c>
      <c r="I445" s="16" t="n">
        <v>9.21211432785546</v>
      </c>
      <c r="J445" s="15" t="n">
        <v>22.510193036262</v>
      </c>
      <c r="K445" s="15" t="n">
        <v>2278.96347327525</v>
      </c>
      <c r="L445" s="15" t="n">
        <v>388.324081674284</v>
      </c>
      <c r="M445" s="15" t="n">
        <v>-74.62126168843049</v>
      </c>
      <c r="N445" s="17" t="n">
        <v>13.8727371183927</v>
      </c>
      <c r="O445" s="18" t="n">
        <v>0.60873012143785</v>
      </c>
    </row>
    <row r="446" ht="15" customHeight="1" s="12">
      <c r="A446" s="14" t="inlineStr">
        <is>
          <t>Hafizabad</t>
        </is>
      </c>
      <c r="B446" s="14" t="inlineStr">
        <is>
          <t>Punjab</t>
        </is>
      </c>
      <c r="C446" s="14" t="n">
        <v>2019</v>
      </c>
      <c r="D446" s="15" t="n">
        <v>342.248385354065</v>
      </c>
      <c r="E446" s="15" t="n">
        <v>7439.54039222582</v>
      </c>
      <c r="F446" s="15" t="n">
        <v>456.055860474706</v>
      </c>
      <c r="G446" s="15" t="n">
        <v>240.91358730197</v>
      </c>
      <c r="H446" s="15" t="n">
        <v>52.7566184215089</v>
      </c>
      <c r="I446" s="16" t="n">
        <v>15.4147165272762</v>
      </c>
      <c r="J446" s="15" t="n">
        <v>24.5067652895544</v>
      </c>
      <c r="K446" s="15" t="n">
        <v>2278.96347327525</v>
      </c>
      <c r="L446" s="15" t="n">
        <v>388.324081674284</v>
      </c>
      <c r="M446" s="15" t="n">
        <v>-46.075696320219</v>
      </c>
      <c r="N446" s="17" t="n">
        <v>14.4929952902461</v>
      </c>
      <c r="O446" s="18" t="n">
        <v>0.635946800385405</v>
      </c>
    </row>
    <row r="447" ht="15" customHeight="1" s="12">
      <c r="A447" s="14" t="inlineStr">
        <is>
          <t>Hafizabad</t>
        </is>
      </c>
      <c r="B447" s="14" t="inlineStr">
        <is>
          <t>Punjab</t>
        </is>
      </c>
      <c r="C447" s="14" t="n">
        <v>2020</v>
      </c>
      <c r="D447" s="15" t="n">
        <v>449.496783281586</v>
      </c>
      <c r="E447" s="15" t="n">
        <v>9770.82615580325</v>
      </c>
      <c r="F447" s="15" t="n">
        <v>546.774499348454</v>
      </c>
      <c r="G447" s="15" t="n">
        <v>355.268814207642</v>
      </c>
      <c r="H447" s="15" t="n">
        <v>45.6337652191041</v>
      </c>
      <c r="I447" s="16" t="n">
        <v>10.15218949643</v>
      </c>
      <c r="J447" s="15" t="n">
        <v>29.8390763124662</v>
      </c>
      <c r="K447" s="15" t="n">
        <v>2278.96347327525</v>
      </c>
      <c r="L447" s="15" t="n">
        <v>388.324081674284</v>
      </c>
      <c r="M447" s="15" t="n">
        <v>61.1727016073013</v>
      </c>
      <c r="N447" s="17" t="n">
        <v>19.9199654286389</v>
      </c>
      <c r="O447" s="18" t="n">
        <v>0.874080065882345</v>
      </c>
    </row>
    <row r="448" ht="15" customHeight="1" s="12">
      <c r="A448" s="14" t="inlineStr">
        <is>
          <t>Hafizabad</t>
        </is>
      </c>
      <c r="B448" s="14" t="inlineStr">
        <is>
          <t>Punjab</t>
        </is>
      </c>
      <c r="C448" s="14" t="n">
        <v>2021</v>
      </c>
      <c r="D448" s="15" t="n">
        <v>446.063825737692</v>
      </c>
      <c r="E448" s="15" t="n">
        <v>9696.20308260403</v>
      </c>
      <c r="F448" s="15" t="n">
        <v>565.416239500046</v>
      </c>
      <c r="G448" s="15" t="n">
        <v>348.438326954842</v>
      </c>
      <c r="H448" s="15" t="n">
        <v>55.9954237192082</v>
      </c>
      <c r="I448" s="16" t="n">
        <v>12.5532312840217</v>
      </c>
      <c r="J448" s="15" t="n">
        <v>21.2808948222984</v>
      </c>
      <c r="K448" s="15" t="n">
        <v>2278.96347327525</v>
      </c>
      <c r="L448" s="15" t="n">
        <v>388.324081674284</v>
      </c>
      <c r="M448" s="15" t="n">
        <v>57.739744063408</v>
      </c>
      <c r="N448" s="17" t="n">
        <v>18.7983018938733</v>
      </c>
      <c r="O448" s="18" t="n">
        <v>0.824861921409254</v>
      </c>
    </row>
    <row r="449" ht="15" customHeight="1" s="12">
      <c r="A449" s="14" t="inlineStr">
        <is>
          <t>Hafizabad</t>
        </is>
      </c>
      <c r="B449" s="14" t="inlineStr">
        <is>
          <t>Punjab</t>
        </is>
      </c>
      <c r="C449" s="14" t="n">
        <v>2022</v>
      </c>
      <c r="D449" s="15" t="n">
        <v>337.308200653866</v>
      </c>
      <c r="E449" s="15" t="n">
        <v>7332.15433813482</v>
      </c>
      <c r="F449" s="15" t="n">
        <v>397.79221384626</v>
      </c>
      <c r="G449" s="15" t="n">
        <v>298.721511021256</v>
      </c>
      <c r="H449" s="15" t="n">
        <v>26.7037386451695</v>
      </c>
      <c r="I449" s="16" t="n">
        <v>7.91671788394258</v>
      </c>
      <c r="J449" s="15" t="n">
        <v>27.1928558542306</v>
      </c>
      <c r="K449" s="15" t="n">
        <v>2278.96347327525</v>
      </c>
      <c r="L449" s="15" t="n">
        <v>388.324081674284</v>
      </c>
      <c r="M449" s="15" t="n">
        <v>-51.0158810204184</v>
      </c>
      <c r="N449" s="17" t="n">
        <v>12.7981970241917</v>
      </c>
      <c r="O449" s="18" t="n">
        <v>0.56157973457111</v>
      </c>
    </row>
    <row r="450" ht="15" customHeight="1" s="12">
      <c r="A450" s="14" t="inlineStr">
        <is>
          <t>Hafizabad</t>
        </is>
      </c>
      <c r="B450" s="14" t="inlineStr">
        <is>
          <t>Punjab</t>
        </is>
      </c>
      <c r="C450" s="14" t="n">
        <v>2023</v>
      </c>
      <c r="D450" s="15" t="n">
        <v>396.262412247192</v>
      </c>
      <c r="E450" s="15" t="n">
        <v>8613.65706308309</v>
      </c>
      <c r="F450" s="15" t="n">
        <v>486.998593449593</v>
      </c>
      <c r="G450" s="15" t="n">
        <v>352.598017215729</v>
      </c>
      <c r="H450" s="15" t="n">
        <v>32.519293453757</v>
      </c>
      <c r="I450" s="16" t="n">
        <v>8.20650469201483</v>
      </c>
      <c r="J450" s="15" t="n">
        <v>16.1710265199351</v>
      </c>
      <c r="K450" s="15" t="n">
        <v>2278.96347327525</v>
      </c>
      <c r="L450" s="15" t="n">
        <v>388.324081674284</v>
      </c>
      <c r="M450" s="15" t="n">
        <v>7.93833057290794</v>
      </c>
      <c r="N450" s="17" t="n">
        <v>13.1622463430788</v>
      </c>
      <c r="O450" s="18" t="n">
        <v>0.577554072166083</v>
      </c>
    </row>
    <row r="451" ht="15" customHeight="1" s="12">
      <c r="A451" s="14" t="inlineStr">
        <is>
          <t>Hafizabad</t>
        </is>
      </c>
      <c r="B451" s="14" t="inlineStr">
        <is>
          <t>Punjab</t>
        </is>
      </c>
      <c r="C451" s="14" t="n">
        <v>2024</v>
      </c>
      <c r="D451" s="15" t="n">
        <v>417.654288095379</v>
      </c>
      <c r="E451" s="15" t="n">
        <v>9078.65772122622</v>
      </c>
      <c r="F451" s="15" t="n">
        <v>513.169246764388</v>
      </c>
      <c r="G451" s="15" t="n">
        <v>333.473349571228</v>
      </c>
      <c r="H451" s="15" t="n">
        <v>48.3118739778873</v>
      </c>
      <c r="I451" s="16" t="n">
        <v>11.5674315707862</v>
      </c>
      <c r="J451" s="15" t="n">
        <v>34.5993144506585</v>
      </c>
      <c r="K451" s="15" t="n">
        <v>2278.96347327525</v>
      </c>
      <c r="L451" s="15" t="n">
        <v>388.324081674284</v>
      </c>
      <c r="M451" s="15" t="n">
        <v>29.3302064210948</v>
      </c>
      <c r="N451" s="17" t="n">
        <v>9.67508431877323</v>
      </c>
      <c r="O451" s="18" t="n">
        <v>0.424538806006773</v>
      </c>
    </row>
    <row r="452" ht="15" customHeight="1" s="12">
      <c r="A452" s="14" t="inlineStr">
        <is>
          <t>Hafizabad</t>
        </is>
      </c>
      <c r="B452" s="14" t="inlineStr">
        <is>
          <t>Punjab</t>
        </is>
      </c>
      <c r="C452" s="14" t="n">
        <v>2025</v>
      </c>
      <c r="D452" s="15" t="n">
        <v>567.643939356822</v>
      </c>
      <c r="E452" s="15" t="n">
        <v>12339.0210033524</v>
      </c>
      <c r="F452" s="15" t="n">
        <v>729.62753023292</v>
      </c>
      <c r="G452" s="15" t="n">
        <v>455.410181212325</v>
      </c>
      <c r="H452" s="15" t="n">
        <v>71.4321940294261</v>
      </c>
      <c r="I452" s="16" t="n">
        <v>12.5839789834387</v>
      </c>
      <c r="J452" s="15" t="n">
        <v>32.0283240122677</v>
      </c>
      <c r="K452" s="15" t="n">
        <v>2278.96347327525</v>
      </c>
      <c r="L452" s="15" t="n">
        <v>388.324081674284</v>
      </c>
      <c r="M452" s="15" t="n">
        <v>179.319857682537</v>
      </c>
      <c r="N452" s="17" t="n">
        <v>13.1767998923189</v>
      </c>
      <c r="O452" s="18" t="n">
        <v>0.578192676049418</v>
      </c>
    </row>
    <row r="453" ht="15" customHeight="1" s="12">
      <c r="A453" s="14" t="inlineStr">
        <is>
          <t>Hangu</t>
        </is>
      </c>
      <c r="B453" s="14" t="inlineStr">
        <is>
          <t>Khyber Pakhtunkhwa</t>
        </is>
      </c>
      <c r="C453" s="14" t="n">
        <v>2015</v>
      </c>
      <c r="D453" s="15" t="n">
        <v>388.056632916237</v>
      </c>
      <c r="E453" s="15" t="n">
        <v>5195.39350892563</v>
      </c>
      <c r="F453" s="15" t="n">
        <v>488.824493169785</v>
      </c>
      <c r="G453" s="15" t="n">
        <v>286.825589299202</v>
      </c>
      <c r="H453" s="15" t="n">
        <v>62.28066346146</v>
      </c>
      <c r="I453" s="16" t="n">
        <v>16.0493748021834</v>
      </c>
      <c r="J453" s="15" t="n">
        <v>24.9059753954306</v>
      </c>
      <c r="K453" s="15" t="n">
        <v>1372.58030706151</v>
      </c>
      <c r="L453" s="15" t="n">
        <v>352.079464839615</v>
      </c>
      <c r="M453" s="15" t="n">
        <v>35.9771680766226</v>
      </c>
      <c r="N453" s="17" t="n">
        <v>0.0969798397690716</v>
      </c>
      <c r="O453" s="18" t="n">
        <v>0.0070655129809265</v>
      </c>
    </row>
    <row r="454" ht="15" customHeight="1" s="12">
      <c r="A454" s="14" t="inlineStr">
        <is>
          <t>Hangu</t>
        </is>
      </c>
      <c r="B454" s="14" t="inlineStr">
        <is>
          <t>Khyber Pakhtunkhwa</t>
        </is>
      </c>
      <c r="C454" s="14" t="n">
        <v>2016</v>
      </c>
      <c r="D454" s="15" t="n">
        <v>400.394922735786</v>
      </c>
      <c r="E454" s="15" t="n">
        <v>5360.58143615676</v>
      </c>
      <c r="F454" s="15" t="n">
        <v>507.798578262329</v>
      </c>
      <c r="G454" s="15" t="n">
        <v>295.738647460938</v>
      </c>
      <c r="H454" s="15" t="n">
        <v>64.6659134953141</v>
      </c>
      <c r="I454" s="16" t="n">
        <v>16.1505328422923</v>
      </c>
      <c r="J454" s="15" t="n">
        <v>21.9352665495021</v>
      </c>
      <c r="K454" s="15" t="n">
        <v>1372.58030706151</v>
      </c>
      <c r="L454" s="15" t="n">
        <v>352.079464839615</v>
      </c>
      <c r="M454" s="15" t="n">
        <v>48.3154578961713</v>
      </c>
      <c r="N454" s="17" t="n">
        <v>0.0711490607551126</v>
      </c>
      <c r="O454" s="18" t="n">
        <v>0.00518359912269412</v>
      </c>
    </row>
    <row r="455" ht="15" customHeight="1" s="12">
      <c r="A455" s="14" t="inlineStr">
        <is>
          <t>Hangu</t>
        </is>
      </c>
      <c r="B455" s="14" t="inlineStr">
        <is>
          <t>Khyber Pakhtunkhwa</t>
        </is>
      </c>
      <c r="C455" s="14" t="n">
        <v>2017</v>
      </c>
      <c r="D455" s="15" t="n">
        <v>458.036782951403</v>
      </c>
      <c r="E455" s="15" t="n">
        <v>6132.30422351407</v>
      </c>
      <c r="F455" s="15" t="n">
        <v>552.6278070211411</v>
      </c>
      <c r="G455" s="15" t="n">
        <v>350.562472701073</v>
      </c>
      <c r="H455" s="15" t="n">
        <v>64.1146279824716</v>
      </c>
      <c r="I455" s="16" t="n">
        <v>13.9977028852013</v>
      </c>
      <c r="J455" s="15" t="n">
        <v>25.6171646162859</v>
      </c>
      <c r="K455" s="15" t="n">
        <v>1372.58030706151</v>
      </c>
      <c r="L455" s="15" t="n">
        <v>352.079464839615</v>
      </c>
      <c r="M455" s="15" t="n">
        <v>105.957318111788</v>
      </c>
      <c r="N455" s="17" t="n">
        <v>0.0539980849235983</v>
      </c>
      <c r="O455" s="18" t="n">
        <v>0.00393405650990289</v>
      </c>
    </row>
    <row r="456" ht="15" customHeight="1" s="12">
      <c r="A456" s="14" t="inlineStr">
        <is>
          <t>Hangu</t>
        </is>
      </c>
      <c r="B456" s="14" t="inlineStr">
        <is>
          <t>Khyber Pakhtunkhwa</t>
        </is>
      </c>
      <c r="C456" s="14" t="n">
        <v>2018</v>
      </c>
      <c r="D456" s="15" t="n">
        <v>341.140643456838</v>
      </c>
      <c r="E456" s="15" t="n">
        <v>4567.27120298685</v>
      </c>
      <c r="F456" s="15" t="n">
        <v>439.647716403008</v>
      </c>
      <c r="G456" s="15" t="n">
        <v>225.946581125259</v>
      </c>
      <c r="H456" s="15" t="n">
        <v>58.3688198590242</v>
      </c>
      <c r="I456" s="16" t="n">
        <v>17.1098990925158</v>
      </c>
      <c r="J456" s="15" t="n">
        <v>27.2144112478032</v>
      </c>
      <c r="K456" s="15" t="n">
        <v>1372.58030706151</v>
      </c>
      <c r="L456" s="15" t="n">
        <v>352.079464839615</v>
      </c>
      <c r="M456" s="15" t="n">
        <v>-10.9388213827765</v>
      </c>
      <c r="N456" s="17" t="n">
        <v>0.0585643847924325</v>
      </c>
      <c r="O456" s="18" t="n">
        <v>0.00426673648828681</v>
      </c>
    </row>
    <row r="457" ht="15" customHeight="1" s="12">
      <c r="A457" s="14" t="inlineStr">
        <is>
          <t>Hangu</t>
        </is>
      </c>
      <c r="B457" s="14" t="inlineStr">
        <is>
          <t>Khyber Pakhtunkhwa</t>
        </is>
      </c>
      <c r="C457" s="14" t="n">
        <v>2019</v>
      </c>
      <c r="D457" s="15" t="n">
        <v>375.216888133464</v>
      </c>
      <c r="E457" s="15" t="n">
        <v>5023.49198465743</v>
      </c>
      <c r="F457" s="15" t="n">
        <v>471.136311696208</v>
      </c>
      <c r="G457" s="15" t="n">
        <v>303.507072315555</v>
      </c>
      <c r="H457" s="15" t="n">
        <v>45.2227303396739</v>
      </c>
      <c r="I457" s="16" t="n">
        <v>12.0524240165832</v>
      </c>
      <c r="J457" s="15" t="n">
        <v>23.5814294083187</v>
      </c>
      <c r="K457" s="15" t="n">
        <v>1372.58030706151</v>
      </c>
      <c r="L457" s="15" t="n">
        <v>352.079464839615</v>
      </c>
      <c r="M457" s="15" t="n">
        <v>23.137423293849</v>
      </c>
      <c r="N457" s="17" t="n">
        <v>0.0204091778980928</v>
      </c>
      <c r="O457" s="18" t="n">
        <v>0.00148692049515018</v>
      </c>
    </row>
    <row r="458" ht="15" customHeight="1" s="12">
      <c r="A458" s="14" t="inlineStr">
        <is>
          <t>Hangu</t>
        </is>
      </c>
      <c r="B458" s="14" t="inlineStr">
        <is>
          <t>Khyber Pakhtunkhwa</t>
        </is>
      </c>
      <c r="C458" s="14" t="n">
        <v>2020</v>
      </c>
      <c r="D458" s="15" t="n">
        <v>223.621788936988</v>
      </c>
      <c r="E458" s="15" t="n">
        <v>2993.90112717991</v>
      </c>
      <c r="F458" s="15" t="n">
        <v>285.652162988612</v>
      </c>
      <c r="G458" s="15" t="n">
        <v>159.967302224366</v>
      </c>
      <c r="H458" s="15" t="n">
        <v>35.5506318786808</v>
      </c>
      <c r="I458" s="16" t="n">
        <v>15.8976600838741</v>
      </c>
      <c r="J458" s="15" t="n">
        <v>27.0653192735794</v>
      </c>
      <c r="K458" s="15" t="n">
        <v>1372.58030706151</v>
      </c>
      <c r="L458" s="15" t="n">
        <v>352.079464839615</v>
      </c>
      <c r="M458" s="15" t="n">
        <v>-128.457675902627</v>
      </c>
      <c r="N458" s="17" t="n">
        <v>0.0900841158969056</v>
      </c>
      <c r="O458" s="18" t="n">
        <v>0.00656312169375083</v>
      </c>
    </row>
    <row r="459" ht="15" customHeight="1" s="12">
      <c r="A459" s="14" t="inlineStr">
        <is>
          <t>Hangu</t>
        </is>
      </c>
      <c r="B459" s="14" t="inlineStr">
        <is>
          <t>Khyber Pakhtunkhwa</t>
        </is>
      </c>
      <c r="C459" s="14" t="n">
        <v>2021</v>
      </c>
      <c r="D459" s="15" t="n">
        <v>370.223324779179</v>
      </c>
      <c r="E459" s="15" t="n">
        <v>4956.63698351418</v>
      </c>
      <c r="F459" s="15" t="n">
        <v>484.989459037781</v>
      </c>
      <c r="G459" s="15" t="n">
        <v>236.524698495865</v>
      </c>
      <c r="H459" s="15" t="n">
        <v>75.646039389322</v>
      </c>
      <c r="I459" s="16" t="n">
        <v>20.4325428265335</v>
      </c>
      <c r="J459" s="15" t="n">
        <v>24.0738137082601</v>
      </c>
      <c r="K459" s="15" t="n">
        <v>1372.58030706151</v>
      </c>
      <c r="L459" s="15" t="n">
        <v>352.079464839615</v>
      </c>
      <c r="M459" s="15" t="n">
        <v>18.143859939564</v>
      </c>
      <c r="N459" s="17" t="n">
        <v>0.0495474135885799</v>
      </c>
      <c r="O459" s="18" t="n">
        <v>0.00360980070409531</v>
      </c>
    </row>
    <row r="460" ht="15" customHeight="1" s="12">
      <c r="A460" s="14" t="inlineStr">
        <is>
          <t>Hangu</t>
        </is>
      </c>
      <c r="B460" s="14" t="inlineStr">
        <is>
          <t>Khyber Pakhtunkhwa</t>
        </is>
      </c>
      <c r="C460" s="14" t="n">
        <v>2022</v>
      </c>
      <c r="D460" s="15" t="n">
        <v>357.479293361915</v>
      </c>
      <c r="E460" s="15" t="n">
        <v>4786.01689230422</v>
      </c>
      <c r="F460" s="15" t="n">
        <v>430.201775832487</v>
      </c>
      <c r="G460" s="15" t="n">
        <v>304.200937591493</v>
      </c>
      <c r="H460" s="15" t="n">
        <v>36.0728950658252</v>
      </c>
      <c r="I460" s="16" t="n">
        <v>10.0909047700575</v>
      </c>
      <c r="J460" s="15" t="n">
        <v>26.0014645577036</v>
      </c>
      <c r="K460" s="15" t="n">
        <v>1372.58030706151</v>
      </c>
      <c r="L460" s="15" t="n">
        <v>352.079464839615</v>
      </c>
      <c r="M460" s="15" t="n">
        <v>5.39982852229991</v>
      </c>
      <c r="N460" s="17" t="n">
        <v>0.114447068975232</v>
      </c>
      <c r="O460" s="18" t="n">
        <v>0.008338096385795159</v>
      </c>
    </row>
    <row r="461" ht="15" customHeight="1" s="12">
      <c r="A461" s="14" t="inlineStr">
        <is>
          <t>Hangu</t>
        </is>
      </c>
      <c r="B461" s="14" t="inlineStr">
        <is>
          <t>Khyber Pakhtunkhwa</t>
        </is>
      </c>
      <c r="C461" s="14" t="n">
        <v>2023</v>
      </c>
      <c r="D461" s="15" t="n">
        <v>281.145383487372</v>
      </c>
      <c r="E461" s="15" t="n">
        <v>3764.04054598388</v>
      </c>
      <c r="F461" s="15" t="n">
        <v>360.929930686951</v>
      </c>
      <c r="G461" s="15" t="n">
        <v>193.811357140541</v>
      </c>
      <c r="H461" s="15" t="n">
        <v>48.3681044085805</v>
      </c>
      <c r="I461" s="16" t="n">
        <v>17.2039475834939</v>
      </c>
      <c r="J461" s="15" t="n">
        <v>20.4487404803749</v>
      </c>
      <c r="K461" s="15" t="n">
        <v>1372.58030706151</v>
      </c>
      <c r="L461" s="15" t="n">
        <v>352.079464839615</v>
      </c>
      <c r="M461" s="15" t="n">
        <v>-70.9340813522427</v>
      </c>
      <c r="N461" s="17" t="n">
        <v>0.0262175971679687</v>
      </c>
      <c r="O461" s="18" t="n">
        <v>0.00191009568133006</v>
      </c>
    </row>
    <row r="462" ht="15" customHeight="1" s="12">
      <c r="A462" s="14" t="inlineStr">
        <is>
          <t>Hangu</t>
        </is>
      </c>
      <c r="B462" s="14" t="inlineStr">
        <is>
          <t>Khyber Pakhtunkhwa</t>
        </is>
      </c>
      <c r="C462" s="14" t="n">
        <v>2024</v>
      </c>
      <c r="D462" s="15" t="n">
        <v>317.457272169711</v>
      </c>
      <c r="E462" s="15" t="n">
        <v>4250.19265563683</v>
      </c>
      <c r="F462" s="15" t="n">
        <v>372.932958838883</v>
      </c>
      <c r="G462" s="15" t="n">
        <v>248.310629569205</v>
      </c>
      <c r="H462" s="15" t="n">
        <v>37.9177308898395</v>
      </c>
      <c r="I462" s="16" t="n">
        <v>11.9441998070118</v>
      </c>
      <c r="J462" s="15" t="n">
        <v>32.3388986526069</v>
      </c>
      <c r="K462" s="15" t="n">
        <v>1372.58030706151</v>
      </c>
      <c r="L462" s="15" t="n">
        <v>352.079464839615</v>
      </c>
      <c r="M462" s="15" t="n">
        <v>-34.6221926699043</v>
      </c>
      <c r="N462" s="17" t="n">
        <v>0.0770489656027401</v>
      </c>
      <c r="O462" s="18" t="n">
        <v>0.00561343953474683</v>
      </c>
    </row>
    <row r="463" ht="15" customHeight="1" s="12">
      <c r="A463" s="14" t="inlineStr">
        <is>
          <t>Hangu</t>
        </is>
      </c>
      <c r="B463" s="14" t="inlineStr">
        <is>
          <t>Khyber Pakhtunkhwa</t>
        </is>
      </c>
      <c r="C463" s="14" t="n">
        <v>2025</v>
      </c>
      <c r="D463" s="15" t="n">
        <v>360.101180306871</v>
      </c>
      <c r="E463" s="15" t="n">
        <v>4821.11933163787</v>
      </c>
      <c r="F463" s="15" t="n">
        <v>455.945666356711</v>
      </c>
      <c r="G463" s="15" t="n">
        <v>262.66924134329</v>
      </c>
      <c r="H463" s="15" t="n">
        <v>54.4097529072713</v>
      </c>
      <c r="I463" s="16" t="n">
        <v>15.1095736095351</v>
      </c>
      <c r="J463" s="15" t="n">
        <v>32.3755125951963</v>
      </c>
      <c r="K463" s="15" t="n">
        <v>1372.58030706151</v>
      </c>
      <c r="L463" s="15" t="n">
        <v>352.079464839615</v>
      </c>
      <c r="M463" s="15" t="n">
        <v>8.02171546725612</v>
      </c>
      <c r="N463" s="17" t="n">
        <v>0.09883734936523431</v>
      </c>
      <c r="O463" s="18" t="n">
        <v>0.00720084273807123</v>
      </c>
    </row>
    <row r="464" ht="15" customHeight="1" s="12">
      <c r="A464" s="14" t="inlineStr">
        <is>
          <t>Haripur</t>
        </is>
      </c>
      <c r="B464" s="14" t="inlineStr">
        <is>
          <t>Khyber Pakhtunkhwa</t>
        </is>
      </c>
      <c r="C464" s="14" t="n">
        <v>2015</v>
      </c>
      <c r="D464" s="15" t="n">
        <v>634.47657150894</v>
      </c>
      <c r="E464" s="15" t="n">
        <v>12119.7465875296</v>
      </c>
      <c r="F464" s="15" t="n">
        <v>969.790811181068</v>
      </c>
      <c r="G464" s="15" t="n">
        <v>500.649709939957</v>
      </c>
      <c r="H464" s="15" t="n">
        <v>111.559916852845</v>
      </c>
      <c r="I464" s="16" t="n">
        <v>17.5829844414157</v>
      </c>
      <c r="J464" s="15" t="n">
        <v>33.0392116608499</v>
      </c>
      <c r="K464" s="15" t="n">
        <v>1954.46213842596</v>
      </c>
      <c r="L464" s="15" t="n">
        <v>649.129966603467</v>
      </c>
      <c r="M464" s="15" t="n">
        <v>-14.6533950945268</v>
      </c>
      <c r="N464" s="17" t="n">
        <v>43.8642011016033</v>
      </c>
      <c r="O464" s="18" t="n">
        <v>2.24431060797779</v>
      </c>
    </row>
    <row r="465" ht="15" customHeight="1" s="12">
      <c r="A465" s="14" t="inlineStr">
        <is>
          <t>Haripur</t>
        </is>
      </c>
      <c r="B465" s="14" t="inlineStr">
        <is>
          <t>Khyber Pakhtunkhwa</t>
        </is>
      </c>
      <c r="C465" s="14" t="n">
        <v>2016</v>
      </c>
      <c r="D465" s="15" t="n">
        <v>556.56570681601</v>
      </c>
      <c r="E465" s="15" t="n">
        <v>10631.4963054933</v>
      </c>
      <c r="F465" s="15" t="n">
        <v>867.055236816406</v>
      </c>
      <c r="G465" s="15" t="n">
        <v>427.55523121357</v>
      </c>
      <c r="H465" s="15" t="n">
        <v>99.8635218783011</v>
      </c>
      <c r="I465" s="16" t="n">
        <v>17.9428090260175</v>
      </c>
      <c r="J465" s="15" t="n">
        <v>27.2508725107781</v>
      </c>
      <c r="K465" s="15" t="n">
        <v>1954.46213842596</v>
      </c>
      <c r="L465" s="15" t="n">
        <v>649.129966603467</v>
      </c>
      <c r="M465" s="15" t="n">
        <v>-92.5642597874569</v>
      </c>
      <c r="N465" s="17" t="n">
        <v>51.2813819917278</v>
      </c>
      <c r="O465" s="18" t="n">
        <v>2.6238104583099</v>
      </c>
    </row>
    <row r="466" ht="15" customHeight="1" s="12">
      <c r="A466" s="14" t="inlineStr">
        <is>
          <t>Haripur</t>
        </is>
      </c>
      <c r="B466" s="14" t="inlineStr">
        <is>
          <t>Khyber Pakhtunkhwa</t>
        </is>
      </c>
      <c r="C466" s="14" t="n">
        <v>2017</v>
      </c>
      <c r="D466" s="15" t="n">
        <v>564.813593010728</v>
      </c>
      <c r="E466" s="15" t="n">
        <v>10789.0471041383</v>
      </c>
      <c r="F466" s="15" t="n">
        <v>797.931439161301</v>
      </c>
      <c r="G466" s="15" t="n">
        <v>438.73521566391</v>
      </c>
      <c r="H466" s="15" t="n">
        <v>79.9210446342952</v>
      </c>
      <c r="I466" s="16" t="n">
        <v>14.1499860526156</v>
      </c>
      <c r="J466" s="15" t="n">
        <v>33.3563949907616</v>
      </c>
      <c r="K466" s="15" t="n">
        <v>1954.46213842596</v>
      </c>
      <c r="L466" s="15" t="n">
        <v>649.129966603467</v>
      </c>
      <c r="M466" s="15" t="n">
        <v>-84.3163735927394</v>
      </c>
      <c r="N466" s="17" t="n">
        <v>66.09643040556971</v>
      </c>
      <c r="O466" s="18" t="n">
        <v>3.38182199112851</v>
      </c>
    </row>
    <row r="467" ht="15" customHeight="1" s="12">
      <c r="A467" s="14" t="inlineStr">
        <is>
          <t>Haripur</t>
        </is>
      </c>
      <c r="B467" s="14" t="inlineStr">
        <is>
          <t>Khyber Pakhtunkhwa</t>
        </is>
      </c>
      <c r="C467" s="14" t="n">
        <v>2018</v>
      </c>
      <c r="D467" s="15" t="n">
        <v>691.129169212135</v>
      </c>
      <c r="E467" s="15" t="n">
        <v>13201.9222871855</v>
      </c>
      <c r="F467" s="15" t="n">
        <v>898.1589096784591</v>
      </c>
      <c r="G467" s="15" t="n">
        <v>543.608328223229</v>
      </c>
      <c r="H467" s="15" t="n">
        <v>92.76428966047381</v>
      </c>
      <c r="I467" s="16" t="n">
        <v>13.4221349340851</v>
      </c>
      <c r="J467" s="15" t="n">
        <v>32.3915007185383</v>
      </c>
      <c r="K467" s="15" t="n">
        <v>1954.46213842596</v>
      </c>
      <c r="L467" s="15" t="n">
        <v>649.129966603467</v>
      </c>
      <c r="M467" s="15" t="n">
        <v>41.9992026086674</v>
      </c>
      <c r="N467" s="17" t="n">
        <v>71.2932966039251</v>
      </c>
      <c r="O467" s="18" t="n">
        <v>3.64771950309263</v>
      </c>
    </row>
    <row r="468" ht="15" customHeight="1" s="12">
      <c r="A468" s="14" t="inlineStr">
        <is>
          <t>Haripur</t>
        </is>
      </c>
      <c r="B468" s="14" t="inlineStr">
        <is>
          <t>Khyber Pakhtunkhwa</t>
        </is>
      </c>
      <c r="C468" s="14" t="n">
        <v>2019</v>
      </c>
      <c r="D468" s="15" t="n">
        <v>585.0289302206691</v>
      </c>
      <c r="E468" s="15" t="n">
        <v>11175.1996827642</v>
      </c>
      <c r="F468" s="15" t="n">
        <v>893.876657605171</v>
      </c>
      <c r="G468" s="15" t="n">
        <v>459.323401525617</v>
      </c>
      <c r="H468" s="15" t="n">
        <v>102.045454077196</v>
      </c>
      <c r="I468" s="16" t="n">
        <v>17.4428047581691</v>
      </c>
      <c r="J468" s="15" t="n">
        <v>23.0704167522069</v>
      </c>
      <c r="K468" s="15" t="n">
        <v>1954.46213842596</v>
      </c>
      <c r="L468" s="15" t="n">
        <v>649.129966603467</v>
      </c>
      <c r="M468" s="15" t="n">
        <v>-64.1010363827982</v>
      </c>
      <c r="N468" s="17" t="n">
        <v>69.5017886184477</v>
      </c>
      <c r="O468" s="18" t="n">
        <v>3.55605704771654</v>
      </c>
    </row>
    <row r="469" ht="15" customHeight="1" s="12">
      <c r="A469" s="14" t="inlineStr">
        <is>
          <t>Haripur</t>
        </is>
      </c>
      <c r="B469" s="14" t="inlineStr">
        <is>
          <t>Khyber Pakhtunkhwa</t>
        </is>
      </c>
      <c r="C469" s="14" t="n">
        <v>2020</v>
      </c>
      <c r="D469" s="15" t="n">
        <v>611.505824633935</v>
      </c>
      <c r="E469" s="15" t="n">
        <v>11680.9602815369</v>
      </c>
      <c r="F469" s="15" t="n">
        <v>950.7719307790981</v>
      </c>
      <c r="G469" s="15" t="n">
        <v>500.874700705404</v>
      </c>
      <c r="H469" s="15" t="n">
        <v>112.759694314157</v>
      </c>
      <c r="I469" s="16" t="n">
        <v>18.439676250289</v>
      </c>
      <c r="J469" s="15" t="n">
        <v>27.1114760829399</v>
      </c>
      <c r="K469" s="15" t="n">
        <v>1954.46213842596</v>
      </c>
      <c r="L469" s="15" t="n">
        <v>649.129966603467</v>
      </c>
      <c r="M469" s="15" t="n">
        <v>-37.6241419695321</v>
      </c>
      <c r="N469" s="17" t="n">
        <v>56.4021060795662</v>
      </c>
      <c r="O469" s="18" t="n">
        <v>2.8858121613443</v>
      </c>
    </row>
    <row r="470" ht="15" customHeight="1" s="12">
      <c r="A470" s="14" t="inlineStr">
        <is>
          <t>Haripur</t>
        </is>
      </c>
      <c r="B470" s="14" t="inlineStr">
        <is>
          <t>Khyber Pakhtunkhwa</t>
        </is>
      </c>
      <c r="C470" s="14" t="n">
        <v>2021</v>
      </c>
      <c r="D470" s="15" t="n">
        <v>709.937748472924</v>
      </c>
      <c r="E470" s="15" t="n">
        <v>13561.2030306338</v>
      </c>
      <c r="F470" s="15" t="n">
        <v>1181.77367210388</v>
      </c>
      <c r="G470" s="15" t="n">
        <v>563.8065624237061</v>
      </c>
      <c r="H470" s="15" t="n">
        <v>155.363308874247</v>
      </c>
      <c r="I470" s="16" t="n">
        <v>21.8840749359269</v>
      </c>
      <c r="J470" s="15" t="n">
        <v>17.5984397454322</v>
      </c>
      <c r="K470" s="15" t="n">
        <v>1954.46213842596</v>
      </c>
      <c r="L470" s="15" t="n">
        <v>649.129966603467</v>
      </c>
      <c r="M470" s="15" t="n">
        <v>60.8077818694565</v>
      </c>
      <c r="N470" s="17" t="n">
        <v>67.2420598882873</v>
      </c>
      <c r="O470" s="18" t="n">
        <v>3.44043809118969</v>
      </c>
    </row>
    <row r="471" ht="15" customHeight="1" s="12">
      <c r="A471" s="14" t="inlineStr">
        <is>
          <t>Haripur</t>
        </is>
      </c>
      <c r="B471" s="14" t="inlineStr">
        <is>
          <t>Khyber Pakhtunkhwa</t>
        </is>
      </c>
      <c r="C471" s="14" t="n">
        <v>2022</v>
      </c>
      <c r="D471" s="15" t="n">
        <v>633.624895370541</v>
      </c>
      <c r="E471" s="15" t="n">
        <v>12103.477903333</v>
      </c>
      <c r="F471" s="15" t="n">
        <v>961.415226340294</v>
      </c>
      <c r="G471" s="15" t="n">
        <v>489.6426052358</v>
      </c>
      <c r="H471" s="15" t="n">
        <v>102.554862607066</v>
      </c>
      <c r="I471" s="16" t="n">
        <v>16.1854219044049</v>
      </c>
      <c r="J471" s="15" t="n">
        <v>29.6696776842538</v>
      </c>
      <c r="K471" s="15" t="n">
        <v>1954.46213842596</v>
      </c>
      <c r="L471" s="15" t="n">
        <v>649.129966603467</v>
      </c>
      <c r="M471" s="15" t="n">
        <v>-15.5050712329266</v>
      </c>
      <c r="N471" s="17" t="n">
        <v>70.7227962624235</v>
      </c>
      <c r="O471" s="18" t="n">
        <v>3.61852986926524</v>
      </c>
    </row>
    <row r="472" ht="15" customHeight="1" s="12">
      <c r="A472" s="14" t="inlineStr">
        <is>
          <t>Haripur</t>
        </is>
      </c>
      <c r="B472" s="14" t="inlineStr">
        <is>
          <t>Khyber Pakhtunkhwa</t>
        </is>
      </c>
      <c r="C472" s="14" t="n">
        <v>2023</v>
      </c>
      <c r="D472" s="15" t="n">
        <v>694.834729496764</v>
      </c>
      <c r="E472" s="15" t="n">
        <v>13272.7057544264</v>
      </c>
      <c r="F472" s="15" t="n">
        <v>1059.72666311264</v>
      </c>
      <c r="G472" s="15" t="n">
        <v>536.754055738449</v>
      </c>
      <c r="H472" s="15" t="n">
        <v>124.718529270751</v>
      </c>
      <c r="I472" s="16" t="n">
        <v>17.9493804751353</v>
      </c>
      <c r="J472" s="15" t="n">
        <v>21.5228905768836</v>
      </c>
      <c r="K472" s="15" t="n">
        <v>1954.46213842596</v>
      </c>
      <c r="L472" s="15" t="n">
        <v>649.129966603467</v>
      </c>
      <c r="M472" s="15" t="n">
        <v>45.7047628932965</v>
      </c>
      <c r="N472" s="17" t="n">
        <v>64.35729362734401</v>
      </c>
      <c r="O472" s="18" t="n">
        <v>3.29283910708931</v>
      </c>
    </row>
    <row r="473" ht="15" customHeight="1" s="12">
      <c r="A473" s="14" t="inlineStr">
        <is>
          <t>Haripur</t>
        </is>
      </c>
      <c r="B473" s="14" t="inlineStr">
        <is>
          <t>Khyber Pakhtunkhwa</t>
        </is>
      </c>
      <c r="C473" s="14" t="n">
        <v>2024</v>
      </c>
      <c r="D473" s="15" t="n">
        <v>636.120784579024</v>
      </c>
      <c r="E473" s="15" t="n">
        <v>12151.1542811154</v>
      </c>
      <c r="F473" s="15" t="n">
        <v>933.107661772519</v>
      </c>
      <c r="G473" s="15" t="n">
        <v>505.15018520481</v>
      </c>
      <c r="H473" s="15" t="n">
        <v>102.945909364277</v>
      </c>
      <c r="I473" s="16" t="n">
        <v>16.1833903025831</v>
      </c>
      <c r="J473" s="15" t="n">
        <v>36.4682816670088</v>
      </c>
      <c r="K473" s="15" t="n">
        <v>1954.46213842596</v>
      </c>
      <c r="L473" s="15" t="n">
        <v>649.129966603467</v>
      </c>
      <c r="M473" s="15" t="n">
        <v>-13.0091820244429</v>
      </c>
      <c r="N473" s="17" t="n">
        <v>61.9105656725672</v>
      </c>
      <c r="O473" s="18" t="n">
        <v>3.16765234052716</v>
      </c>
    </row>
    <row r="474" ht="15" customHeight="1" s="12">
      <c r="A474" s="14" t="inlineStr">
        <is>
          <t>Haripur</t>
        </is>
      </c>
      <c r="B474" s="14" t="inlineStr">
        <is>
          <t>Khyber Pakhtunkhwa</t>
        </is>
      </c>
      <c r="C474" s="14" t="n">
        <v>2025</v>
      </c>
      <c r="D474" s="15" t="n">
        <v>822.39167931647</v>
      </c>
      <c r="E474" s="15" t="n">
        <v>15709.2936076491</v>
      </c>
      <c r="F474" s="15" t="n">
        <v>1345.41083477996</v>
      </c>
      <c r="G474" s="15" t="n">
        <v>649.291299104691</v>
      </c>
      <c r="H474" s="15" t="n">
        <v>182.359593500699</v>
      </c>
      <c r="I474" s="16" t="n">
        <v>22.1742994350657</v>
      </c>
      <c r="J474" s="15" t="n">
        <v>44.2642167932663</v>
      </c>
      <c r="K474" s="15" t="n">
        <v>1954.46213842596</v>
      </c>
      <c r="L474" s="15" t="n">
        <v>649.129966603467</v>
      </c>
      <c r="M474" s="15" t="n">
        <v>173.261712713003</v>
      </c>
      <c r="N474" s="17" t="n">
        <v>67.405893592493</v>
      </c>
      <c r="O474" s="18" t="n">
        <v>3.44882063802877</v>
      </c>
    </row>
    <row r="475" ht="15" customHeight="1" s="12">
      <c r="A475" s="14" t="inlineStr">
        <is>
          <t>Harnai</t>
        </is>
      </c>
      <c r="B475" s="14" t="inlineStr">
        <is>
          <t>Balochistan</t>
        </is>
      </c>
      <c r="C475" s="14" t="n">
        <v>2015</v>
      </c>
      <c r="D475" s="15" t="n">
        <v>123.385090810506</v>
      </c>
      <c r="E475" s="15" t="n">
        <v>3532.20063888898</v>
      </c>
      <c r="F475" s="15" t="n">
        <v>185.036490440369</v>
      </c>
      <c r="G475" s="15" t="n">
        <v>21.500002861023</v>
      </c>
      <c r="H475" s="15" t="n">
        <v>42.0925942145737</v>
      </c>
      <c r="I475" s="16" t="n">
        <v>34.1148139844703</v>
      </c>
      <c r="J475" s="15" t="n">
        <v>13.1578082191781</v>
      </c>
      <c r="K475" s="15" t="n">
        <v>3066.34832951899</v>
      </c>
      <c r="L475" s="15" t="n">
        <v>156.942530856701</v>
      </c>
      <c r="M475" s="15" t="n">
        <v>-33.5574400461956</v>
      </c>
      <c r="N475" s="17" t="n">
        <v>0.122753444480986</v>
      </c>
      <c r="O475" s="18" t="n">
        <v>0.00400324527058026</v>
      </c>
    </row>
    <row r="476" ht="15" customHeight="1" s="12">
      <c r="A476" s="14" t="inlineStr">
        <is>
          <t>Harnai</t>
        </is>
      </c>
      <c r="B476" s="14" t="inlineStr">
        <is>
          <t>Balochistan</t>
        </is>
      </c>
      <c r="C476" s="14" t="n">
        <v>2016</v>
      </c>
      <c r="D476" s="15" t="n">
        <v>116.039883996934</v>
      </c>
      <c r="E476" s="15" t="n">
        <v>3321.92609089262</v>
      </c>
      <c r="F476" s="15" t="n">
        <v>157.096915125847</v>
      </c>
      <c r="G476" s="15" t="n">
        <v>25.2162066698074</v>
      </c>
      <c r="H476" s="15" t="n">
        <v>36.9581592388913</v>
      </c>
      <c r="I476" s="16" t="n">
        <v>31.8495313558464</v>
      </c>
      <c r="J476" s="15" t="n">
        <v>16.4376712328767</v>
      </c>
      <c r="K476" s="15" t="n">
        <v>3066.34832951899</v>
      </c>
      <c r="L476" s="15" t="n">
        <v>156.942530856701</v>
      </c>
      <c r="M476" s="15" t="n">
        <v>-40.902646859767</v>
      </c>
      <c r="N476" s="17" t="n">
        <v>0.09730676810422401</v>
      </c>
      <c r="O476" s="18" t="n">
        <v>0.00317337620020125</v>
      </c>
    </row>
    <row r="477" ht="15" customHeight="1" s="12">
      <c r="A477" s="14" t="inlineStr">
        <is>
          <t>Harnai</t>
        </is>
      </c>
      <c r="B477" s="14" t="inlineStr">
        <is>
          <t>Balochistan</t>
        </is>
      </c>
      <c r="C477" s="14" t="n">
        <v>2017</v>
      </c>
      <c r="D477" s="15" t="n">
        <v>98.7128170056131</v>
      </c>
      <c r="E477" s="15" t="n">
        <v>2825.89632996461</v>
      </c>
      <c r="F477" s="15" t="n">
        <v>140.100545406342</v>
      </c>
      <c r="G477" s="15" t="n">
        <v>11.9255375862122</v>
      </c>
      <c r="H477" s="15" t="n">
        <v>37.8373084809594</v>
      </c>
      <c r="I477" s="16" t="n">
        <v>38.3306946643088</v>
      </c>
      <c r="J477" s="15" t="n">
        <v>16.0179452054795</v>
      </c>
      <c r="K477" s="15" t="n">
        <v>3066.34832951899</v>
      </c>
      <c r="L477" s="15" t="n">
        <v>156.942530856701</v>
      </c>
      <c r="M477" s="15" t="n">
        <v>-58.2297138510881</v>
      </c>
      <c r="N477" s="17" t="n">
        <v>0.136109407872817</v>
      </c>
      <c r="O477" s="18" t="n">
        <v>0.00443881103012743</v>
      </c>
    </row>
    <row r="478" ht="15" customHeight="1" s="12">
      <c r="A478" s="14" t="inlineStr">
        <is>
          <t>Harnai</t>
        </is>
      </c>
      <c r="B478" s="14" t="inlineStr">
        <is>
          <t>Balochistan</t>
        </is>
      </c>
      <c r="C478" s="14" t="n">
        <v>2018</v>
      </c>
      <c r="D478" s="15" t="n">
        <v>68.385086387782</v>
      </c>
      <c r="E478" s="15" t="n">
        <v>1957.69070835611</v>
      </c>
      <c r="F478" s="15" t="n">
        <v>101.116933078505</v>
      </c>
      <c r="G478" s="15" t="n">
        <v>6.31528765767871</v>
      </c>
      <c r="H478" s="15" t="n">
        <v>25.4703779743777</v>
      </c>
      <c r="I478" s="16" t="n">
        <v>37.2455155352825</v>
      </c>
      <c r="J478" s="15" t="n">
        <v>11.234794520548</v>
      </c>
      <c r="K478" s="15" t="n">
        <v>3066.34832951899</v>
      </c>
      <c r="L478" s="15" t="n">
        <v>156.942530856701</v>
      </c>
      <c r="M478" s="15" t="n">
        <v>-88.5574444689192</v>
      </c>
      <c r="N478" s="17" t="n">
        <v>0.0776733779907226</v>
      </c>
      <c r="O478" s="18" t="n">
        <v>0.00253309049213294</v>
      </c>
    </row>
    <row r="479" ht="15" customHeight="1" s="12">
      <c r="A479" s="14" t="inlineStr">
        <is>
          <t>Harnai</t>
        </is>
      </c>
      <c r="B479" s="14" t="inlineStr">
        <is>
          <t>Balochistan</t>
        </is>
      </c>
      <c r="C479" s="14" t="n">
        <v>2019</v>
      </c>
      <c r="D479" s="15" t="n">
        <v>99.1916349271648</v>
      </c>
      <c r="E479" s="15" t="n">
        <v>2839.60366654237</v>
      </c>
      <c r="F479" s="15" t="n">
        <v>143.831746935844</v>
      </c>
      <c r="G479" s="15" t="n">
        <v>23.335772447288</v>
      </c>
      <c r="H479" s="15" t="n">
        <v>32.4751107084105</v>
      </c>
      <c r="I479" s="16" t="n">
        <v>32.7397675542464</v>
      </c>
      <c r="J479" s="15" t="n">
        <v>14.7778082191781</v>
      </c>
      <c r="K479" s="15" t="n">
        <v>3066.34832951899</v>
      </c>
      <c r="L479" s="15" t="n">
        <v>156.942530856701</v>
      </c>
      <c r="M479" s="15" t="n">
        <v>-57.7508959295363</v>
      </c>
      <c r="N479" s="17" t="n">
        <v>0.173986766596297</v>
      </c>
      <c r="O479" s="18" t="n">
        <v>0.00567407051969173</v>
      </c>
    </row>
    <row r="480" ht="15" customHeight="1" s="12">
      <c r="A480" s="14" t="inlineStr">
        <is>
          <t>Harnai</t>
        </is>
      </c>
      <c r="B480" s="14" t="inlineStr">
        <is>
          <t>Balochistan</t>
        </is>
      </c>
      <c r="C480" s="14" t="n">
        <v>2020</v>
      </c>
      <c r="D480" s="15" t="n">
        <v>177.516603878757</v>
      </c>
      <c r="E480" s="15" t="n">
        <v>5081.84787574481</v>
      </c>
      <c r="F480" s="15" t="n">
        <v>263.338871643879</v>
      </c>
      <c r="G480" s="15" t="n">
        <v>31.1250894842669</v>
      </c>
      <c r="H480" s="15" t="n">
        <v>62.6896803139905</v>
      </c>
      <c r="I480" s="16" t="n">
        <v>35.3148263003089</v>
      </c>
      <c r="J480" s="15" t="n">
        <v>19.6813698630137</v>
      </c>
      <c r="K480" s="15" t="n">
        <v>3066.34832951899</v>
      </c>
      <c r="L480" s="15" t="n">
        <v>156.942530856701</v>
      </c>
      <c r="M480" s="15" t="n">
        <v>20.574073022056</v>
      </c>
      <c r="N480" s="17" t="n">
        <v>0.169168484849159</v>
      </c>
      <c r="O480" s="18" t="n">
        <v>0.00551693632522488</v>
      </c>
    </row>
    <row r="481" ht="15" customHeight="1" s="12">
      <c r="A481" s="14" t="inlineStr">
        <is>
          <t>Harnai</t>
        </is>
      </c>
      <c r="B481" s="14" t="inlineStr">
        <is>
          <t>Balochistan</t>
        </is>
      </c>
      <c r="C481" s="14" t="n">
        <v>2021</v>
      </c>
      <c r="D481" s="15" t="n">
        <v>115.096677843145</v>
      </c>
      <c r="E481" s="15" t="n">
        <v>3294.92450296061</v>
      </c>
      <c r="F481" s="15" t="n">
        <v>166.373992204666</v>
      </c>
      <c r="G481" s="15" t="n">
        <v>25.1036046743393</v>
      </c>
      <c r="H481" s="15" t="n">
        <v>41.3983300477448</v>
      </c>
      <c r="I481" s="16" t="n">
        <v>35.9683101402484</v>
      </c>
      <c r="J481" s="15" t="n">
        <v>14.5164383561644</v>
      </c>
      <c r="K481" s="15" t="n">
        <v>3066.34832951899</v>
      </c>
      <c r="L481" s="15" t="n">
        <v>156.942530856701</v>
      </c>
      <c r="M481" s="15" t="n">
        <v>-41.8458530135567</v>
      </c>
      <c r="N481" s="17" t="n">
        <v>0.218851150554104</v>
      </c>
      <c r="O481" s="18" t="n">
        <v>0.00713719144192709</v>
      </c>
    </row>
    <row r="482" ht="15" customHeight="1" s="12">
      <c r="A482" s="14" t="inlineStr">
        <is>
          <t>Harnai</t>
        </is>
      </c>
      <c r="B482" s="14" t="inlineStr">
        <is>
          <t>Balochistan</t>
        </is>
      </c>
      <c r="C482" s="14" t="n">
        <v>2022</v>
      </c>
      <c r="D482" s="15" t="n">
        <v>351.277415338688</v>
      </c>
      <c r="E482" s="15" t="n">
        <v>10056.1769881272</v>
      </c>
      <c r="F482" s="15" t="n">
        <v>468.861584581493</v>
      </c>
      <c r="G482" s="15" t="n">
        <v>132.866111857817</v>
      </c>
      <c r="H482" s="15" t="n">
        <v>83.96674958184521</v>
      </c>
      <c r="I482" s="16" t="n">
        <v>23.9032587679705</v>
      </c>
      <c r="J482" s="15" t="n">
        <v>35.7552054794521</v>
      </c>
      <c r="K482" s="15" t="n">
        <v>3066.34832951899</v>
      </c>
      <c r="L482" s="15" t="n">
        <v>156.942530856701</v>
      </c>
      <c r="M482" s="15" t="n">
        <v>194.334884481987</v>
      </c>
      <c r="N482" s="17" t="n">
        <v>0.309050467632937</v>
      </c>
      <c r="O482" s="18" t="n">
        <v>0.0100787788738084</v>
      </c>
    </row>
    <row r="483" ht="15" customHeight="1" s="12">
      <c r="A483" s="14" t="inlineStr">
        <is>
          <t>Harnai</t>
        </is>
      </c>
      <c r="B483" s="14" t="inlineStr">
        <is>
          <t>Balochistan</t>
        </is>
      </c>
      <c r="C483" s="14" t="n">
        <v>2023</v>
      </c>
      <c r="D483" s="15" t="n">
        <v>108.083699528367</v>
      </c>
      <c r="E483" s="15" t="n">
        <v>3094.16081002775</v>
      </c>
      <c r="F483" s="15" t="n">
        <v>151.203916728497</v>
      </c>
      <c r="G483" s="15" t="n">
        <v>28.7434044480324</v>
      </c>
      <c r="H483" s="15" t="n">
        <v>33.3004226264611</v>
      </c>
      <c r="I483" s="16" t="n">
        <v>30.8098471571297</v>
      </c>
      <c r="J483" s="15" t="n">
        <v>14.7078082191781</v>
      </c>
      <c r="K483" s="15" t="n">
        <v>3066.34832951899</v>
      </c>
      <c r="L483" s="15" t="n">
        <v>156.942530856701</v>
      </c>
      <c r="M483" s="15" t="n">
        <v>-48.8588313283344</v>
      </c>
      <c r="N483" s="17" t="n">
        <v>0.0824003710556927</v>
      </c>
      <c r="O483" s="18" t="n">
        <v>0.00268724757270544</v>
      </c>
    </row>
    <row r="484" ht="15" customHeight="1" s="12">
      <c r="A484" s="14" t="inlineStr">
        <is>
          <t>Harnai</t>
        </is>
      </c>
      <c r="B484" s="14" t="inlineStr">
        <is>
          <t>Balochistan</t>
        </is>
      </c>
      <c r="C484" s="14" t="n">
        <v>2024</v>
      </c>
      <c r="D484" s="15" t="n">
        <v>298.531402479545</v>
      </c>
      <c r="E484" s="15" t="n">
        <v>8546.19309059091</v>
      </c>
      <c r="F484" s="15" t="n">
        <v>425.94475440681</v>
      </c>
      <c r="G484" s="15" t="n">
        <v>94.6418491639197</v>
      </c>
      <c r="H484" s="15" t="n">
        <v>89.6063042581287</v>
      </c>
      <c r="I484" s="16" t="n">
        <v>30.015704717787</v>
      </c>
      <c r="J484" s="15" t="n">
        <v>30.4612328767123</v>
      </c>
      <c r="K484" s="15" t="n">
        <v>3066.34832951899</v>
      </c>
      <c r="L484" s="15" t="n">
        <v>156.942530856701</v>
      </c>
      <c r="M484" s="15" t="n">
        <v>141.588871622844</v>
      </c>
      <c r="N484" s="17" t="n">
        <v>0.138257277035702</v>
      </c>
      <c r="O484" s="18" t="n">
        <v>0.00450885751317725</v>
      </c>
    </row>
    <row r="485" ht="15" customHeight="1" s="12">
      <c r="A485" s="14" t="inlineStr">
        <is>
          <t>Harnai</t>
        </is>
      </c>
      <c r="B485" s="14" t="inlineStr">
        <is>
          <t>Balochistan</t>
        </is>
      </c>
      <c r="C485" s="14" t="n">
        <v>2025</v>
      </c>
      <c r="D485" s="15" t="n">
        <v>170.147527227211</v>
      </c>
      <c r="E485" s="15" t="n">
        <v>4870.88999513193</v>
      </c>
      <c r="F485" s="15" t="n">
        <v>234.949141860008</v>
      </c>
      <c r="G485" s="15" t="n">
        <v>57.3979231109915</v>
      </c>
      <c r="H485" s="15" t="n">
        <v>48.5029090873249</v>
      </c>
      <c r="I485" s="16" t="n">
        <v>28.5063849459036</v>
      </c>
      <c r="J485" s="15" t="n">
        <v>18.8608219178082</v>
      </c>
      <c r="K485" s="15" t="n">
        <v>3066.34832951899</v>
      </c>
      <c r="L485" s="15" t="n">
        <v>156.942530856701</v>
      </c>
      <c r="M485" s="15" t="n">
        <v>13.2049963705101</v>
      </c>
      <c r="N485" s="17" t="n">
        <v>0.137634490918687</v>
      </c>
      <c r="O485" s="18" t="n">
        <v>0.00448854716190307</v>
      </c>
    </row>
    <row r="486" ht="15" customHeight="1" s="12">
      <c r="A486" s="14" t="inlineStr">
        <is>
          <t>Haveli</t>
        </is>
      </c>
      <c r="B486" s="14" t="inlineStr">
        <is>
          <t>Azad Kashmir</t>
        </is>
      </c>
      <c r="C486" s="14" t="n">
        <v>2015</v>
      </c>
      <c r="D486" s="15" t="n">
        <v>570.417289763711</v>
      </c>
      <c r="E486" s="15" t="n">
        <v>3039.98861485837</v>
      </c>
      <c r="F486" s="15" t="n">
        <v>695.015777111054</v>
      </c>
      <c r="G486" s="15" t="n">
        <v>457.706102848053</v>
      </c>
      <c r="H486" s="15" t="n">
        <v>80.6607508536174</v>
      </c>
      <c r="I486" s="16" t="n">
        <v>14.1406567264169</v>
      </c>
      <c r="J486" s="15" t="n">
        <v>27.2362030905077</v>
      </c>
      <c r="K486" s="15" t="n">
        <v>551.059312129089</v>
      </c>
      <c r="L486" s="15" t="n">
        <v>544.2056053256</v>
      </c>
      <c r="M486" s="15" t="n">
        <v>26.2116844381113</v>
      </c>
      <c r="N486" s="17" t="n">
        <v>0.061082450012207</v>
      </c>
      <c r="O486" s="18" t="n">
        <v>0.0110845509127152</v>
      </c>
    </row>
    <row r="487" ht="15" customHeight="1" s="12">
      <c r="A487" s="14" t="inlineStr">
        <is>
          <t>Haveli</t>
        </is>
      </c>
      <c r="B487" s="14" t="inlineStr">
        <is>
          <t>Azad Kashmir</t>
        </is>
      </c>
      <c r="C487" s="14" t="n">
        <v>2016</v>
      </c>
      <c r="D487" s="15" t="n">
        <v>496.484818641187</v>
      </c>
      <c r="E487" s="15" t="n">
        <v>2645.97203346421</v>
      </c>
      <c r="F487" s="15" t="n">
        <v>599.151180028915</v>
      </c>
      <c r="G487" s="15" t="n">
        <v>399.066471099854</v>
      </c>
      <c r="H487" s="15" t="n">
        <v>68.8807985479244</v>
      </c>
      <c r="I487" s="16" t="n">
        <v>13.873696830538</v>
      </c>
      <c r="J487" s="15" t="n">
        <v>25.4569536423841</v>
      </c>
      <c r="K487" s="15" t="n">
        <v>551.059312129089</v>
      </c>
      <c r="L487" s="15" t="n">
        <v>544.2056053256</v>
      </c>
      <c r="M487" s="15" t="n">
        <v>-47.720786684413</v>
      </c>
      <c r="N487" s="17" t="n">
        <v>0.0968501752319335</v>
      </c>
      <c r="O487" s="18" t="n">
        <v>0.0175752724072006</v>
      </c>
    </row>
    <row r="488" ht="15" customHeight="1" s="12">
      <c r="A488" s="14" t="inlineStr">
        <is>
          <t>Haveli</t>
        </is>
      </c>
      <c r="B488" s="14" t="inlineStr">
        <is>
          <t>Azad Kashmir</t>
        </is>
      </c>
      <c r="C488" s="14" t="n">
        <v>2017</v>
      </c>
      <c r="D488" s="15" t="n">
        <v>420.336064051494</v>
      </c>
      <c r="E488" s="15" t="n">
        <v>2240.1439648862</v>
      </c>
      <c r="F488" s="15" t="n">
        <v>495.17818915844</v>
      </c>
      <c r="G488" s="15" t="n">
        <v>346.088987588882</v>
      </c>
      <c r="H488" s="15" t="n">
        <v>47.9932328247235</v>
      </c>
      <c r="I488" s="16" t="n">
        <v>11.4178241957473</v>
      </c>
      <c r="J488" s="15" t="n">
        <v>36.2729948491538</v>
      </c>
      <c r="K488" s="15" t="n">
        <v>551.059312129089</v>
      </c>
      <c r="L488" s="15" t="n">
        <v>544.2056053256</v>
      </c>
      <c r="M488" s="15" t="n">
        <v>-123.869541274106</v>
      </c>
      <c r="N488" s="17" t="n">
        <v>0.0454396104125976</v>
      </c>
      <c r="O488" s="18" t="n">
        <v>0.00824586562869898</v>
      </c>
    </row>
    <row r="489" ht="15" customHeight="1" s="12">
      <c r="A489" s="14" t="inlineStr">
        <is>
          <t>Haveli</t>
        </is>
      </c>
      <c r="B489" s="14" t="inlineStr">
        <is>
          <t>Azad Kashmir</t>
        </is>
      </c>
      <c r="C489" s="14" t="n">
        <v>2018</v>
      </c>
      <c r="D489" s="15" t="n">
        <v>459.190071075738</v>
      </c>
      <c r="E489" s="15" t="n">
        <v>2447.21296702717</v>
      </c>
      <c r="F489" s="15" t="n">
        <v>558.495030671358</v>
      </c>
      <c r="G489" s="15" t="n">
        <v>370.810626327992</v>
      </c>
      <c r="H489" s="15" t="n">
        <v>62.771611251239</v>
      </c>
      <c r="I489" s="16" t="n">
        <v>13.6700715466658</v>
      </c>
      <c r="J489" s="15" t="n">
        <v>26.1295069904341</v>
      </c>
      <c r="K489" s="15" t="n">
        <v>551.059312129089</v>
      </c>
      <c r="L489" s="15" t="n">
        <v>544.2056053256</v>
      </c>
      <c r="M489" s="15" t="n">
        <v>-85.0155342498617</v>
      </c>
      <c r="N489" s="17" t="n">
        <v>0.0111753119506835</v>
      </c>
      <c r="O489" s="18" t="n">
        <v>0.00202796898713248</v>
      </c>
    </row>
    <row r="490" ht="15" customHeight="1" s="12">
      <c r="A490" s="14" t="inlineStr">
        <is>
          <t>Haveli</t>
        </is>
      </c>
      <c r="B490" s="14" t="inlineStr">
        <is>
          <t>Azad Kashmir</t>
        </is>
      </c>
      <c r="C490" s="14" t="n">
        <v>2019</v>
      </c>
      <c r="D490" s="15" t="n">
        <v>524.5626100397971</v>
      </c>
      <c r="E490" s="15" t="n">
        <v>2795.61014527092</v>
      </c>
      <c r="F490" s="15" t="n">
        <v>640.717458441854</v>
      </c>
      <c r="G490" s="15" t="n">
        <v>418.704745650291</v>
      </c>
      <c r="H490" s="15" t="n">
        <v>71.87413414427689</v>
      </c>
      <c r="I490" s="16" t="n">
        <v>13.7017264991159</v>
      </c>
      <c r="J490" s="15" t="n">
        <v>27.6835908756439</v>
      </c>
      <c r="K490" s="15" t="n">
        <v>551.059312129089</v>
      </c>
      <c r="L490" s="15" t="n">
        <v>544.2056053256</v>
      </c>
      <c r="M490" s="15" t="n">
        <v>-19.6429952858025</v>
      </c>
      <c r="N490" s="17" t="n">
        <v>0.0223546721191406</v>
      </c>
      <c r="O490" s="18" t="n">
        <v>0.0040566725989568</v>
      </c>
    </row>
    <row r="491" ht="15" customHeight="1" s="12">
      <c r="A491" s="14" t="inlineStr">
        <is>
          <t>Haveli</t>
        </is>
      </c>
      <c r="B491" s="14" t="inlineStr">
        <is>
          <t>Azad Kashmir</t>
        </is>
      </c>
      <c r="C491" s="14" t="n">
        <v>2020</v>
      </c>
      <c r="D491" s="15" t="n">
        <v>556.891474212122</v>
      </c>
      <c r="E491" s="15" t="n">
        <v>2967.90397433049</v>
      </c>
      <c r="F491" s="15" t="n">
        <v>658.975994905864</v>
      </c>
      <c r="G491" s="15" t="n">
        <v>462.49237657916</v>
      </c>
      <c r="H491" s="15" t="n">
        <v>67.5760082161993</v>
      </c>
      <c r="I491" s="16" t="n">
        <v>12.1345022047257</v>
      </c>
      <c r="J491" s="15" t="n">
        <v>40.8197203826343</v>
      </c>
      <c r="K491" s="15" t="n">
        <v>551.059312129089</v>
      </c>
      <c r="L491" s="15" t="n">
        <v>544.2056053256</v>
      </c>
      <c r="M491" s="15" t="n">
        <v>12.6858688865223</v>
      </c>
      <c r="N491" s="17" t="n">
        <v>0.0216028110961914</v>
      </c>
      <c r="O491" s="18" t="n">
        <v>0.00392023337972933</v>
      </c>
    </row>
    <row r="492" ht="15" customHeight="1" s="12">
      <c r="A492" s="14" t="inlineStr">
        <is>
          <t>Haveli</t>
        </is>
      </c>
      <c r="B492" s="14" t="inlineStr">
        <is>
          <t>Azad Kashmir</t>
        </is>
      </c>
      <c r="C492" s="14" t="n">
        <v>2021</v>
      </c>
      <c r="D492" s="15" t="n">
        <v>695.327444971002</v>
      </c>
      <c r="E492" s="15" t="n">
        <v>3705.68626555134</v>
      </c>
      <c r="F492" s="15" t="n">
        <v>858.5829553604131</v>
      </c>
      <c r="G492" s="15" t="n">
        <v>549.479671120644</v>
      </c>
      <c r="H492" s="15" t="n">
        <v>96.8987737224415</v>
      </c>
      <c r="I492" s="16" t="n">
        <v>13.9357038792684</v>
      </c>
      <c r="J492" s="15" t="n">
        <v>22.1707137601177</v>
      </c>
      <c r="K492" s="15" t="n">
        <v>551.059312129089</v>
      </c>
      <c r="L492" s="15" t="n">
        <v>544.2056053256</v>
      </c>
      <c r="M492" s="15" t="n">
        <v>151.121839645403</v>
      </c>
      <c r="N492" s="17" t="n">
        <v>0.0208566507568359</v>
      </c>
      <c r="O492" s="18" t="n">
        <v>0.00378482865596691</v>
      </c>
    </row>
    <row r="493" ht="15" customHeight="1" s="12">
      <c r="A493" s="14" t="inlineStr">
        <is>
          <t>Haveli</t>
        </is>
      </c>
      <c r="B493" s="14" t="inlineStr">
        <is>
          <t>Azad Kashmir</t>
        </is>
      </c>
      <c r="C493" s="14" t="n">
        <v>2022</v>
      </c>
      <c r="D493" s="15" t="n">
        <v>523.294580835994</v>
      </c>
      <c r="E493" s="15" t="n">
        <v>2788.85229551418</v>
      </c>
      <c r="F493" s="15" t="n">
        <v>653.412339925766</v>
      </c>
      <c r="G493" s="15" t="n">
        <v>427.338328242302</v>
      </c>
      <c r="H493" s="15" t="n">
        <v>77.7283803081347</v>
      </c>
      <c r="I493" s="16" t="n">
        <v>14.8536566505159</v>
      </c>
      <c r="J493" s="15" t="n">
        <v>38.8631346578367</v>
      </c>
      <c r="K493" s="15" t="n">
        <v>551.059312129089</v>
      </c>
      <c r="L493" s="15" t="n">
        <v>544.2056053256</v>
      </c>
      <c r="M493" s="15" t="n">
        <v>-20.9110244896054</v>
      </c>
      <c r="N493" s="17" t="n">
        <v>0.0119203892211914</v>
      </c>
      <c r="O493" s="18" t="n">
        <v>0.00216317716783252</v>
      </c>
    </row>
    <row r="494" ht="15" customHeight="1" s="12">
      <c r="A494" s="14" t="inlineStr">
        <is>
          <t>Haveli</t>
        </is>
      </c>
      <c r="B494" s="14" t="inlineStr">
        <is>
          <t>Azad Kashmir</t>
        </is>
      </c>
      <c r="C494" s="14" t="n">
        <v>2023</v>
      </c>
      <c r="D494" s="15" t="n">
        <v>626.6308466640789</v>
      </c>
      <c r="E494" s="15" t="n">
        <v>3339.57380633915</v>
      </c>
      <c r="F494" s="15" t="n">
        <v>765.861974716187</v>
      </c>
      <c r="G494" s="15" t="n">
        <v>490.548723697662</v>
      </c>
      <c r="H494" s="15" t="n">
        <v>89.5268788648636</v>
      </c>
      <c r="I494" s="16" t="n">
        <v>14.2870207142638</v>
      </c>
      <c r="J494" s="15" t="n">
        <v>28.6754966887417</v>
      </c>
      <c r="K494" s="15" t="n">
        <v>551.059312129089</v>
      </c>
      <c r="L494" s="15" t="n">
        <v>544.2056053256</v>
      </c>
      <c r="M494" s="15" t="n">
        <v>82.42524133847949</v>
      </c>
      <c r="N494" s="17" t="n">
        <v>0.0283070635986328</v>
      </c>
      <c r="O494" s="18" t="n">
        <v>0.00513684515905643</v>
      </c>
    </row>
    <row r="495" ht="15" customHeight="1" s="12">
      <c r="A495" s="14" t="inlineStr">
        <is>
          <t>Haveli</t>
        </is>
      </c>
      <c r="B495" s="14" t="inlineStr">
        <is>
          <t>Azad Kashmir</t>
        </is>
      </c>
      <c r="C495" s="14" t="n">
        <v>2024</v>
      </c>
      <c r="D495" s="15" t="n">
        <v>459.214091700236</v>
      </c>
      <c r="E495" s="15" t="n">
        <v>2447.34098282596</v>
      </c>
      <c r="F495" s="15" t="n">
        <v>576.714631163981</v>
      </c>
      <c r="G495" s="15" t="n">
        <v>368.025944858789</v>
      </c>
      <c r="H495" s="15" t="n">
        <v>65.9412300284075</v>
      </c>
      <c r="I495" s="16" t="n">
        <v>14.3595833011702</v>
      </c>
      <c r="J495" s="15" t="n">
        <v>29.80353200883</v>
      </c>
      <c r="K495" s="15" t="n">
        <v>551.059312129089</v>
      </c>
      <c r="L495" s="15" t="n">
        <v>544.2056053256</v>
      </c>
      <c r="M495" s="15" t="n">
        <v>-84.99151362536411</v>
      </c>
      <c r="N495" s="17" t="n">
        <v>0.0096854306030273</v>
      </c>
      <c r="O495" s="18" t="n">
        <v>0.00175760220176779</v>
      </c>
    </row>
    <row r="496" ht="15" customHeight="1" s="12">
      <c r="A496" s="14" t="inlineStr">
        <is>
          <t>Haveli</t>
        </is>
      </c>
      <c r="B496" s="14" t="inlineStr">
        <is>
          <t>Azad Kashmir</t>
        </is>
      </c>
      <c r="C496" s="14" t="n">
        <v>2025</v>
      </c>
      <c r="D496" s="15" t="n">
        <v>653.912366626236</v>
      </c>
      <c r="E496" s="15" t="n">
        <v>3484.96825978453</v>
      </c>
      <c r="F496" s="15" t="n">
        <v>803.3258985280989</v>
      </c>
      <c r="G496" s="15" t="n">
        <v>510.929205179215</v>
      </c>
      <c r="H496" s="15" t="n">
        <v>98.83248282112029</v>
      </c>
      <c r="I496" s="16" t="n">
        <v>15.1140256501084</v>
      </c>
      <c r="J496" s="15" t="n">
        <v>47.6872700515085</v>
      </c>
      <c r="K496" s="15" t="n">
        <v>551.059312129089</v>
      </c>
      <c r="L496" s="15" t="n">
        <v>544.2056053256</v>
      </c>
      <c r="M496" s="15" t="n">
        <v>109.706761300636</v>
      </c>
      <c r="N496" s="17" t="n">
        <v>0.0074498121948242</v>
      </c>
      <c r="O496" s="18" t="n">
        <v>0.00135190750448275</v>
      </c>
    </row>
    <row r="497" ht="15" customHeight="1" s="12">
      <c r="A497" s="14" t="inlineStr">
        <is>
          <t>Hunza</t>
        </is>
      </c>
      <c r="B497" s="14" t="inlineStr">
        <is>
          <t>Gilgit Baltistan</t>
        </is>
      </c>
      <c r="C497" s="14" t="n">
        <v>2015</v>
      </c>
      <c r="D497" s="15" t="n">
        <v>103.419658435825</v>
      </c>
      <c r="E497" s="15" t="n">
        <v>11879.4714323284</v>
      </c>
      <c r="F497" s="15" t="n">
        <v>295.17744076252</v>
      </c>
      <c r="G497" s="15" t="n">
        <v>6.47488342309066</v>
      </c>
      <c r="H497" s="15" t="n">
        <v>74.6841049745322</v>
      </c>
      <c r="I497" s="16" t="n">
        <v>72.21461190657089</v>
      </c>
      <c r="J497" s="15" t="n">
        <v>14.0873305793588</v>
      </c>
      <c r="K497" s="15" t="n">
        <v>11415.8719271381</v>
      </c>
      <c r="L497" s="15" t="n">
        <v>99.7678411896442</v>
      </c>
      <c r="M497" s="15" t="n">
        <v>3.65181724618068</v>
      </c>
      <c r="N497" s="17" t="n">
        <v>3.26294004723044</v>
      </c>
      <c r="O497" s="18" t="n">
        <v>0.0285824864544398</v>
      </c>
    </row>
    <row r="498" ht="15" customHeight="1" s="12">
      <c r="A498" s="14" t="inlineStr">
        <is>
          <t>Hunza</t>
        </is>
      </c>
      <c r="B498" s="14" t="inlineStr">
        <is>
          <t>Gilgit Baltistan</t>
        </is>
      </c>
      <c r="C498" s="14" t="n">
        <v>2016</v>
      </c>
      <c r="D498" s="15" t="n">
        <v>97.4559085204617</v>
      </c>
      <c r="E498" s="15" t="n">
        <v>11194.435358717</v>
      </c>
      <c r="F498" s="15" t="n">
        <v>277.595184564591</v>
      </c>
      <c r="G498" s="15" t="n">
        <v>5.29036104679108</v>
      </c>
      <c r="H498" s="15" t="n">
        <v>73.8754725030679</v>
      </c>
      <c r="I498" s="16" t="n">
        <v>75.8039954935694</v>
      </c>
      <c r="J498" s="15" t="n">
        <v>16.8129800962753</v>
      </c>
      <c r="K498" s="15" t="n">
        <v>11415.8719271381</v>
      </c>
      <c r="L498" s="15" t="n">
        <v>99.7678411896442</v>
      </c>
      <c r="M498" s="15" t="n">
        <v>-2.31193266918253</v>
      </c>
      <c r="N498" s="17" t="n">
        <v>3.28179944720411</v>
      </c>
      <c r="O498" s="18" t="n">
        <v>0.0287476897791971</v>
      </c>
    </row>
    <row r="499" ht="15" customHeight="1" s="12">
      <c r="A499" s="14" t="inlineStr">
        <is>
          <t>Hunza</t>
        </is>
      </c>
      <c r="B499" s="14" t="inlineStr">
        <is>
          <t>Gilgit Baltistan</t>
        </is>
      </c>
      <c r="C499" s="14" t="n">
        <v>2017</v>
      </c>
      <c r="D499" s="15" t="n">
        <v>98.0175607895422</v>
      </c>
      <c r="E499" s="15" t="n">
        <v>11258.9504826921</v>
      </c>
      <c r="F499" s="15" t="n">
        <v>302.901505470276</v>
      </c>
      <c r="G499" s="15" t="n">
        <v>2.84641849994659</v>
      </c>
      <c r="H499" s="15" t="n">
        <v>75.0039366032842</v>
      </c>
      <c r="I499" s="16" t="n">
        <v>76.52091727147589</v>
      </c>
      <c r="J499" s="15" t="n">
        <v>15.7359939913284</v>
      </c>
      <c r="K499" s="15" t="n">
        <v>11415.8719271381</v>
      </c>
      <c r="L499" s="15" t="n">
        <v>99.7678411896442</v>
      </c>
      <c r="M499" s="15" t="n">
        <v>-1.75028040010201</v>
      </c>
      <c r="N499" s="17" t="n">
        <v>4.12011059583668</v>
      </c>
      <c r="O499" s="18" t="n">
        <v>0.0360910723432544</v>
      </c>
    </row>
    <row r="500" ht="15" customHeight="1" s="12">
      <c r="A500" s="14" t="inlineStr">
        <is>
          <t>Hunza</t>
        </is>
      </c>
      <c r="B500" s="14" t="inlineStr">
        <is>
          <t>Gilgit Baltistan</t>
        </is>
      </c>
      <c r="C500" s="14" t="n">
        <v>2018</v>
      </c>
      <c r="D500" s="15" t="n">
        <v>87.0671819368611</v>
      </c>
      <c r="E500" s="15" t="n">
        <v>10001.1169651474</v>
      </c>
      <c r="F500" s="15" t="n">
        <v>277.026137828827</v>
      </c>
      <c r="G500" s="15" t="n">
        <v>0</v>
      </c>
      <c r="H500" s="15" t="n">
        <v>67.7521776806233</v>
      </c>
      <c r="I500" s="16" t="n">
        <v>77.8159763224626</v>
      </c>
      <c r="J500" s="15" t="n">
        <v>14.3548871667065</v>
      </c>
      <c r="K500" s="15" t="n">
        <v>11415.8719271381</v>
      </c>
      <c r="L500" s="15" t="n">
        <v>99.7678411896442</v>
      </c>
      <c r="M500" s="15" t="n">
        <v>-12.7006592527832</v>
      </c>
      <c r="N500" s="17" t="n">
        <v>2.08999181419845</v>
      </c>
      <c r="O500" s="18" t="n">
        <v>0.0183077720872995</v>
      </c>
    </row>
    <row r="501" ht="15" customHeight="1" s="12">
      <c r="A501" s="14" t="inlineStr">
        <is>
          <t>Hunza</t>
        </is>
      </c>
      <c r="B501" s="14" t="inlineStr">
        <is>
          <t>Gilgit Baltistan</t>
        </is>
      </c>
      <c r="C501" s="14" t="n">
        <v>2019</v>
      </c>
      <c r="D501" s="15" t="n">
        <v>115.970306789842</v>
      </c>
      <c r="E501" s="15" t="n">
        <v>13321.1225732598</v>
      </c>
      <c r="F501" s="15" t="n">
        <v>329.204862833023</v>
      </c>
      <c r="G501" s="15" t="n">
        <v>12.1733312159777</v>
      </c>
      <c r="H501" s="15" t="n">
        <v>86.0078233646756</v>
      </c>
      <c r="I501" s="16" t="n">
        <v>74.1636594275265</v>
      </c>
      <c r="J501" s="15" t="n">
        <v>17.8726912703561</v>
      </c>
      <c r="K501" s="15" t="n">
        <v>11415.8719271381</v>
      </c>
      <c r="L501" s="15" t="n">
        <v>99.7678411896442</v>
      </c>
      <c r="M501" s="15" t="n">
        <v>16.2024656001972</v>
      </c>
      <c r="N501" s="17" t="n">
        <v>2.27332032158706</v>
      </c>
      <c r="O501" s="18" t="n">
        <v>0.0199136810231977</v>
      </c>
    </row>
    <row r="502" ht="15" customHeight="1" s="12">
      <c r="A502" s="14" t="inlineStr">
        <is>
          <t>Hunza</t>
        </is>
      </c>
      <c r="B502" s="14" t="inlineStr">
        <is>
          <t>Gilgit Baltistan</t>
        </is>
      </c>
      <c r="C502" s="14" t="n">
        <v>2020</v>
      </c>
      <c r="D502" s="15" t="n">
        <v>94.4899280097198</v>
      </c>
      <c r="E502" s="15" t="n">
        <v>10853.7430640498</v>
      </c>
      <c r="F502" s="15" t="n">
        <v>269.468872901984</v>
      </c>
      <c r="G502" s="15" t="n">
        <v>7.3841512024519</v>
      </c>
      <c r="H502" s="15" t="n">
        <v>70.21452231892439</v>
      </c>
      <c r="I502" s="16" t="n">
        <v>74.30900181414221</v>
      </c>
      <c r="J502" s="15" t="n">
        <v>17.9047147587996</v>
      </c>
      <c r="K502" s="15" t="n">
        <v>11415.8719271381</v>
      </c>
      <c r="L502" s="15" t="n">
        <v>99.7678411896442</v>
      </c>
      <c r="M502" s="15" t="n">
        <v>-5.27791317992444</v>
      </c>
      <c r="N502" s="17" t="n">
        <v>5.15139936382147</v>
      </c>
      <c r="O502" s="18" t="n">
        <v>0.0451248874961135</v>
      </c>
    </row>
    <row r="503" ht="15" customHeight="1" s="12">
      <c r="A503" s="14" t="inlineStr">
        <is>
          <t>Hunza</t>
        </is>
      </c>
      <c r="B503" s="14" t="inlineStr">
        <is>
          <t>Gilgit Baltistan</t>
        </is>
      </c>
      <c r="C503" s="14" t="n">
        <v>2021</v>
      </c>
      <c r="D503" s="15" t="n">
        <v>105.812122295553</v>
      </c>
      <c r="E503" s="15" t="n">
        <v>12154.2857810158</v>
      </c>
      <c r="F503" s="15" t="n">
        <v>349.679017663002</v>
      </c>
      <c r="G503" s="15" t="n">
        <v>5.62011623382568</v>
      </c>
      <c r="H503" s="15" t="n">
        <v>83.9374913705949</v>
      </c>
      <c r="I503" s="16" t="n">
        <v>79.32691410927571</v>
      </c>
      <c r="J503" s="15" t="n">
        <v>14.4377453825407</v>
      </c>
      <c r="K503" s="15" t="n">
        <v>11415.8719271381</v>
      </c>
      <c r="L503" s="15" t="n">
        <v>99.7678411896442</v>
      </c>
      <c r="M503" s="15" t="n">
        <v>6.0442811059086</v>
      </c>
      <c r="N503" s="17" t="n">
        <v>1.43842941114765</v>
      </c>
      <c r="O503" s="18" t="n">
        <v>0.0126002588354919</v>
      </c>
    </row>
    <row r="504" ht="15" customHeight="1" s="12">
      <c r="A504" s="14" t="inlineStr">
        <is>
          <t>Hunza</t>
        </is>
      </c>
      <c r="B504" s="14" t="inlineStr">
        <is>
          <t>Gilgit Baltistan</t>
        </is>
      </c>
      <c r="C504" s="14" t="n">
        <v>2022</v>
      </c>
      <c r="D504" s="15" t="n">
        <v>94.3996434527256</v>
      </c>
      <c r="E504" s="15" t="n">
        <v>10843.3723779364</v>
      </c>
      <c r="F504" s="15" t="n">
        <v>280.189764499664</v>
      </c>
      <c r="G504" s="15" t="n">
        <v>5.83022986538708</v>
      </c>
      <c r="H504" s="15" t="n">
        <v>70.0098068436869</v>
      </c>
      <c r="I504" s="16" t="n">
        <v>74.1632110917316</v>
      </c>
      <c r="J504" s="15" t="n">
        <v>16.7726264040149</v>
      </c>
      <c r="K504" s="15" t="n">
        <v>11415.8719271381</v>
      </c>
      <c r="L504" s="15" t="n">
        <v>99.7678411896442</v>
      </c>
      <c r="M504" s="15" t="n">
        <v>-5.36819773691866</v>
      </c>
      <c r="N504" s="17" t="n">
        <v>3.57091302152387</v>
      </c>
      <c r="O504" s="18" t="n">
        <v>0.0312802477490572</v>
      </c>
    </row>
    <row r="505" ht="15" customHeight="1" s="12">
      <c r="A505" s="14" t="inlineStr">
        <is>
          <t>Hunza</t>
        </is>
      </c>
      <c r="B505" s="14" t="inlineStr">
        <is>
          <t>Gilgit Baltistan</t>
        </is>
      </c>
      <c r="C505" s="14" t="n">
        <v>2023</v>
      </c>
      <c r="D505" s="15" t="n">
        <v>103.732920917427</v>
      </c>
      <c r="E505" s="15" t="n">
        <v>11915.4548493818</v>
      </c>
      <c r="F505" s="15" t="n">
        <v>305.802045822144</v>
      </c>
      <c r="G505" s="15" t="n">
        <v>6.61750191450119</v>
      </c>
      <c r="H505" s="15" t="n">
        <v>80.09818911573259</v>
      </c>
      <c r="I505" s="16" t="n">
        <v>77.2157849285784</v>
      </c>
      <c r="J505" s="15" t="n">
        <v>16.8305622887576</v>
      </c>
      <c r="K505" s="15" t="n">
        <v>11415.8719271381</v>
      </c>
      <c r="L505" s="15" t="n">
        <v>99.7678411896442</v>
      </c>
      <c r="M505" s="15" t="n">
        <v>3.96507972778267</v>
      </c>
      <c r="N505" s="17" t="n">
        <v>2.22155434219564</v>
      </c>
      <c r="O505" s="18" t="n">
        <v>0.019460224820099</v>
      </c>
    </row>
    <row r="506" ht="15" customHeight="1" s="12">
      <c r="A506" s="14" t="inlineStr">
        <is>
          <t>Hunza</t>
        </is>
      </c>
      <c r="B506" s="14" t="inlineStr">
        <is>
          <t>Gilgit Baltistan</t>
        </is>
      </c>
      <c r="C506" s="14" t="n">
        <v>2024</v>
      </c>
      <c r="D506" s="15" t="n">
        <v>96.8732728762363</v>
      </c>
      <c r="E506" s="15" t="n">
        <v>11127.5099443837</v>
      </c>
      <c r="F506" s="15" t="n">
        <v>280.653456673026</v>
      </c>
      <c r="G506" s="15" t="n">
        <v>7.73717344171018</v>
      </c>
      <c r="H506" s="15" t="n">
        <v>72.962847636764</v>
      </c>
      <c r="I506" s="16" t="n">
        <v>75.31783067759071</v>
      </c>
      <c r="J506" s="15" t="n">
        <v>16.8817384179441</v>
      </c>
      <c r="K506" s="15" t="n">
        <v>11415.8719271381</v>
      </c>
      <c r="L506" s="15" t="n">
        <v>99.7678411896442</v>
      </c>
      <c r="M506" s="15" t="n">
        <v>-2.89456831340797</v>
      </c>
      <c r="N506" s="17" t="n">
        <v>1.83268026876125</v>
      </c>
      <c r="O506" s="18" t="n">
        <v>0.0160537914270443</v>
      </c>
    </row>
    <row r="507" ht="15" customHeight="1" s="12">
      <c r="A507" s="14" t="inlineStr">
        <is>
          <t>Hunza</t>
        </is>
      </c>
      <c r="B507" s="14" t="inlineStr">
        <is>
          <t>Gilgit Baltistan</t>
        </is>
      </c>
      <c r="C507" s="14" t="n">
        <v>2025</v>
      </c>
      <c r="D507" s="15" t="n">
        <v>100.207749061894</v>
      </c>
      <c r="E507" s="15" t="n">
        <v>11510.5301089095</v>
      </c>
      <c r="F507" s="15" t="n">
        <v>328.544058173895</v>
      </c>
      <c r="G507" s="15" t="n">
        <v>3.31305834666364</v>
      </c>
      <c r="H507" s="15" t="n">
        <v>78.6626966210188</v>
      </c>
      <c r="I507" s="16" t="n">
        <v>78.49961440849491</v>
      </c>
      <c r="J507" s="15" t="n">
        <v>13.4148031818647</v>
      </c>
      <c r="K507" s="15" t="n">
        <v>11415.8719271381</v>
      </c>
      <c r="L507" s="15" t="n">
        <v>99.7678411896442</v>
      </c>
      <c r="M507" s="15" t="n">
        <v>0.439907872249535</v>
      </c>
      <c r="N507" s="17" t="n">
        <v>1.58340651486433</v>
      </c>
      <c r="O507" s="18" t="n">
        <v>0.0138702196816016</v>
      </c>
    </row>
    <row r="508" ht="15" customHeight="1" s="12">
      <c r="A508" s="14" t="inlineStr">
        <is>
          <t>Hyderabad</t>
        </is>
      </c>
      <c r="B508" s="14" t="inlineStr">
        <is>
          <t>Sindh</t>
        </is>
      </c>
      <c r="C508" s="14" t="n">
        <v>2015</v>
      </c>
      <c r="D508" s="15" t="n">
        <v>115.930943712733</v>
      </c>
      <c r="E508" s="15" t="n">
        <v>1056.56279681722</v>
      </c>
      <c r="F508" s="15" t="n">
        <v>130.673956632614</v>
      </c>
      <c r="G508" s="15" t="n">
        <v>107.835336089134</v>
      </c>
      <c r="H508" s="15" t="n">
        <v>6.75114933917293</v>
      </c>
      <c r="I508" s="16" t="n">
        <v>5.82342308529955</v>
      </c>
      <c r="J508" s="15" t="n">
        <v>11.2908777969019</v>
      </c>
      <c r="K508" s="15" t="n">
        <v>1020.97501948463</v>
      </c>
      <c r="L508" s="15" t="n">
        <v>200.873337591989</v>
      </c>
      <c r="M508" s="15" t="n">
        <v>-84.9423938792555</v>
      </c>
      <c r="N508" s="17" t="n">
        <v>9.964437881617229</v>
      </c>
      <c r="O508" s="18" t="n">
        <v>0.975972740904775</v>
      </c>
    </row>
    <row r="509" ht="15" customHeight="1" s="12">
      <c r="A509" s="14" t="inlineStr">
        <is>
          <t>Hyderabad</t>
        </is>
      </c>
      <c r="B509" s="14" t="inlineStr">
        <is>
          <t>Sindh</t>
        </is>
      </c>
      <c r="C509" s="14" t="n">
        <v>2016</v>
      </c>
      <c r="D509" s="15" t="n">
        <v>172.005886576518</v>
      </c>
      <c r="E509" s="15" t="n">
        <v>1567.61443295619</v>
      </c>
      <c r="F509" s="15" t="n">
        <v>182.415013194084</v>
      </c>
      <c r="G509" s="15" t="n">
        <v>144.431725025177</v>
      </c>
      <c r="H509" s="15" t="n">
        <v>11.7836491343889</v>
      </c>
      <c r="I509" s="16" t="n">
        <v>6.85072433794112</v>
      </c>
      <c r="J509" s="15" t="n">
        <v>19.2710843373494</v>
      </c>
      <c r="K509" s="15" t="n">
        <v>1020.97501948463</v>
      </c>
      <c r="L509" s="15" t="n">
        <v>200.873337591989</v>
      </c>
      <c r="M509" s="15" t="n">
        <v>-28.8674510154704</v>
      </c>
      <c r="N509" s="17" t="n">
        <v>8.68194159089288</v>
      </c>
      <c r="O509" s="18" t="n">
        <v>0.850357885864372</v>
      </c>
    </row>
    <row r="510" ht="15" customHeight="1" s="12">
      <c r="A510" s="14" t="inlineStr">
        <is>
          <t>Hyderabad</t>
        </is>
      </c>
      <c r="B510" s="14" t="inlineStr">
        <is>
          <t>Sindh</t>
        </is>
      </c>
      <c r="C510" s="14" t="n">
        <v>2017</v>
      </c>
      <c r="D510" s="15" t="n">
        <v>208.006320619722</v>
      </c>
      <c r="E510" s="15" t="n">
        <v>1895.71250635386</v>
      </c>
      <c r="F510" s="15" t="n">
        <v>238.929503202438</v>
      </c>
      <c r="G510" s="15" t="n">
        <v>187.977317392826</v>
      </c>
      <c r="H510" s="15" t="n">
        <v>12.2547378422175</v>
      </c>
      <c r="I510" s="16" t="n">
        <v>5.89152185650247</v>
      </c>
      <c r="J510" s="15" t="n">
        <v>25.2641996557659</v>
      </c>
      <c r="K510" s="15" t="n">
        <v>1020.97501948463</v>
      </c>
      <c r="L510" s="15" t="n">
        <v>200.873337591989</v>
      </c>
      <c r="M510" s="15" t="n">
        <v>7.13298302773296</v>
      </c>
      <c r="N510" s="17" t="n">
        <v>8.326026703592269</v>
      </c>
      <c r="O510" s="18" t="n">
        <v>0.815497592467549</v>
      </c>
    </row>
    <row r="511" ht="15" customHeight="1" s="12">
      <c r="A511" s="14" t="inlineStr">
        <is>
          <t>Hyderabad</t>
        </is>
      </c>
      <c r="B511" s="14" t="inlineStr">
        <is>
          <t>Sindh</t>
        </is>
      </c>
      <c r="C511" s="14" t="n">
        <v>2018</v>
      </c>
      <c r="D511" s="15" t="n">
        <v>40.7357729805322</v>
      </c>
      <c r="E511" s="15" t="n">
        <v>371.254652575517</v>
      </c>
      <c r="F511" s="15" t="n">
        <v>45.7607152219862</v>
      </c>
      <c r="G511" s="15" t="n">
        <v>33.7512172088027</v>
      </c>
      <c r="H511" s="15" t="n">
        <v>3.6469471223765</v>
      </c>
      <c r="I511" s="16" t="n">
        <v>8.95268913669417</v>
      </c>
      <c r="J511" s="15" t="n">
        <v>9.157917383820999</v>
      </c>
      <c r="K511" s="15" t="n">
        <v>1020.97501948463</v>
      </c>
      <c r="L511" s="15" t="n">
        <v>200.873337591989</v>
      </c>
      <c r="M511" s="15" t="n">
        <v>-160.137564611457</v>
      </c>
      <c r="N511" s="17" t="n">
        <v>5.92905418655432</v>
      </c>
      <c r="O511" s="18" t="n">
        <v>0.580724706618893</v>
      </c>
    </row>
    <row r="512" ht="15" customHeight="1" s="12">
      <c r="A512" s="14" t="inlineStr">
        <is>
          <t>Hyderabad</t>
        </is>
      </c>
      <c r="B512" s="14" t="inlineStr">
        <is>
          <t>Sindh</t>
        </is>
      </c>
      <c r="C512" s="14" t="n">
        <v>2019</v>
      </c>
      <c r="D512" s="15" t="n">
        <v>279.991103573056</v>
      </c>
      <c r="E512" s="15" t="n">
        <v>2551.76205766189</v>
      </c>
      <c r="F512" s="15" t="n">
        <v>309.750634759665</v>
      </c>
      <c r="G512" s="15" t="n">
        <v>251.675761893392</v>
      </c>
      <c r="H512" s="15" t="n">
        <v>15.8478589670167</v>
      </c>
      <c r="I512" s="16" t="n">
        <v>5.6601294701071</v>
      </c>
      <c r="J512" s="15" t="n">
        <v>20.4784853700516</v>
      </c>
      <c r="K512" s="15" t="n">
        <v>1020.97501948463</v>
      </c>
      <c r="L512" s="15" t="n">
        <v>200.873337591989</v>
      </c>
      <c r="M512" s="15" t="n">
        <v>79.11776598106771</v>
      </c>
      <c r="N512" s="17" t="n">
        <v>12.6832041531243</v>
      </c>
      <c r="O512" s="18" t="n">
        <v>1.24226390568561</v>
      </c>
    </row>
    <row r="513" ht="15" customHeight="1" s="12">
      <c r="A513" s="14" t="inlineStr">
        <is>
          <t>Hyderabad</t>
        </is>
      </c>
      <c r="B513" s="14" t="inlineStr">
        <is>
          <t>Sindh</t>
        </is>
      </c>
      <c r="C513" s="14" t="n">
        <v>2020</v>
      </c>
      <c r="D513" s="15" t="n">
        <v>321.939435598874</v>
      </c>
      <c r="E513" s="15" t="n">
        <v>2934.0676405168</v>
      </c>
      <c r="F513" s="15" t="n">
        <v>356.963918131107</v>
      </c>
      <c r="G513" s="15" t="n">
        <v>287.48646693801</v>
      </c>
      <c r="H513" s="15" t="n">
        <v>17.9942739185614</v>
      </c>
      <c r="I513" s="16" t="n">
        <v>5.58933511363349</v>
      </c>
      <c r="J513" s="15" t="n">
        <v>30.1385542168675</v>
      </c>
      <c r="K513" s="15" t="n">
        <v>1020.97501948463</v>
      </c>
      <c r="L513" s="15" t="n">
        <v>200.873337591989</v>
      </c>
      <c r="M513" s="15" t="n">
        <v>121.066098006886</v>
      </c>
      <c r="N513" s="17" t="n">
        <v>9.69189062940222</v>
      </c>
      <c r="O513" s="18" t="n">
        <v>0.949277939659531</v>
      </c>
    </row>
    <row r="514" ht="15" customHeight="1" s="12">
      <c r="A514" s="14" t="inlineStr">
        <is>
          <t>Hyderabad</t>
        </is>
      </c>
      <c r="B514" s="14" t="inlineStr">
        <is>
          <t>Sindh</t>
        </is>
      </c>
      <c r="C514" s="14" t="n">
        <v>2021</v>
      </c>
      <c r="D514" s="15" t="n">
        <v>116.195641996958</v>
      </c>
      <c r="E514" s="15" t="n">
        <v>1058.97518431737</v>
      </c>
      <c r="F514" s="15" t="n">
        <v>147.882809042931</v>
      </c>
      <c r="G514" s="15" t="n">
        <v>95.05492326617239</v>
      </c>
      <c r="H514" s="15" t="n">
        <v>14.5048928471543</v>
      </c>
      <c r="I514" s="16" t="n">
        <v>12.4831642545889</v>
      </c>
      <c r="J514" s="15" t="n">
        <v>20.1729776247849</v>
      </c>
      <c r="K514" s="15" t="n">
        <v>1020.97501948463</v>
      </c>
      <c r="L514" s="15" t="n">
        <v>200.873337591989</v>
      </c>
      <c r="M514" s="15" t="n">
        <v>-84.677695595031</v>
      </c>
      <c r="N514" s="17" t="n">
        <v>8.695400246129729</v>
      </c>
      <c r="O514" s="18" t="n">
        <v>0.851676101783468</v>
      </c>
    </row>
    <row r="515" ht="15" customHeight="1" s="12">
      <c r="A515" s="14" t="inlineStr">
        <is>
          <t>Hyderabad</t>
        </is>
      </c>
      <c r="B515" s="14" t="inlineStr">
        <is>
          <t>Sindh</t>
        </is>
      </c>
      <c r="C515" s="14" t="n">
        <v>2022</v>
      </c>
      <c r="D515" s="15" t="n">
        <v>388.287094566584</v>
      </c>
      <c r="E515" s="15" t="n">
        <v>3538.74199126565</v>
      </c>
      <c r="F515" s="15" t="n">
        <v>445.338912660055</v>
      </c>
      <c r="G515" s="15" t="n">
        <v>375.039821892649</v>
      </c>
      <c r="H515" s="15" t="n">
        <v>16.9571887574251</v>
      </c>
      <c r="I515" s="16" t="n">
        <v>4.36717804807628</v>
      </c>
      <c r="J515" s="15" t="n">
        <v>34.5550774526678</v>
      </c>
      <c r="K515" s="15" t="n">
        <v>1020.97501948463</v>
      </c>
      <c r="L515" s="15" t="n">
        <v>200.873337591989</v>
      </c>
      <c r="M515" s="15" t="n">
        <v>187.413756974595</v>
      </c>
      <c r="N515" s="17" t="n">
        <v>15.4390363804053</v>
      </c>
      <c r="O515" s="18" t="n">
        <v>1.51218551734974</v>
      </c>
    </row>
    <row r="516" ht="15" customHeight="1" s="12">
      <c r="A516" s="14" t="inlineStr">
        <is>
          <t>Hyderabad</t>
        </is>
      </c>
      <c r="B516" s="14" t="inlineStr">
        <is>
          <t>Sindh</t>
        </is>
      </c>
      <c r="C516" s="14" t="n">
        <v>2023</v>
      </c>
      <c r="D516" s="15" t="n">
        <v>129.051057381261</v>
      </c>
      <c r="E516" s="15" t="n">
        <v>1176.13591119235</v>
      </c>
      <c r="F516" s="15" t="n">
        <v>148.392842128873</v>
      </c>
      <c r="G516" s="15" t="n">
        <v>105.789249420166</v>
      </c>
      <c r="H516" s="15" t="n">
        <v>12.6799567181494</v>
      </c>
      <c r="I516" s="16" t="n">
        <v>9.825534928155211</v>
      </c>
      <c r="J516" s="15" t="n">
        <v>21.5503442340792</v>
      </c>
      <c r="K516" s="15" t="n">
        <v>1020.97501948463</v>
      </c>
      <c r="L516" s="15" t="n">
        <v>200.873337591989</v>
      </c>
      <c r="M516" s="15" t="n">
        <v>-71.8222802107282</v>
      </c>
      <c r="N516" s="17" t="n">
        <v>6.62170631753626</v>
      </c>
      <c r="O516" s="18" t="n">
        <v>0.648566927805811</v>
      </c>
    </row>
    <row r="517" ht="15" customHeight="1" s="12">
      <c r="A517" s="14" t="inlineStr">
        <is>
          <t>Hyderabad</t>
        </is>
      </c>
      <c r="B517" s="14" t="inlineStr">
        <is>
          <t>Sindh</t>
        </is>
      </c>
      <c r="C517" s="14" t="n">
        <v>2024</v>
      </c>
      <c r="D517" s="15" t="n">
        <v>242.560655415722</v>
      </c>
      <c r="E517" s="15" t="n">
        <v>2210.63122818093</v>
      </c>
      <c r="F517" s="15" t="n">
        <v>274.790982771624</v>
      </c>
      <c r="G517" s="15" t="n">
        <v>208.254190502432</v>
      </c>
      <c r="H517" s="15" t="n">
        <v>17.0984158727004</v>
      </c>
      <c r="I517" s="16" t="n">
        <v>7.04912997674565</v>
      </c>
      <c r="J517" s="15" t="n">
        <v>28.3433734939759</v>
      </c>
      <c r="K517" s="15" t="n">
        <v>1020.97501948463</v>
      </c>
      <c r="L517" s="15" t="n">
        <v>200.873337591989</v>
      </c>
      <c r="M517" s="15" t="n">
        <v>41.6873178237333</v>
      </c>
      <c r="N517" s="17" t="n">
        <v>10.1087507414558</v>
      </c>
      <c r="O517" s="18" t="n">
        <v>0.990107549013144</v>
      </c>
    </row>
    <row r="518" ht="15" customHeight="1" s="12">
      <c r="A518" s="14" t="inlineStr">
        <is>
          <t>Hyderabad</t>
        </is>
      </c>
      <c r="B518" s="14" t="inlineStr">
        <is>
          <t>Sindh</t>
        </is>
      </c>
      <c r="C518" s="14" t="n">
        <v>2025</v>
      </c>
      <c r="D518" s="15" t="n">
        <v>194.902801089915</v>
      </c>
      <c r="E518" s="15" t="n">
        <v>1776.29062640378</v>
      </c>
      <c r="F518" s="15" t="n">
        <v>209.337551832</v>
      </c>
      <c r="G518" s="15" t="n">
        <v>181.861810485422</v>
      </c>
      <c r="H518" s="15" t="n">
        <v>7.81420422437831</v>
      </c>
      <c r="I518" s="16" t="n">
        <v>4.00928266842782</v>
      </c>
      <c r="J518" s="15" t="n">
        <v>19.5180722891566</v>
      </c>
      <c r="K518" s="15" t="n">
        <v>1020.97501948463</v>
      </c>
      <c r="L518" s="15" t="n">
        <v>200.873337591989</v>
      </c>
      <c r="M518" s="15" t="n">
        <v>-5.97053650207363</v>
      </c>
      <c r="N518" s="17" t="n">
        <v>8.06968884557868</v>
      </c>
      <c r="O518" s="18" t="n">
        <v>0.7903904298904481</v>
      </c>
    </row>
    <row r="519" ht="15" customHeight="1" s="12">
      <c r="A519" s="14" t="inlineStr">
        <is>
          <t>Islamabad</t>
        </is>
      </c>
      <c r="B519" s="14" t="inlineStr">
        <is>
          <t>Islamabad</t>
        </is>
      </c>
      <c r="C519" s="14" t="n">
        <v>2015</v>
      </c>
      <c r="D519" s="15" t="n">
        <v>770.054571162914</v>
      </c>
      <c r="E519" s="15" t="n">
        <v>6713.063967432</v>
      </c>
      <c r="F519" s="15" t="n">
        <v>946.782248020172</v>
      </c>
      <c r="G519" s="15" t="n">
        <v>630.673207044601</v>
      </c>
      <c r="H519" s="15" t="n">
        <v>79.82242722557061</v>
      </c>
      <c r="I519" s="16" t="n">
        <v>10.3658143480695</v>
      </c>
      <c r="J519" s="15" t="n">
        <v>35.5726495726496</v>
      </c>
      <c r="K519" s="15" t="n">
        <v>901.854977299623</v>
      </c>
      <c r="L519" s="15" t="n">
        <v>809.4803171589371</v>
      </c>
      <c r="M519" s="15" t="n">
        <v>-39.4257459960226</v>
      </c>
      <c r="N519" s="17" t="n">
        <v>0.553959154800475</v>
      </c>
      <c r="O519" s="18" t="n">
        <v>0.0614244162026101</v>
      </c>
    </row>
    <row r="520" ht="15" customHeight="1" s="12">
      <c r="A520" s="14" t="inlineStr">
        <is>
          <t>Islamabad</t>
        </is>
      </c>
      <c r="B520" s="14" t="inlineStr">
        <is>
          <t>Islamabad</t>
        </is>
      </c>
      <c r="C520" s="14" t="n">
        <v>2016</v>
      </c>
      <c r="D520" s="15" t="n">
        <v>708.19869045127</v>
      </c>
      <c r="E520" s="15" t="n">
        <v>6173.82623087519</v>
      </c>
      <c r="F520" s="15" t="n">
        <v>871.748166322708</v>
      </c>
      <c r="G520" s="15" t="n">
        <v>565.752854943276</v>
      </c>
      <c r="H520" s="15" t="n">
        <v>80.8080819892711</v>
      </c>
      <c r="I520" s="16" t="n">
        <v>11.4103687395665</v>
      </c>
      <c r="J520" s="15" t="n">
        <v>32.6455240665767</v>
      </c>
      <c r="K520" s="15" t="n">
        <v>901.854977299623</v>
      </c>
      <c r="L520" s="15" t="n">
        <v>809.4803171589371</v>
      </c>
      <c r="M520" s="15" t="n">
        <v>-101.281626707667</v>
      </c>
      <c r="N520" s="17" t="n">
        <v>1.17220337993594</v>
      </c>
      <c r="O520" s="18" t="n">
        <v>0.129976926384086</v>
      </c>
    </row>
    <row r="521" ht="15" customHeight="1" s="12">
      <c r="A521" s="14" t="inlineStr">
        <is>
          <t>Islamabad</t>
        </is>
      </c>
      <c r="B521" s="14" t="inlineStr">
        <is>
          <t>Islamabad</t>
        </is>
      </c>
      <c r="C521" s="14" t="n">
        <v>2017</v>
      </c>
      <c r="D521" s="15" t="n">
        <v>676.167832572987</v>
      </c>
      <c r="E521" s="15" t="n">
        <v>5894.59251690098</v>
      </c>
      <c r="F521" s="15" t="n">
        <v>786.5557129383089</v>
      </c>
      <c r="G521" s="15" t="n">
        <v>577.136481761932</v>
      </c>
      <c r="H521" s="15" t="n">
        <v>48.962781140639</v>
      </c>
      <c r="I521" s="16" t="n">
        <v>7.24121716265671</v>
      </c>
      <c r="J521" s="15" t="n">
        <v>36.6927575348628</v>
      </c>
      <c r="K521" s="15" t="n">
        <v>901.854977299623</v>
      </c>
      <c r="L521" s="15" t="n">
        <v>809.4803171589371</v>
      </c>
      <c r="M521" s="15" t="n">
        <v>-133.31248458595</v>
      </c>
      <c r="N521" s="17" t="n">
        <v>0.941066976532334</v>
      </c>
      <c r="O521" s="18" t="n">
        <v>0.104347927351925</v>
      </c>
    </row>
    <row r="522" ht="15" customHeight="1" s="12">
      <c r="A522" s="14" t="inlineStr">
        <is>
          <t>Islamabad</t>
        </is>
      </c>
      <c r="B522" s="14" t="inlineStr">
        <is>
          <t>Islamabad</t>
        </is>
      </c>
      <c r="C522" s="14" t="n">
        <v>2018</v>
      </c>
      <c r="D522" s="15" t="n">
        <v>737.414721098828</v>
      </c>
      <c r="E522" s="15" t="n">
        <v>6428.52127452037</v>
      </c>
      <c r="F522" s="15" t="n">
        <v>888.4202709198</v>
      </c>
      <c r="G522" s="15" t="n">
        <v>616.105202317238</v>
      </c>
      <c r="H522" s="15" t="n">
        <v>70.18613172981441</v>
      </c>
      <c r="I522" s="16" t="n">
        <v>9.51786419794135</v>
      </c>
      <c r="J522" s="15" t="n">
        <v>32.9712100764732</v>
      </c>
      <c r="K522" s="15" t="n">
        <v>901.854977299623</v>
      </c>
      <c r="L522" s="15" t="n">
        <v>809.4803171589371</v>
      </c>
      <c r="M522" s="15" t="n">
        <v>-72.0655960601091</v>
      </c>
      <c r="N522" s="17" t="n">
        <v>1.3487138107314</v>
      </c>
      <c r="O522" s="18" t="n">
        <v>0.14954885704238</v>
      </c>
    </row>
    <row r="523" ht="15" customHeight="1" s="12">
      <c r="A523" s="14" t="inlineStr">
        <is>
          <t>Islamabad</t>
        </is>
      </c>
      <c r="B523" s="14" t="inlineStr">
        <is>
          <t>Islamabad</t>
        </is>
      </c>
      <c r="C523" s="14" t="n">
        <v>2019</v>
      </c>
      <c r="D523" s="15" t="n">
        <v>723.477167291469</v>
      </c>
      <c r="E523" s="15" t="n">
        <v>6307.01859956445</v>
      </c>
      <c r="F523" s="15" t="n">
        <v>897.912465255506</v>
      </c>
      <c r="G523" s="15" t="n">
        <v>615.761453387556</v>
      </c>
      <c r="H523" s="15" t="n">
        <v>68.4433459321349</v>
      </c>
      <c r="I523" s="16" t="n">
        <v>9.46033254765605</v>
      </c>
      <c r="J523" s="15" t="n">
        <v>26.4021592442645</v>
      </c>
      <c r="K523" s="15" t="n">
        <v>901.854977299623</v>
      </c>
      <c r="L523" s="15" t="n">
        <v>809.4803171589371</v>
      </c>
      <c r="M523" s="15" t="n">
        <v>-86.0031498674678</v>
      </c>
      <c r="N523" s="17" t="n">
        <v>0.271132541564942</v>
      </c>
      <c r="O523" s="18" t="n">
        <v>0.0300638737257712</v>
      </c>
    </row>
    <row r="524" ht="15" customHeight="1" s="12">
      <c r="A524" s="14" t="inlineStr">
        <is>
          <t>Islamabad</t>
        </is>
      </c>
      <c r="B524" s="14" t="inlineStr">
        <is>
          <t>Islamabad</t>
        </is>
      </c>
      <c r="C524" s="14" t="n">
        <v>2020</v>
      </c>
      <c r="D524" s="15" t="n">
        <v>789.484028853117</v>
      </c>
      <c r="E524" s="15" t="n">
        <v>6882.44312211952</v>
      </c>
      <c r="F524" s="15" t="n">
        <v>934.228868814054</v>
      </c>
      <c r="G524" s="15" t="n">
        <v>624.64412551139</v>
      </c>
      <c r="H524" s="15" t="n">
        <v>79.1944125030053</v>
      </c>
      <c r="I524" s="16" t="n">
        <v>10.0311608099344</v>
      </c>
      <c r="J524" s="15" t="n">
        <v>29.6252811515969</v>
      </c>
      <c r="K524" s="15" t="n">
        <v>901.854977299623</v>
      </c>
      <c r="L524" s="15" t="n">
        <v>809.4803171589371</v>
      </c>
      <c r="M524" s="15" t="n">
        <v>-19.9962883058205</v>
      </c>
      <c r="N524" s="17" t="n">
        <v>0.181948460878858</v>
      </c>
      <c r="O524" s="18" t="n">
        <v>0.0201749134238475</v>
      </c>
    </row>
    <row r="525" ht="15" customHeight="1" s="12">
      <c r="A525" s="14" t="inlineStr">
        <is>
          <t>Islamabad</t>
        </is>
      </c>
      <c r="B525" s="14" t="inlineStr">
        <is>
          <t>Islamabad</t>
        </is>
      </c>
      <c r="C525" s="14" t="n">
        <v>2021</v>
      </c>
      <c r="D525" s="15" t="n">
        <v>974.447607313225</v>
      </c>
      <c r="E525" s="15" t="n">
        <v>8494.890317871759</v>
      </c>
      <c r="F525" s="15" t="n">
        <v>1183.60120820999</v>
      </c>
      <c r="G525" s="15" t="n">
        <v>750.694225907326</v>
      </c>
      <c r="H525" s="15" t="n">
        <v>116.656695338673</v>
      </c>
      <c r="I525" s="16" t="n">
        <v>11.9715718385642</v>
      </c>
      <c r="J525" s="15" t="n">
        <v>24.982905982906</v>
      </c>
      <c r="K525" s="15" t="n">
        <v>901.854977299623</v>
      </c>
      <c r="L525" s="15" t="n">
        <v>809.4803171589371</v>
      </c>
      <c r="M525" s="15" t="n">
        <v>164.967290154288</v>
      </c>
      <c r="N525" s="17" t="n">
        <v>0.327137711425781</v>
      </c>
      <c r="O525" s="18" t="n">
        <v>0.0362738710391456</v>
      </c>
    </row>
    <row r="526" ht="15" customHeight="1" s="12">
      <c r="A526" s="14" t="inlineStr">
        <is>
          <t>Islamabad</t>
        </is>
      </c>
      <c r="B526" s="14" t="inlineStr">
        <is>
          <t>Islamabad</t>
        </is>
      </c>
      <c r="C526" s="14" t="n">
        <v>2022</v>
      </c>
      <c r="D526" s="15" t="n">
        <v>797.9462886335911</v>
      </c>
      <c r="E526" s="15" t="n">
        <v>6956.21411620578</v>
      </c>
      <c r="F526" s="15" t="n">
        <v>984.908889293671</v>
      </c>
      <c r="G526" s="15" t="n">
        <v>660.7983409045449</v>
      </c>
      <c r="H526" s="15" t="n">
        <v>79.0593908594437</v>
      </c>
      <c r="I526" s="16" t="n">
        <v>9.90785870999232</v>
      </c>
      <c r="J526" s="15" t="n">
        <v>32.4619883040936</v>
      </c>
      <c r="K526" s="15" t="n">
        <v>901.854977299623</v>
      </c>
      <c r="L526" s="15" t="n">
        <v>809.4803171589371</v>
      </c>
      <c r="M526" s="15" t="n">
        <v>-11.5340285253458</v>
      </c>
      <c r="N526" s="17" t="n">
        <v>0.457836502350691</v>
      </c>
      <c r="O526" s="18" t="n">
        <v>0.0507660892133197</v>
      </c>
    </row>
    <row r="527" ht="15" customHeight="1" s="12">
      <c r="A527" s="14" t="inlineStr">
        <is>
          <t>Islamabad</t>
        </is>
      </c>
      <c r="B527" s="14" t="inlineStr">
        <is>
          <t>Islamabad</t>
        </is>
      </c>
      <c r="C527" s="14" t="n">
        <v>2023</v>
      </c>
      <c r="D527" s="15" t="n">
        <v>860.089176627628</v>
      </c>
      <c r="E527" s="15" t="n">
        <v>7497.95388095379</v>
      </c>
      <c r="F527" s="15" t="n">
        <v>1110.01520776749</v>
      </c>
      <c r="G527" s="15" t="n">
        <v>652.9767668247219</v>
      </c>
      <c r="H527" s="15" t="n">
        <v>121.924782172349</v>
      </c>
      <c r="I527" s="16" t="n">
        <v>14.1758303075514</v>
      </c>
      <c r="J527" s="15" t="n">
        <v>22.8569500674764</v>
      </c>
      <c r="K527" s="15" t="n">
        <v>901.854977299623</v>
      </c>
      <c r="L527" s="15" t="n">
        <v>809.4803171589371</v>
      </c>
      <c r="M527" s="15" t="n">
        <v>50.6088594686905</v>
      </c>
      <c r="N527" s="17" t="n">
        <v>0.784998929901479</v>
      </c>
      <c r="O527" s="18" t="n">
        <v>0.0870427008399909</v>
      </c>
    </row>
    <row r="528" ht="15" customHeight="1" s="12">
      <c r="A528" s="14" t="inlineStr">
        <is>
          <t>Islamabad</t>
        </is>
      </c>
      <c r="B528" s="14" t="inlineStr">
        <is>
          <t>Islamabad</t>
        </is>
      </c>
      <c r="C528" s="14" t="n">
        <v>2024</v>
      </c>
      <c r="D528" s="15" t="n">
        <v>757.817155392307</v>
      </c>
      <c r="E528" s="15" t="n">
        <v>6606.38249583176</v>
      </c>
      <c r="F528" s="15" t="n">
        <v>949.113475135027</v>
      </c>
      <c r="G528" s="15" t="n">
        <v>542.202539389487</v>
      </c>
      <c r="H528" s="15" t="n">
        <v>112.781251838077</v>
      </c>
      <c r="I528" s="16" t="n">
        <v>14.8823830439273</v>
      </c>
      <c r="J528" s="15" t="n">
        <v>36.3801169590643</v>
      </c>
      <c r="K528" s="15" t="n">
        <v>901.854977299623</v>
      </c>
      <c r="L528" s="15" t="n">
        <v>809.4803171589371</v>
      </c>
      <c r="M528" s="15" t="n">
        <v>-51.6631617666303</v>
      </c>
      <c r="N528" s="17" t="n">
        <v>0.626540173156738</v>
      </c>
      <c r="O528" s="18" t="n">
        <v>0.06947238624027489</v>
      </c>
    </row>
    <row r="529" ht="15" customHeight="1" s="12">
      <c r="A529" s="14" t="inlineStr">
        <is>
          <t>Islamabad</t>
        </is>
      </c>
      <c r="B529" s="14" t="inlineStr">
        <is>
          <t>Islamabad</t>
        </is>
      </c>
      <c r="C529" s="14" t="n">
        <v>2025</v>
      </c>
      <c r="D529" s="15" t="n">
        <v>1109.18624935097</v>
      </c>
      <c r="E529" s="15" t="n">
        <v>9669.494244342</v>
      </c>
      <c r="F529" s="15" t="n">
        <v>1339.10294370484</v>
      </c>
      <c r="G529" s="15" t="n">
        <v>855.003933010939</v>
      </c>
      <c r="H529" s="15" t="n">
        <v>127.184379765983</v>
      </c>
      <c r="I529" s="16" t="n">
        <v>11.4664583914923</v>
      </c>
      <c r="J529" s="15" t="n">
        <v>47.8061178587495</v>
      </c>
      <c r="K529" s="15" t="n">
        <v>901.854977299623</v>
      </c>
      <c r="L529" s="15" t="n">
        <v>809.4803171589371</v>
      </c>
      <c r="M529" s="15" t="n">
        <v>299.705932192035</v>
      </c>
      <c r="N529" s="17" t="n">
        <v>1.19209948911179</v>
      </c>
      <c r="O529" s="18" t="n">
        <v>0.132183058154342</v>
      </c>
    </row>
    <row r="530" ht="15" customHeight="1" s="12">
      <c r="A530" s="14" t="inlineStr">
        <is>
          <t>Jacobabad</t>
        </is>
      </c>
      <c r="B530" s="14" t="inlineStr">
        <is>
          <t>Sindh</t>
        </is>
      </c>
      <c r="C530" s="14" t="n">
        <v>2015</v>
      </c>
      <c r="D530" s="15" t="n">
        <v>51.8308579086222</v>
      </c>
      <c r="E530" s="15" t="n">
        <v>1275.24236281841</v>
      </c>
      <c r="F530" s="15" t="n">
        <v>71.33008629083631</v>
      </c>
      <c r="G530" s="15" t="n">
        <v>39.5385243594647</v>
      </c>
      <c r="H530" s="15" t="n">
        <v>8.77874701418391</v>
      </c>
      <c r="I530" s="16" t="n">
        <v>16.9372982975911</v>
      </c>
      <c r="J530" s="15" t="n">
        <v>7.97896079056423</v>
      </c>
      <c r="K530" s="15" t="n">
        <v>2695.20219017321</v>
      </c>
      <c r="L530" s="15" t="n">
        <v>85.6481238888269</v>
      </c>
      <c r="M530" s="15" t="n">
        <v>-33.8172659802047</v>
      </c>
      <c r="N530" s="17" t="n">
        <v>76.7517544847309</v>
      </c>
      <c r="O530" s="18" t="n">
        <v>2.84771787306237</v>
      </c>
    </row>
    <row r="531" ht="15" customHeight="1" s="12">
      <c r="A531" s="14" t="inlineStr">
        <is>
          <t>Jacobabad</t>
        </is>
      </c>
      <c r="B531" s="14" t="inlineStr">
        <is>
          <t>Sindh</t>
        </is>
      </c>
      <c r="C531" s="14" t="n">
        <v>2016</v>
      </c>
      <c r="D531" s="15" t="n">
        <v>76.5877435932463</v>
      </c>
      <c r="E531" s="15" t="n">
        <v>1884.35883648638</v>
      </c>
      <c r="F531" s="15" t="n">
        <v>110.354559898377</v>
      </c>
      <c r="G531" s="15" t="n">
        <v>51.1254191026092</v>
      </c>
      <c r="H531" s="15" t="n">
        <v>17.0478622994424</v>
      </c>
      <c r="I531" s="16" t="n">
        <v>22.2592565071283</v>
      </c>
      <c r="J531" s="15" t="n">
        <v>13.712942301562</v>
      </c>
      <c r="K531" s="15" t="n">
        <v>2695.20219017321</v>
      </c>
      <c r="L531" s="15" t="n">
        <v>85.6481238888269</v>
      </c>
      <c r="M531" s="15" t="n">
        <v>-9.06038029558065</v>
      </c>
      <c r="N531" s="17" t="n">
        <v>66.763453944129</v>
      </c>
      <c r="O531" s="18" t="n">
        <v>2.47712228001115</v>
      </c>
    </row>
    <row r="532" ht="15" customHeight="1" s="12">
      <c r="A532" s="14" t="inlineStr">
        <is>
          <t>Jacobabad</t>
        </is>
      </c>
      <c r="B532" s="14" t="inlineStr">
        <is>
          <t>Sindh</t>
        </is>
      </c>
      <c r="C532" s="14" t="n">
        <v>2017</v>
      </c>
      <c r="D532" s="15" t="n">
        <v>70.76856403292931</v>
      </c>
      <c r="E532" s="15" t="n">
        <v>1741.18419899058</v>
      </c>
      <c r="F532" s="15" t="n">
        <v>85.26080369949339</v>
      </c>
      <c r="G532" s="15" t="n">
        <v>48.2461320757866</v>
      </c>
      <c r="H532" s="15" t="n">
        <v>9.63848497126442</v>
      </c>
      <c r="I532" s="16" t="n">
        <v>13.6197266441347</v>
      </c>
      <c r="J532" s="15" t="n">
        <v>13.2824354478801</v>
      </c>
      <c r="K532" s="15" t="n">
        <v>2695.20219017321</v>
      </c>
      <c r="L532" s="15" t="n">
        <v>85.6481238888269</v>
      </c>
      <c r="M532" s="15" t="n">
        <v>-14.8795598558976</v>
      </c>
      <c r="N532" s="17" t="n">
        <v>69.6542875570748</v>
      </c>
      <c r="O532" s="18" t="n">
        <v>2.5843807863854</v>
      </c>
    </row>
    <row r="533" ht="15" customHeight="1" s="12">
      <c r="A533" s="14" t="inlineStr">
        <is>
          <t>Jacobabad</t>
        </is>
      </c>
      <c r="B533" s="14" t="inlineStr">
        <is>
          <t>Sindh</t>
        </is>
      </c>
      <c r="C533" s="14" t="n">
        <v>2018</v>
      </c>
      <c r="D533" s="15" t="n">
        <v>26.5522698017118</v>
      </c>
      <c r="E533" s="15" t="n">
        <v>653.289963670352</v>
      </c>
      <c r="F533" s="15" t="n">
        <v>35.2230170574039</v>
      </c>
      <c r="G533" s="15" t="n">
        <v>17.2642576055951</v>
      </c>
      <c r="H533" s="15" t="n">
        <v>4.59771680617399</v>
      </c>
      <c r="I533" s="16" t="n">
        <v>17.3157204280802</v>
      </c>
      <c r="J533" s="15" t="n">
        <v>5.40803315269366</v>
      </c>
      <c r="K533" s="15" t="n">
        <v>2695.20219017321</v>
      </c>
      <c r="L533" s="15" t="n">
        <v>85.6481238888269</v>
      </c>
      <c r="M533" s="15" t="n">
        <v>-59.0958540871152</v>
      </c>
      <c r="N533" s="17" t="n">
        <v>75.32858867787429</v>
      </c>
      <c r="O533" s="18" t="n">
        <v>2.79491419799689</v>
      </c>
    </row>
    <row r="534" ht="15" customHeight="1" s="12">
      <c r="A534" s="14" t="inlineStr">
        <is>
          <t>Jacobabad</t>
        </is>
      </c>
      <c r="B534" s="14" t="inlineStr">
        <is>
          <t>Sindh</t>
        </is>
      </c>
      <c r="C534" s="14" t="n">
        <v>2019</v>
      </c>
      <c r="D534" s="15" t="n">
        <v>65.7336650824042</v>
      </c>
      <c r="E534" s="15" t="n">
        <v>1617.3059401059</v>
      </c>
      <c r="F534" s="15" t="n">
        <v>90.22711712121961</v>
      </c>
      <c r="G534" s="15" t="n">
        <v>45.4421608448029</v>
      </c>
      <c r="H534" s="15" t="n">
        <v>12.571350036582</v>
      </c>
      <c r="I534" s="16" t="n">
        <v>19.1246753407443</v>
      </c>
      <c r="J534" s="15" t="n">
        <v>12.7953458718521</v>
      </c>
      <c r="K534" s="15" t="n">
        <v>2695.20219017321</v>
      </c>
      <c r="L534" s="15" t="n">
        <v>85.6481238888269</v>
      </c>
      <c r="M534" s="15" t="n">
        <v>-19.9144588064227</v>
      </c>
      <c r="N534" s="17" t="n">
        <v>80.7379493338273</v>
      </c>
      <c r="O534" s="18" t="n">
        <v>2.9956175320798</v>
      </c>
    </row>
    <row r="535" ht="15" customHeight="1" s="12">
      <c r="A535" s="14" t="inlineStr">
        <is>
          <t>Jacobabad</t>
        </is>
      </c>
      <c r="B535" s="14" t="inlineStr">
        <is>
          <t>Sindh</t>
        </is>
      </c>
      <c r="C535" s="14" t="n">
        <v>2020</v>
      </c>
      <c r="D535" s="15" t="n">
        <v>82.2822471333678</v>
      </c>
      <c r="E535" s="15" t="n">
        <v>2024.4659549598</v>
      </c>
      <c r="F535" s="15" t="n">
        <v>96.4300790808775</v>
      </c>
      <c r="G535" s="15" t="n">
        <v>62.571127571624</v>
      </c>
      <c r="H535" s="15" t="n">
        <v>8.80504226881164</v>
      </c>
      <c r="I535" s="16" t="n">
        <v>10.7010230949817</v>
      </c>
      <c r="J535" s="15" t="n">
        <v>13.8605355435129</v>
      </c>
      <c r="K535" s="15" t="n">
        <v>2695.20219017321</v>
      </c>
      <c r="L535" s="15" t="n">
        <v>85.6481238888269</v>
      </c>
      <c r="M535" s="15" t="n">
        <v>-3.36587675545911</v>
      </c>
      <c r="N535" s="17" t="n">
        <v>109.19708791516</v>
      </c>
      <c r="O535" s="18" t="n">
        <v>4.0515360336711</v>
      </c>
    </row>
    <row r="536" ht="15" customHeight="1" s="12">
      <c r="A536" s="14" t="inlineStr">
        <is>
          <t>Jacobabad</t>
        </is>
      </c>
      <c r="B536" s="14" t="inlineStr">
        <is>
          <t>Sindh</t>
        </is>
      </c>
      <c r="C536" s="14" t="n">
        <v>2021</v>
      </c>
      <c r="D536" s="15" t="n">
        <v>49.0751010621163</v>
      </c>
      <c r="E536" s="15" t="n">
        <v>1207.43993750478</v>
      </c>
      <c r="F536" s="15" t="n">
        <v>65.7368257045746</v>
      </c>
      <c r="G536" s="15" t="n">
        <v>38.7452683150768</v>
      </c>
      <c r="H536" s="15" t="n">
        <v>7.22413281261011</v>
      </c>
      <c r="I536" s="16" t="n">
        <v>14.720566348842</v>
      </c>
      <c r="J536" s="15" t="n">
        <v>7.90675804909149</v>
      </c>
      <c r="K536" s="15" t="n">
        <v>2695.20219017321</v>
      </c>
      <c r="L536" s="15" t="n">
        <v>85.6481238888269</v>
      </c>
      <c r="M536" s="15" t="n">
        <v>-36.5730228267106</v>
      </c>
      <c r="N536" s="17" t="n">
        <v>88.8860695713922</v>
      </c>
      <c r="O536" s="18" t="n">
        <v>3.29793697465346</v>
      </c>
    </row>
    <row r="537" ht="15" customHeight="1" s="12">
      <c r="A537" s="14" t="inlineStr">
        <is>
          <t>Jacobabad</t>
        </is>
      </c>
      <c r="B537" s="14" t="inlineStr">
        <is>
          <t>Sindh</t>
        </is>
      </c>
      <c r="C537" s="14" t="n">
        <v>2022</v>
      </c>
      <c r="D537" s="15" t="n">
        <v>229.888878125184</v>
      </c>
      <c r="E537" s="15" t="n">
        <v>5656.16792689179</v>
      </c>
      <c r="F537" s="15" t="n">
        <v>281.577705651522</v>
      </c>
      <c r="G537" s="15" t="n">
        <v>169.991729484638</v>
      </c>
      <c r="H537" s="15" t="n">
        <v>24.8279650810926</v>
      </c>
      <c r="I537" s="16" t="n">
        <v>10.7999853161982</v>
      </c>
      <c r="J537" s="15" t="n">
        <v>34.6150781000956</v>
      </c>
      <c r="K537" s="15" t="n">
        <v>2695.20219017321</v>
      </c>
      <c r="L537" s="15" t="n">
        <v>85.6481238888269</v>
      </c>
      <c r="M537" s="15" t="n">
        <v>144.240754236357</v>
      </c>
      <c r="N537" s="17" t="n">
        <v>254.960313889415</v>
      </c>
      <c r="O537" s="18" t="n">
        <v>9.459784309281419</v>
      </c>
    </row>
    <row r="538" ht="15" customHeight="1" s="12">
      <c r="A538" s="14" t="inlineStr">
        <is>
          <t>Jacobabad</t>
        </is>
      </c>
      <c r="B538" s="14" t="inlineStr">
        <is>
          <t>Sindh</t>
        </is>
      </c>
      <c r="C538" s="14" t="n">
        <v>2023</v>
      </c>
      <c r="D538" s="15" t="n">
        <v>98.88417698676651</v>
      </c>
      <c r="E538" s="15" t="n">
        <v>2432.93853496068</v>
      </c>
      <c r="F538" s="15" t="n">
        <v>130.649806439877</v>
      </c>
      <c r="G538" s="15" t="n">
        <v>69.8114279508591</v>
      </c>
      <c r="H538" s="15" t="n">
        <v>16.7782885193945</v>
      </c>
      <c r="I538" s="16" t="n">
        <v>16.9676170957462</v>
      </c>
      <c r="J538" s="15" t="n">
        <v>14.6719795983424</v>
      </c>
      <c r="K538" s="15" t="n">
        <v>2695.20219017321</v>
      </c>
      <c r="L538" s="15" t="n">
        <v>85.6481238888269</v>
      </c>
      <c r="M538" s="15" t="n">
        <v>13.2360530979396</v>
      </c>
      <c r="N538" s="17" t="n">
        <v>74.08354127298151</v>
      </c>
      <c r="O538" s="18" t="n">
        <v>2.74871924425902</v>
      </c>
    </row>
    <row r="539" ht="15" customHeight="1" s="12">
      <c r="A539" s="14" t="inlineStr">
        <is>
          <t>Jacobabad</t>
        </is>
      </c>
      <c r="B539" s="14" t="inlineStr">
        <is>
          <t>Sindh</t>
        </is>
      </c>
      <c r="C539" s="14" t="n">
        <v>2024</v>
      </c>
      <c r="D539" s="15" t="n">
        <v>114.070591718087</v>
      </c>
      <c r="E539" s="15" t="n">
        <v>2806.58389191873</v>
      </c>
      <c r="F539" s="15" t="n">
        <v>152.377807281911</v>
      </c>
      <c r="G539" s="15" t="n">
        <v>85.8184260688722</v>
      </c>
      <c r="H539" s="15" t="n">
        <v>16.7131524019875</v>
      </c>
      <c r="I539" s="16" t="n">
        <v>14.6515873638074</v>
      </c>
      <c r="J539" s="15" t="n">
        <v>23.1251195409627</v>
      </c>
      <c r="K539" s="15" t="n">
        <v>2695.20219017321</v>
      </c>
      <c r="L539" s="15" t="n">
        <v>85.6481238888269</v>
      </c>
      <c r="M539" s="15" t="n">
        <v>28.4224678292598</v>
      </c>
      <c r="N539" s="17" t="n">
        <v>112.81274967712</v>
      </c>
      <c r="O539" s="18" t="n">
        <v>4.18568781549818</v>
      </c>
    </row>
    <row r="540" ht="15" customHeight="1" s="12">
      <c r="A540" s="14" t="inlineStr">
        <is>
          <t>Jacobabad</t>
        </is>
      </c>
      <c r="B540" s="14" t="inlineStr">
        <is>
          <t>Sindh</t>
        </is>
      </c>
      <c r="C540" s="14" t="n">
        <v>2025</v>
      </c>
      <c r="D540" s="15" t="n">
        <v>76.4552673326608</v>
      </c>
      <c r="E540" s="15" t="n">
        <v>1881.09940096123</v>
      </c>
      <c r="F540" s="15" t="n">
        <v>97.7387211527675</v>
      </c>
      <c r="G540" s="15" t="n">
        <v>61.0019956792239</v>
      </c>
      <c r="H540" s="15" t="n">
        <v>9.44621029423997</v>
      </c>
      <c r="I540" s="16" t="n">
        <v>12.3552119086041</v>
      </c>
      <c r="J540" s="15" t="n">
        <v>15.1456805865477</v>
      </c>
      <c r="K540" s="15" t="n">
        <v>2695.20219017321</v>
      </c>
      <c r="L540" s="15" t="n">
        <v>85.6481238888269</v>
      </c>
      <c r="M540" s="15" t="n">
        <v>-9.19285655616617</v>
      </c>
      <c r="N540" s="17" t="n">
        <v>42.1687938157942</v>
      </c>
      <c r="O540" s="18" t="n">
        <v>1.56458739791556</v>
      </c>
    </row>
    <row r="541" ht="15" customHeight="1" s="12">
      <c r="A541" s="14" t="inlineStr">
        <is>
          <t>Jaffarabad</t>
        </is>
      </c>
      <c r="B541" s="14" t="inlineStr">
        <is>
          <t>Balochistan</t>
        </is>
      </c>
      <c r="C541" s="14" t="n">
        <v>2015</v>
      </c>
      <c r="D541" s="15" t="n">
        <v>53.9073447484441</v>
      </c>
      <c r="E541" s="15" t="n">
        <v>840.531775371818</v>
      </c>
      <c r="F541" s="15" t="n">
        <v>77.8273041248322</v>
      </c>
      <c r="G541" s="15" t="n">
        <v>40.6238274872303</v>
      </c>
      <c r="H541" s="15" t="n">
        <v>9.195024930190201</v>
      </c>
      <c r="I541" s="16" t="n">
        <v>17.0570911498207</v>
      </c>
      <c r="J541" s="15" t="n">
        <v>9.137826961770619</v>
      </c>
      <c r="K541" s="15" t="n">
        <v>1704.37187886861</v>
      </c>
      <c r="L541" s="15" t="n">
        <v>87.97749605774391</v>
      </c>
      <c r="M541" s="15" t="n">
        <v>-34.0701513092999</v>
      </c>
      <c r="N541" s="17" t="n">
        <v>8.54891332849291</v>
      </c>
      <c r="O541" s="18" t="n">
        <v>0.501587325775863</v>
      </c>
    </row>
    <row r="542" ht="15" customHeight="1" s="12">
      <c r="A542" s="14" t="inlineStr">
        <is>
          <t>Jaffarabad</t>
        </is>
      </c>
      <c r="B542" s="14" t="inlineStr">
        <is>
          <t>Balochistan</t>
        </is>
      </c>
      <c r="C542" s="14" t="n">
        <v>2016</v>
      </c>
      <c r="D542" s="15" t="n">
        <v>60.1364393120471</v>
      </c>
      <c r="E542" s="15" t="n">
        <v>937.6567949203881</v>
      </c>
      <c r="F542" s="15" t="n">
        <v>73.5333127975464</v>
      </c>
      <c r="G542" s="15" t="n">
        <v>51.1254191026092</v>
      </c>
      <c r="H542" s="15" t="n">
        <v>4.70617949328535</v>
      </c>
      <c r="I542" s="16" t="n">
        <v>7.82583662605139</v>
      </c>
      <c r="J542" s="15" t="n">
        <v>13.6395875251509</v>
      </c>
      <c r="K542" s="15" t="n">
        <v>1704.37187886861</v>
      </c>
      <c r="L542" s="15" t="n">
        <v>87.97749605774391</v>
      </c>
      <c r="M542" s="15" t="n">
        <v>-27.8410567456969</v>
      </c>
      <c r="N542" s="17" t="n">
        <v>5.34333891582367</v>
      </c>
      <c r="O542" s="18" t="n">
        <v>0.313507807895226</v>
      </c>
    </row>
    <row r="543" ht="15" customHeight="1" s="12">
      <c r="A543" s="14" t="inlineStr">
        <is>
          <t>Jaffarabad</t>
        </is>
      </c>
      <c r="B543" s="14" t="inlineStr">
        <is>
          <t>Balochistan</t>
        </is>
      </c>
      <c r="C543" s="14" t="n">
        <v>2017</v>
      </c>
      <c r="D543" s="15" t="n">
        <v>65.1129147833592</v>
      </c>
      <c r="E543" s="15" t="n">
        <v>1015.25078109269</v>
      </c>
      <c r="F543" s="15" t="n">
        <v>84.034895837307</v>
      </c>
      <c r="G543" s="15" t="n">
        <v>51.2997373938561</v>
      </c>
      <c r="H543" s="15" t="n">
        <v>8.91733533206536</v>
      </c>
      <c r="I543" s="16" t="n">
        <v>13.695186833111</v>
      </c>
      <c r="J543" s="15" t="n">
        <v>11.806338028169</v>
      </c>
      <c r="K543" s="15" t="n">
        <v>1704.37187886861</v>
      </c>
      <c r="L543" s="15" t="n">
        <v>87.97749605774391</v>
      </c>
      <c r="M543" s="15" t="n">
        <v>-22.8645812743847</v>
      </c>
      <c r="N543" s="17" t="n">
        <v>3.50454096612119</v>
      </c>
      <c r="O543" s="18" t="n">
        <v>0.205620675251199</v>
      </c>
    </row>
    <row r="544" ht="15" customHeight="1" s="12">
      <c r="A544" s="14" t="inlineStr">
        <is>
          <t>Jaffarabad</t>
        </is>
      </c>
      <c r="B544" s="14" t="inlineStr">
        <is>
          <t>Balochistan</t>
        </is>
      </c>
      <c r="C544" s="14" t="n">
        <v>2018</v>
      </c>
      <c r="D544" s="15" t="n">
        <v>24.0954237611643</v>
      </c>
      <c r="E544" s="15" t="n">
        <v>375.69962695839</v>
      </c>
      <c r="F544" s="15" t="n">
        <v>30.5798099320382</v>
      </c>
      <c r="G544" s="15" t="n">
        <v>16.9352167819161</v>
      </c>
      <c r="H544" s="15" t="n">
        <v>3.86416885491107</v>
      </c>
      <c r="I544" s="16" t="n">
        <v>16.0369408449214</v>
      </c>
      <c r="J544" s="15" t="n">
        <v>5.42555331991952</v>
      </c>
      <c r="K544" s="15" t="n">
        <v>1704.37187886861</v>
      </c>
      <c r="L544" s="15" t="n">
        <v>87.97749605774391</v>
      </c>
      <c r="M544" s="15" t="n">
        <v>-63.8820722965796</v>
      </c>
      <c r="N544" s="17" t="n">
        <v>5.01975095764376</v>
      </c>
      <c r="O544" s="18" t="n">
        <v>0.294522047675179</v>
      </c>
    </row>
    <row r="545" ht="15" customHeight="1" s="12">
      <c r="A545" s="14" t="inlineStr">
        <is>
          <t>Jaffarabad</t>
        </is>
      </c>
      <c r="B545" s="14" t="inlineStr">
        <is>
          <t>Balochistan</t>
        </is>
      </c>
      <c r="C545" s="14" t="n">
        <v>2019</v>
      </c>
      <c r="D545" s="15" t="n">
        <v>73.2823364510931</v>
      </c>
      <c r="E545" s="15" t="n">
        <v>1142.62968521391</v>
      </c>
      <c r="F545" s="15" t="n">
        <v>90.22711712121961</v>
      </c>
      <c r="G545" s="15" t="n">
        <v>60.1840668916702</v>
      </c>
      <c r="H545" s="15" t="n">
        <v>7.24492069646708</v>
      </c>
      <c r="I545" s="16" t="n">
        <v>9.88631237392679</v>
      </c>
      <c r="J545" s="15" t="n">
        <v>12.3654426559356</v>
      </c>
      <c r="K545" s="15" t="n">
        <v>1704.37187886861</v>
      </c>
      <c r="L545" s="15" t="n">
        <v>87.97749605774391</v>
      </c>
      <c r="M545" s="15" t="n">
        <v>-14.6951596066508</v>
      </c>
      <c r="N545" s="17" t="n">
        <v>4.71916980892862</v>
      </c>
      <c r="O545" s="18" t="n">
        <v>0.276886157735791</v>
      </c>
    </row>
    <row r="546" ht="15" customHeight="1" s="12">
      <c r="A546" s="14" t="inlineStr">
        <is>
          <t>Jaffarabad</t>
        </is>
      </c>
      <c r="B546" s="14" t="inlineStr">
        <is>
          <t>Balochistan</t>
        </is>
      </c>
      <c r="C546" s="14" t="n">
        <v>2020</v>
      </c>
      <c r="D546" s="15" t="n">
        <v>86.66674902562021</v>
      </c>
      <c r="E546" s="15" t="n">
        <v>1351.32154559163</v>
      </c>
      <c r="F546" s="15" t="n">
        <v>95.6198895842099</v>
      </c>
      <c r="G546" s="15" t="n">
        <v>76.5900273103034</v>
      </c>
      <c r="H546" s="15" t="n">
        <v>5.45208760360705</v>
      </c>
      <c r="I546" s="16" t="n">
        <v>6.29086433367348</v>
      </c>
      <c r="J546" s="15" t="n">
        <v>14.5042756539235</v>
      </c>
      <c r="K546" s="15" t="n">
        <v>1704.37187886861</v>
      </c>
      <c r="L546" s="15" t="n">
        <v>87.97749605774391</v>
      </c>
      <c r="M546" s="15" t="n">
        <v>-1.31074703212371</v>
      </c>
      <c r="N546" s="17" t="n">
        <v>18.7146429668234</v>
      </c>
      <c r="O546" s="18" t="n">
        <v>1.09803753505053</v>
      </c>
    </row>
    <row r="547" ht="15" customHeight="1" s="12">
      <c r="A547" s="14" t="inlineStr">
        <is>
          <t>Jaffarabad</t>
        </is>
      </c>
      <c r="B547" s="14" t="inlineStr">
        <is>
          <t>Balochistan</t>
        </is>
      </c>
      <c r="C547" s="14" t="n">
        <v>2021</v>
      </c>
      <c r="D547" s="15" t="n">
        <v>61.0875305750705</v>
      </c>
      <c r="E547" s="15" t="n">
        <v>952.4863590842371</v>
      </c>
      <c r="F547" s="15" t="n">
        <v>70.45665907859799</v>
      </c>
      <c r="G547" s="15" t="n">
        <v>48.1131526231766</v>
      </c>
      <c r="H547" s="15" t="n">
        <v>5.41877505368733</v>
      </c>
      <c r="I547" s="16" t="n">
        <v>8.870509255613459</v>
      </c>
      <c r="J547" s="15" t="n">
        <v>10.2266096579477</v>
      </c>
      <c r="K547" s="15" t="n">
        <v>1704.37187886861</v>
      </c>
      <c r="L547" s="15" t="n">
        <v>87.97749605774391</v>
      </c>
      <c r="M547" s="15" t="n">
        <v>-26.8899654826734</v>
      </c>
      <c r="N547" s="17" t="n">
        <v>7.53877487762614</v>
      </c>
      <c r="O547" s="18" t="n">
        <v>0.442319834720019</v>
      </c>
    </row>
    <row r="548" ht="15" customHeight="1" s="12">
      <c r="A548" s="14" t="inlineStr">
        <is>
          <t>Jaffarabad</t>
        </is>
      </c>
      <c r="B548" s="14" t="inlineStr">
        <is>
          <t>Balochistan</t>
        </is>
      </c>
      <c r="C548" s="14" t="n">
        <v>2022</v>
      </c>
      <c r="D548" s="15" t="n">
        <v>226.18804664714</v>
      </c>
      <c r="E548" s="15" t="n">
        <v>3526.75950380011</v>
      </c>
      <c r="F548" s="15" t="n">
        <v>281.577705651522</v>
      </c>
      <c r="G548" s="15" t="n">
        <v>185.187044754624</v>
      </c>
      <c r="H548" s="15" t="n">
        <v>25.1444210257868</v>
      </c>
      <c r="I548" s="16" t="n">
        <v>11.1166002795067</v>
      </c>
      <c r="J548" s="15" t="n">
        <v>36.0037726358149</v>
      </c>
      <c r="K548" s="15" t="n">
        <v>1704.37187886861</v>
      </c>
      <c r="L548" s="15" t="n">
        <v>87.97749605774391</v>
      </c>
      <c r="M548" s="15" t="n">
        <v>138.210550589396</v>
      </c>
      <c r="N548" s="17" t="n">
        <v>42.1005333844712</v>
      </c>
      <c r="O548" s="18" t="n">
        <v>2.47014949650649</v>
      </c>
    </row>
    <row r="549" ht="15" customHeight="1" s="12">
      <c r="A549" s="14" t="inlineStr">
        <is>
          <t>Jaffarabad</t>
        </is>
      </c>
      <c r="B549" s="14" t="inlineStr">
        <is>
          <t>Balochistan</t>
        </is>
      </c>
      <c r="C549" s="14" t="n">
        <v>2023</v>
      </c>
      <c r="D549" s="15" t="n">
        <v>103.673407252158</v>
      </c>
      <c r="E549" s="15" t="n">
        <v>1616.49202837091</v>
      </c>
      <c r="F549" s="15" t="n">
        <v>130.649806439877</v>
      </c>
      <c r="G549" s="15" t="n">
        <v>73.3468062877655</v>
      </c>
      <c r="H549" s="15" t="n">
        <v>13.8256148576242</v>
      </c>
      <c r="I549" s="16" t="n">
        <v>13.33573885924</v>
      </c>
      <c r="J549" s="15" t="n">
        <v>15.0445171026157</v>
      </c>
      <c r="K549" s="15" t="n">
        <v>1704.37187886861</v>
      </c>
      <c r="L549" s="15" t="n">
        <v>87.97749605774391</v>
      </c>
      <c r="M549" s="15" t="n">
        <v>15.6959111944145</v>
      </c>
      <c r="N549" s="17" t="n">
        <v>6.38632628057143</v>
      </c>
      <c r="O549" s="18" t="n">
        <v>0.374702631494411</v>
      </c>
    </row>
    <row r="550" ht="15" customHeight="1" s="12">
      <c r="A550" s="14" t="inlineStr">
        <is>
          <t>Jaffarabad</t>
        </is>
      </c>
      <c r="B550" s="14" t="inlineStr">
        <is>
          <t>Balochistan</t>
        </is>
      </c>
      <c r="C550" s="14" t="n">
        <v>2024</v>
      </c>
      <c r="D550" s="15" t="n">
        <v>124.976843201045</v>
      </c>
      <c r="E550" s="15" t="n">
        <v>1948.65854340139</v>
      </c>
      <c r="F550" s="15" t="n">
        <v>154.278305178043</v>
      </c>
      <c r="G550" s="15" t="n">
        <v>93.78510696440939</v>
      </c>
      <c r="H550" s="15" t="n">
        <v>17.0419920350284</v>
      </c>
      <c r="I550" s="16" t="n">
        <v>13.6361197790968</v>
      </c>
      <c r="J550" s="15" t="n">
        <v>24.6431086519115</v>
      </c>
      <c r="K550" s="15" t="n">
        <v>1704.37187886861</v>
      </c>
      <c r="L550" s="15" t="n">
        <v>87.97749605774391</v>
      </c>
      <c r="M550" s="15" t="n">
        <v>36.999347143301</v>
      </c>
      <c r="N550" s="17" t="n">
        <v>19.6041102978346</v>
      </c>
      <c r="O550" s="18" t="n">
        <v>1.15022493276808</v>
      </c>
    </row>
    <row r="551" ht="15" customHeight="1" s="12">
      <c r="A551" s="14" t="inlineStr">
        <is>
          <t>Jaffarabad</t>
        </is>
      </c>
      <c r="B551" s="14" t="inlineStr">
        <is>
          <t>Balochistan</t>
        </is>
      </c>
      <c r="C551" s="14" t="n">
        <v>2025</v>
      </c>
      <c r="D551" s="15" t="n">
        <v>88.6254208780412</v>
      </c>
      <c r="E551" s="15" t="n">
        <v>1381.86146435722</v>
      </c>
      <c r="F551" s="15" t="n">
        <v>101.11733327806</v>
      </c>
      <c r="G551" s="15" t="n">
        <v>65.7397400248301</v>
      </c>
      <c r="H551" s="15" t="n">
        <v>8.567876237650189</v>
      </c>
      <c r="I551" s="16" t="n">
        <v>9.667515429281369</v>
      </c>
      <c r="J551" s="15" t="n">
        <v>15.0047786720322</v>
      </c>
      <c r="K551" s="15" t="n">
        <v>1704.37187886861</v>
      </c>
      <c r="L551" s="15" t="n">
        <v>87.97749605774391</v>
      </c>
      <c r="M551" s="15" t="n">
        <v>0.64792482029732</v>
      </c>
      <c r="N551" s="17" t="n">
        <v>3.63658993448869</v>
      </c>
      <c r="O551" s="18" t="n">
        <v>0.213368337014731</v>
      </c>
    </row>
    <row r="552" ht="15" customHeight="1" s="12">
      <c r="A552" s="14" t="inlineStr">
        <is>
          <t>Jamshoro</t>
        </is>
      </c>
      <c r="B552" s="14" t="inlineStr">
        <is>
          <t>Sindh</t>
        </is>
      </c>
      <c r="C552" s="14" t="n">
        <v>2015</v>
      </c>
      <c r="D552" s="15" t="n">
        <v>130.304741236091</v>
      </c>
      <c r="E552" s="15" t="n">
        <v>13153.6248790518</v>
      </c>
      <c r="F552" s="15" t="n">
        <v>153.123931884766</v>
      </c>
      <c r="G552" s="15" t="n">
        <v>86.1053996086121</v>
      </c>
      <c r="H552" s="15" t="n">
        <v>13.2820763585107</v>
      </c>
      <c r="I552" s="16" t="n">
        <v>10.1930875519301</v>
      </c>
      <c r="J552" s="15" t="n">
        <v>10.6594926382037</v>
      </c>
      <c r="K552" s="15" t="n">
        <v>11252.8329441231</v>
      </c>
      <c r="L552" s="15" t="n">
        <v>190.285445882307</v>
      </c>
      <c r="M552" s="15" t="n">
        <v>-59.9807046462161</v>
      </c>
      <c r="N552" s="17" t="n">
        <v>61.6986267262584</v>
      </c>
      <c r="O552" s="18" t="n">
        <v>0.5482941676343031</v>
      </c>
    </row>
    <row r="553" ht="15" customHeight="1" s="12">
      <c r="A553" s="14" t="inlineStr">
        <is>
          <t>Jamshoro</t>
        </is>
      </c>
      <c r="B553" s="14" t="inlineStr">
        <is>
          <t>Sindh</t>
        </is>
      </c>
      <c r="C553" s="14" t="n">
        <v>2016</v>
      </c>
      <c r="D553" s="15" t="n">
        <v>148.613232647931</v>
      </c>
      <c r="E553" s="15" t="n">
        <v>15001.7773395702</v>
      </c>
      <c r="F553" s="15" t="n">
        <v>168.194629907608</v>
      </c>
      <c r="G553" s="15" t="n">
        <v>111.01015663147</v>
      </c>
      <c r="H553" s="15" t="n">
        <v>11.8213666640417</v>
      </c>
      <c r="I553" s="16" t="n">
        <v>7.95445092836844</v>
      </c>
      <c r="J553" s="15" t="n">
        <v>15.1036090283983</v>
      </c>
      <c r="K553" s="15" t="n">
        <v>11252.8329441231</v>
      </c>
      <c r="L553" s="15" t="n">
        <v>190.285445882307</v>
      </c>
      <c r="M553" s="15" t="n">
        <v>-41.6722132343755</v>
      </c>
      <c r="N553" s="17" t="n">
        <v>40.398783848707</v>
      </c>
      <c r="O553" s="18" t="n">
        <v>0.35900989599073</v>
      </c>
    </row>
    <row r="554" ht="15" customHeight="1" s="12">
      <c r="A554" s="14" t="inlineStr">
        <is>
          <t>Jamshoro</t>
        </is>
      </c>
      <c r="B554" s="14" t="inlineStr">
        <is>
          <t>Sindh</t>
        </is>
      </c>
      <c r="C554" s="14" t="n">
        <v>2017</v>
      </c>
      <c r="D554" s="15" t="n">
        <v>215.972442228963</v>
      </c>
      <c r="E554" s="15" t="n">
        <v>21801.3593545715</v>
      </c>
      <c r="F554" s="15" t="n">
        <v>250.259602278471</v>
      </c>
      <c r="G554" s="15" t="n">
        <v>173.049699604511</v>
      </c>
      <c r="H554" s="15" t="n">
        <v>14.9498392664607</v>
      </c>
      <c r="I554" s="16" t="n">
        <v>6.92210502051535</v>
      </c>
      <c r="J554" s="15" t="n">
        <v>25.587700555534</v>
      </c>
      <c r="K554" s="15" t="n">
        <v>11252.8329441231</v>
      </c>
      <c r="L554" s="15" t="n">
        <v>190.285445882307</v>
      </c>
      <c r="M554" s="15" t="n">
        <v>25.6869963466562</v>
      </c>
      <c r="N554" s="17" t="n">
        <v>34.6663869631739</v>
      </c>
      <c r="O554" s="18" t="n">
        <v>0.308068085035233</v>
      </c>
    </row>
    <row r="555" ht="15" customHeight="1" s="12">
      <c r="A555" s="14" t="inlineStr">
        <is>
          <t>Jamshoro</t>
        </is>
      </c>
      <c r="B555" s="14" t="inlineStr">
        <is>
          <t>Sindh</t>
        </is>
      </c>
      <c r="C555" s="14" t="n">
        <v>2018</v>
      </c>
      <c r="D555" s="15" t="n">
        <v>32.1271558170643</v>
      </c>
      <c r="E555" s="15" t="n">
        <v>3243.07889367472</v>
      </c>
      <c r="F555" s="15" t="n">
        <v>43.7114261048846</v>
      </c>
      <c r="G555" s="15" t="n">
        <v>24.7668812100455</v>
      </c>
      <c r="H555" s="15" t="n">
        <v>4.31359802030319</v>
      </c>
      <c r="I555" s="16" t="n">
        <v>13.4266414520641</v>
      </c>
      <c r="J555" s="15" t="n">
        <v>7.50674021988268</v>
      </c>
      <c r="K555" s="15" t="n">
        <v>11252.8329441231</v>
      </c>
      <c r="L555" s="15" t="n">
        <v>190.285445882307</v>
      </c>
      <c r="M555" s="15" t="n">
        <v>-158.158290065243</v>
      </c>
      <c r="N555" s="17" t="n">
        <v>22.0057378465707</v>
      </c>
      <c r="O555" s="18" t="n">
        <v>0.195557313930119</v>
      </c>
    </row>
    <row r="556" ht="15" customHeight="1" s="12">
      <c r="A556" s="14" t="inlineStr">
        <is>
          <t>Jamshoro</t>
        </is>
      </c>
      <c r="B556" s="14" t="inlineStr">
        <is>
          <t>Sindh</t>
        </is>
      </c>
      <c r="C556" s="14" t="n">
        <v>2019</v>
      </c>
      <c r="D556" s="15" t="n">
        <v>257.743101880528</v>
      </c>
      <c r="E556" s="15" t="n">
        <v>26017.9026882614</v>
      </c>
      <c r="F556" s="15" t="n">
        <v>348.75350959129</v>
      </c>
      <c r="G556" s="15" t="n">
        <v>167.188517183065</v>
      </c>
      <c r="H556" s="15" t="n">
        <v>37.3742127569365</v>
      </c>
      <c r="I556" s="16" t="n">
        <v>14.5005676133519</v>
      </c>
      <c r="J556" s="15" t="n">
        <v>19.1842974243425</v>
      </c>
      <c r="K556" s="15" t="n">
        <v>11252.8329441231</v>
      </c>
      <c r="L556" s="15" t="n">
        <v>190.285445882307</v>
      </c>
      <c r="M556" s="15" t="n">
        <v>67.457655998221</v>
      </c>
      <c r="N556" s="17" t="n">
        <v>46.5888688312953</v>
      </c>
      <c r="O556" s="18" t="n">
        <v>0.414019021366764</v>
      </c>
    </row>
    <row r="557" ht="15" customHeight="1" s="12">
      <c r="A557" s="14" t="inlineStr">
        <is>
          <t>Jamshoro</t>
        </is>
      </c>
      <c r="B557" s="14" t="inlineStr">
        <is>
          <t>Sindh</t>
        </is>
      </c>
      <c r="C557" s="14" t="n">
        <v>2020</v>
      </c>
      <c r="D557" s="15" t="n">
        <v>261.742939108194</v>
      </c>
      <c r="E557" s="15" t="n">
        <v>26421.6666493491</v>
      </c>
      <c r="F557" s="15" t="n">
        <v>380.488386853724</v>
      </c>
      <c r="G557" s="15" t="n">
        <v>182.610651750882</v>
      </c>
      <c r="H557" s="15" t="n">
        <v>53.8135497196967</v>
      </c>
      <c r="I557" s="16" t="n">
        <v>20.559694906403</v>
      </c>
      <c r="J557" s="15" t="n">
        <v>29.4682801755954</v>
      </c>
      <c r="K557" s="15" t="n">
        <v>11252.8329441231</v>
      </c>
      <c r="L557" s="15" t="n">
        <v>190.285445882307</v>
      </c>
      <c r="M557" s="15" t="n">
        <v>71.45749322588711</v>
      </c>
      <c r="N557" s="17" t="n">
        <v>37.9090089354301</v>
      </c>
      <c r="O557" s="18" t="n">
        <v>0.336884135076655</v>
      </c>
    </row>
    <row r="558" ht="15" customHeight="1" s="12">
      <c r="A558" s="14" t="inlineStr">
        <is>
          <t>Jamshoro</t>
        </is>
      </c>
      <c r="B558" s="14" t="inlineStr">
        <is>
          <t>Sindh</t>
        </is>
      </c>
      <c r="C558" s="14" t="n">
        <v>2021</v>
      </c>
      <c r="D558" s="15" t="n">
        <v>109.786040490171</v>
      </c>
      <c r="E558" s="15" t="n">
        <v>11082.3626206177</v>
      </c>
      <c r="F558" s="15" t="n">
        <v>174.306668400765</v>
      </c>
      <c r="G558" s="15" t="n">
        <v>82.06024831533431</v>
      </c>
      <c r="H558" s="15" t="n">
        <v>21.9150986326603</v>
      </c>
      <c r="I558" s="16" t="n">
        <v>19.9616440622268</v>
      </c>
      <c r="J558" s="15" t="n">
        <v>17.4269453401189</v>
      </c>
      <c r="K558" s="15" t="n">
        <v>11252.8329441231</v>
      </c>
      <c r="L558" s="15" t="n">
        <v>190.285445882307</v>
      </c>
      <c r="M558" s="15" t="n">
        <v>-80.4994053921353</v>
      </c>
      <c r="N558" s="17" t="n">
        <v>17.3077801743238</v>
      </c>
      <c r="O558" s="18" t="n">
        <v>0.153808203323262</v>
      </c>
    </row>
    <row r="559" ht="15" customHeight="1" s="12">
      <c r="A559" s="14" t="inlineStr">
        <is>
          <t>Jamshoro</t>
        </is>
      </c>
      <c r="B559" s="14" t="inlineStr">
        <is>
          <t>Sindh</t>
        </is>
      </c>
      <c r="C559" s="14" t="n">
        <v>2022</v>
      </c>
      <c r="D559" s="15" t="n">
        <v>445.012542128445</v>
      </c>
      <c r="E559" s="15" t="n">
        <v>44921.8346938365</v>
      </c>
      <c r="F559" s="15" t="n">
        <v>535.966827824741</v>
      </c>
      <c r="G559" s="15" t="n">
        <v>366.598497152329</v>
      </c>
      <c r="H559" s="15" t="n">
        <v>42.4699963238326</v>
      </c>
      <c r="I559" s="16" t="n">
        <v>9.54355041786088</v>
      </c>
      <c r="J559" s="15" t="n">
        <v>35.2671224894138</v>
      </c>
      <c r="K559" s="15" t="n">
        <v>11252.8329441231</v>
      </c>
      <c r="L559" s="15" t="n">
        <v>190.285445882307</v>
      </c>
      <c r="M559" s="15" t="n">
        <v>254.727096246139</v>
      </c>
      <c r="N559" s="17" t="n">
        <v>82.7201475333398</v>
      </c>
      <c r="O559" s="18" t="n">
        <v>0.735105088150634</v>
      </c>
    </row>
    <row r="560" ht="15" customHeight="1" s="12">
      <c r="A560" s="14" t="inlineStr">
        <is>
          <t>Jamshoro</t>
        </is>
      </c>
      <c r="B560" s="14" t="inlineStr">
        <is>
          <t>Sindh</t>
        </is>
      </c>
      <c r="C560" s="14" t="n">
        <v>2023</v>
      </c>
      <c r="D560" s="15" t="n">
        <v>109.969264571203</v>
      </c>
      <c r="E560" s="15" t="n">
        <v>11100.8581934406</v>
      </c>
      <c r="F560" s="15" t="n">
        <v>154.364206790924</v>
      </c>
      <c r="G560" s="15" t="n">
        <v>84.7153551578522</v>
      </c>
      <c r="H560" s="15" t="n">
        <v>17.5028076539252</v>
      </c>
      <c r="I560" s="16" t="n">
        <v>15.9160904841665</v>
      </c>
      <c r="J560" s="15" t="n">
        <v>15.0956062313042</v>
      </c>
      <c r="K560" s="15" t="n">
        <v>11252.8329441231</v>
      </c>
      <c r="L560" s="15" t="n">
        <v>190.285445882307</v>
      </c>
      <c r="M560" s="15" t="n">
        <v>-80.31618131110331</v>
      </c>
      <c r="N560" s="17" t="n">
        <v>37.4518580035738</v>
      </c>
      <c r="O560" s="18" t="n">
        <v>0.332821594255812</v>
      </c>
    </row>
    <row r="561" ht="15" customHeight="1" s="12">
      <c r="A561" s="14" t="inlineStr">
        <is>
          <t>Jamshoro</t>
        </is>
      </c>
      <c r="B561" s="14" t="inlineStr">
        <is>
          <t>Sindh</t>
        </is>
      </c>
      <c r="C561" s="14" t="n">
        <v>2024</v>
      </c>
      <c r="D561" s="15" t="n">
        <v>217.311573005527</v>
      </c>
      <c r="E561" s="15" t="n">
        <v>21936.5380420991</v>
      </c>
      <c r="F561" s="15" t="n">
        <v>250.329191183369</v>
      </c>
      <c r="G561" s="15" t="n">
        <v>153.000900090672</v>
      </c>
      <c r="H561" s="15" t="n">
        <v>21.3489051037335</v>
      </c>
      <c r="I561" s="16" t="n">
        <v>9.82409947545251</v>
      </c>
      <c r="J561" s="15" t="n">
        <v>28.6497416572783</v>
      </c>
      <c r="K561" s="15" t="n">
        <v>11252.8329441231</v>
      </c>
      <c r="L561" s="15" t="n">
        <v>190.285445882307</v>
      </c>
      <c r="M561" s="15" t="n">
        <v>27.0261271232198</v>
      </c>
      <c r="N561" s="17" t="n">
        <v>60.3701793504797</v>
      </c>
      <c r="O561" s="18" t="n">
        <v>0.53648871933186</v>
      </c>
    </row>
    <row r="562" ht="15" customHeight="1" s="12">
      <c r="A562" s="14" t="inlineStr">
        <is>
          <t>Jamshoro</t>
        </is>
      </c>
      <c r="B562" s="14" t="inlineStr">
        <is>
          <t>Sindh</t>
        </is>
      </c>
      <c r="C562" s="14" t="n">
        <v>2025</v>
      </c>
      <c r="D562" s="15" t="n">
        <v>164.556871591257</v>
      </c>
      <c r="E562" s="15" t="n">
        <v>16611.209535806</v>
      </c>
      <c r="F562" s="15" t="n">
        <v>206.479294832172</v>
      </c>
      <c r="G562" s="15" t="n">
        <v>131.675977972566</v>
      </c>
      <c r="H562" s="15" t="n">
        <v>17.8559386945506</v>
      </c>
      <c r="I562" s="16" t="n">
        <v>10.8509225545458</v>
      </c>
      <c r="J562" s="15" t="n">
        <v>17.2878676042112</v>
      </c>
      <c r="K562" s="15" t="n">
        <v>11252.8329441231</v>
      </c>
      <c r="L562" s="15" t="n">
        <v>190.285445882307</v>
      </c>
      <c r="M562" s="15" t="n">
        <v>-25.7285742910501</v>
      </c>
      <c r="N562" s="17" t="n">
        <v>40.825036057735</v>
      </c>
      <c r="O562" s="18" t="n">
        <v>0.362797850643079</v>
      </c>
    </row>
    <row r="563" ht="15" customHeight="1" s="12">
      <c r="A563" s="14" t="inlineStr">
        <is>
          <t>Jhal Magsi</t>
        </is>
      </c>
      <c r="B563" s="14" t="inlineStr">
        <is>
          <t>Balochistan</t>
        </is>
      </c>
      <c r="C563" s="14" t="n">
        <v>2015</v>
      </c>
      <c r="D563" s="15" t="n">
        <v>54.3776372084024</v>
      </c>
      <c r="E563" s="15" t="n">
        <v>1932.85844571357</v>
      </c>
      <c r="F563" s="15" t="n">
        <v>79.0672907829285</v>
      </c>
      <c r="G563" s="15" t="n">
        <v>41.7677342891693</v>
      </c>
      <c r="H563" s="15" t="n">
        <v>8.594893688319999</v>
      </c>
      <c r="I563" s="16" t="n">
        <v>15.8059344420944</v>
      </c>
      <c r="J563" s="15" t="n">
        <v>9.16935127978817</v>
      </c>
      <c r="K563" s="15" t="n">
        <v>3865.68436208846</v>
      </c>
      <c r="L563" s="15" t="n">
        <v>101.786648153373</v>
      </c>
      <c r="M563" s="15" t="n">
        <v>-47.4090109449707</v>
      </c>
      <c r="N563" s="17" t="n">
        <v>8.51740303395299</v>
      </c>
      <c r="O563" s="18" t="n">
        <v>0.220333639173567</v>
      </c>
    </row>
    <row r="564" ht="15" customHeight="1" s="12">
      <c r="A564" s="14" t="inlineStr">
        <is>
          <t>Jhal Magsi</t>
        </is>
      </c>
      <c r="B564" s="14" t="inlineStr">
        <is>
          <t>Balochistan</t>
        </is>
      </c>
      <c r="C564" s="14" t="n">
        <v>2016</v>
      </c>
      <c r="D564" s="15" t="n">
        <v>76.18819797204171</v>
      </c>
      <c r="E564" s="15" t="n">
        <v>2708.1169663474</v>
      </c>
      <c r="F564" s="15" t="n">
        <v>111.715202450752</v>
      </c>
      <c r="G564" s="15" t="n">
        <v>52.9005303382874</v>
      </c>
      <c r="H564" s="15" t="n">
        <v>13.9700457011914</v>
      </c>
      <c r="I564" s="16" t="n">
        <v>18.3362332658371</v>
      </c>
      <c r="J564" s="15" t="n">
        <v>14.9287290379523</v>
      </c>
      <c r="K564" s="15" t="n">
        <v>3865.68436208846</v>
      </c>
      <c r="L564" s="15" t="n">
        <v>101.786648153373</v>
      </c>
      <c r="M564" s="15" t="n">
        <v>-25.5984501813314</v>
      </c>
      <c r="N564" s="17" t="n">
        <v>5.17711671559867</v>
      </c>
      <c r="O564" s="18" t="n">
        <v>0.133924972415536</v>
      </c>
    </row>
    <row r="565" ht="15" customHeight="1" s="12">
      <c r="A565" s="14" t="inlineStr">
        <is>
          <t>Jhal Magsi</t>
        </is>
      </c>
      <c r="B565" s="14" t="inlineStr">
        <is>
          <t>Balochistan</t>
        </is>
      </c>
      <c r="C565" s="14" t="n">
        <v>2017</v>
      </c>
      <c r="D565" s="15" t="n">
        <v>64.1368236772647</v>
      </c>
      <c r="E565" s="15" t="n">
        <v>2279.74968553226</v>
      </c>
      <c r="F565" s="15" t="n">
        <v>86.70322024822239</v>
      </c>
      <c r="G565" s="15" t="n">
        <v>50.1531352698803</v>
      </c>
      <c r="H565" s="15" t="n">
        <v>9.15986841320859</v>
      </c>
      <c r="I565" s="16" t="n">
        <v>14.281761846051</v>
      </c>
      <c r="J565" s="15" t="n">
        <v>8.934576345984111</v>
      </c>
      <c r="K565" s="15" t="n">
        <v>3865.68436208846</v>
      </c>
      <c r="L565" s="15" t="n">
        <v>101.786648153373</v>
      </c>
      <c r="M565" s="15" t="n">
        <v>-37.6498244761084</v>
      </c>
      <c r="N565" s="17" t="n">
        <v>2.04282918277181</v>
      </c>
      <c r="O565" s="18" t="n">
        <v>0.052845214234412</v>
      </c>
    </row>
    <row r="566" ht="15" customHeight="1" s="12">
      <c r="A566" s="14" t="inlineStr">
        <is>
          <t>Jhal Magsi</t>
        </is>
      </c>
      <c r="B566" s="14" t="inlineStr">
        <is>
          <t>Balochistan</t>
        </is>
      </c>
      <c r="C566" s="14" t="n">
        <v>2018</v>
      </c>
      <c r="D566" s="15" t="n">
        <v>24.2847331943755</v>
      </c>
      <c r="E566" s="15" t="n">
        <v>863.203222250272</v>
      </c>
      <c r="F566" s="15" t="n">
        <v>40.2635762672871</v>
      </c>
      <c r="G566" s="15" t="n">
        <v>16.9180882922374</v>
      </c>
      <c r="H566" s="15" t="n">
        <v>5.84369610521174</v>
      </c>
      <c r="I566" s="16" t="n">
        <v>24.0632501845447</v>
      </c>
      <c r="J566" s="15" t="n">
        <v>5.85150044130627</v>
      </c>
      <c r="K566" s="15" t="n">
        <v>3865.68436208846</v>
      </c>
      <c r="L566" s="15" t="n">
        <v>101.786648153373</v>
      </c>
      <c r="M566" s="15" t="n">
        <v>-77.5019149589977</v>
      </c>
      <c r="N566" s="17" t="n">
        <v>2.87511103259373</v>
      </c>
      <c r="O566" s="18" t="n">
        <v>0.0743752144068076</v>
      </c>
    </row>
    <row r="567" ht="15" customHeight="1" s="12">
      <c r="A567" s="14" t="inlineStr">
        <is>
          <t>Jhal Magsi</t>
        </is>
      </c>
      <c r="B567" s="14" t="inlineStr">
        <is>
          <t>Balochistan</t>
        </is>
      </c>
      <c r="C567" s="14" t="n">
        <v>2019</v>
      </c>
      <c r="D567" s="15" t="n">
        <v>77.16764440415329</v>
      </c>
      <c r="E567" s="15" t="n">
        <v>2742.93148580096</v>
      </c>
      <c r="F567" s="15" t="n">
        <v>112.711735486984</v>
      </c>
      <c r="G567" s="15" t="n">
        <v>56.7841991186142</v>
      </c>
      <c r="H567" s="15" t="n">
        <v>12.3718719712014</v>
      </c>
      <c r="I567" s="16" t="n">
        <v>16.0324603228857</v>
      </c>
      <c r="J567" s="15" t="n">
        <v>14.0841791703442</v>
      </c>
      <c r="K567" s="15" t="n">
        <v>3865.68436208846</v>
      </c>
      <c r="L567" s="15" t="n">
        <v>101.786648153373</v>
      </c>
      <c r="M567" s="15" t="n">
        <v>-24.6190037492198</v>
      </c>
      <c r="N567" s="17" t="n">
        <v>2.85597507789307</v>
      </c>
      <c r="O567" s="18" t="n">
        <v>0.07388019326932591</v>
      </c>
    </row>
    <row r="568" ht="15" customHeight="1" s="12">
      <c r="A568" s="14" t="inlineStr">
        <is>
          <t>Jhal Magsi</t>
        </is>
      </c>
      <c r="B568" s="14" t="inlineStr">
        <is>
          <t>Balochistan</t>
        </is>
      </c>
      <c r="C568" s="14" t="n">
        <v>2020</v>
      </c>
      <c r="D568" s="15" t="n">
        <v>98.31851167799419</v>
      </c>
      <c r="E568" s="15" t="n">
        <v>3494.74113666408</v>
      </c>
      <c r="F568" s="15" t="n">
        <v>123.831084572124</v>
      </c>
      <c r="G568" s="15" t="n">
        <v>77.9212186916411</v>
      </c>
      <c r="H568" s="15" t="n">
        <v>11.5752161602896</v>
      </c>
      <c r="I568" s="16" t="n">
        <v>11.773180820922</v>
      </c>
      <c r="J568" s="15" t="n">
        <v>16.3996028243601</v>
      </c>
      <c r="K568" s="15" t="n">
        <v>3865.68436208846</v>
      </c>
      <c r="L568" s="15" t="n">
        <v>101.786648153373</v>
      </c>
      <c r="M568" s="15" t="n">
        <v>-3.46813647537896</v>
      </c>
      <c r="N568" s="17" t="n">
        <v>25.057332295239</v>
      </c>
      <c r="O568" s="18" t="n">
        <v>0.648199127196759</v>
      </c>
    </row>
    <row r="569" ht="15" customHeight="1" s="12">
      <c r="A569" s="14" t="inlineStr">
        <is>
          <t>Jhal Magsi</t>
        </is>
      </c>
      <c r="B569" s="14" t="inlineStr">
        <is>
          <t>Balochistan</t>
        </is>
      </c>
      <c r="C569" s="14" t="n">
        <v>2021</v>
      </c>
      <c r="D569" s="15" t="n">
        <v>72.1008372868741</v>
      </c>
      <c r="E569" s="15" t="n">
        <v>2562.83133007148</v>
      </c>
      <c r="F569" s="15" t="n">
        <v>86.4699000120163</v>
      </c>
      <c r="G569" s="15" t="n">
        <v>55.3421785831451</v>
      </c>
      <c r="H569" s="15" t="n">
        <v>8.74575249315259</v>
      </c>
      <c r="I569" s="16" t="n">
        <v>12.1298903344979</v>
      </c>
      <c r="J569" s="15" t="n">
        <v>13.243932038835</v>
      </c>
      <c r="K569" s="15" t="n">
        <v>3865.68436208846</v>
      </c>
      <c r="L569" s="15" t="n">
        <v>101.786648153373</v>
      </c>
      <c r="M569" s="15" t="n">
        <v>-29.685810866499</v>
      </c>
      <c r="N569" s="17" t="n">
        <v>4.33002948843251</v>
      </c>
      <c r="O569" s="18" t="n">
        <v>0.112011977255515</v>
      </c>
    </row>
    <row r="570" ht="15" customHeight="1" s="12">
      <c r="A570" s="14" t="inlineStr">
        <is>
          <t>Jhal Magsi</t>
        </is>
      </c>
      <c r="B570" s="14" t="inlineStr">
        <is>
          <t>Balochistan</t>
        </is>
      </c>
      <c r="C570" s="14" t="n">
        <v>2022</v>
      </c>
      <c r="D570" s="15" t="n">
        <v>265.484062161975</v>
      </c>
      <c r="E570" s="15" t="n">
        <v>9436.65701739665</v>
      </c>
      <c r="F570" s="15" t="n">
        <v>332.36420828104</v>
      </c>
      <c r="G570" s="15" t="n">
        <v>199.02560415864</v>
      </c>
      <c r="H570" s="15" t="n">
        <v>39.3145550902183</v>
      </c>
      <c r="I570" s="16" t="n">
        <v>14.8086309852499</v>
      </c>
      <c r="J570" s="15" t="n">
        <v>34.1960503089144</v>
      </c>
      <c r="K570" s="15" t="n">
        <v>3865.68436208846</v>
      </c>
      <c r="L570" s="15" t="n">
        <v>101.786648153373</v>
      </c>
      <c r="M570" s="15" t="n">
        <v>163.697414008602</v>
      </c>
      <c r="N570" s="17" t="n">
        <v>34.020219478374</v>
      </c>
      <c r="O570" s="18" t="n">
        <v>0.880056835783519</v>
      </c>
    </row>
    <row r="571" ht="15" customHeight="1" s="12">
      <c r="A571" s="14" t="inlineStr">
        <is>
          <t>Jhal Magsi</t>
        </is>
      </c>
      <c r="B571" s="14" t="inlineStr">
        <is>
          <t>Balochistan</t>
        </is>
      </c>
      <c r="C571" s="14" t="n">
        <v>2023</v>
      </c>
      <c r="D571" s="15" t="n">
        <v>111.429208028233</v>
      </c>
      <c r="E571" s="15" t="n">
        <v>3960.7621237957</v>
      </c>
      <c r="F571" s="15" t="n">
        <v>141.395851492882</v>
      </c>
      <c r="G571" s="15" t="n">
        <v>74.4013375043869</v>
      </c>
      <c r="H571" s="15" t="n">
        <v>14.2337417730831</v>
      </c>
      <c r="I571" s="16" t="n">
        <v>12.7737978443468</v>
      </c>
      <c r="J571" s="15" t="n">
        <v>16.6713371579876</v>
      </c>
      <c r="K571" s="15" t="n">
        <v>3865.68436208846</v>
      </c>
      <c r="L571" s="15" t="n">
        <v>101.786648153373</v>
      </c>
      <c r="M571" s="15" t="n">
        <v>9.64255987485986</v>
      </c>
      <c r="N571" s="17" t="n">
        <v>5.63437508578026</v>
      </c>
      <c r="O571" s="18" t="n">
        <v>0.14575362492183</v>
      </c>
    </row>
    <row r="572" ht="15" customHeight="1" s="12">
      <c r="A572" s="14" t="inlineStr">
        <is>
          <t>Jhal Magsi</t>
        </is>
      </c>
      <c r="B572" s="14" t="inlineStr">
        <is>
          <t>Balochistan</t>
        </is>
      </c>
      <c r="C572" s="14" t="n">
        <v>2024</v>
      </c>
      <c r="D572" s="15" t="n">
        <v>157.35805986833</v>
      </c>
      <c r="E572" s="15" t="n">
        <v>5593.30766528055</v>
      </c>
      <c r="F572" s="15" t="n">
        <v>200.759279482067</v>
      </c>
      <c r="G572" s="15" t="n">
        <v>101.593679817393</v>
      </c>
      <c r="H572" s="15" t="n">
        <v>23.4349444664997</v>
      </c>
      <c r="I572" s="16" t="n">
        <v>14.8927512744559</v>
      </c>
      <c r="J572" s="15" t="n">
        <v>27.7438217122683</v>
      </c>
      <c r="K572" s="15" t="n">
        <v>3865.68436208846</v>
      </c>
      <c r="L572" s="15" t="n">
        <v>101.786648153373</v>
      </c>
      <c r="M572" s="15" t="n">
        <v>55.5714117149565</v>
      </c>
      <c r="N572" s="17" t="n">
        <v>10.1546250029209</v>
      </c>
      <c r="O572" s="18" t="n">
        <v>0.262686346110131</v>
      </c>
    </row>
    <row r="573" ht="15" customHeight="1" s="12">
      <c r="A573" s="14" t="inlineStr">
        <is>
          <t>Jhal Magsi</t>
        </is>
      </c>
      <c r="B573" s="14" t="inlineStr">
        <is>
          <t>Balochistan</t>
        </is>
      </c>
      <c r="C573" s="14" t="n">
        <v>2025</v>
      </c>
      <c r="D573" s="15" t="n">
        <v>118.807414207461</v>
      </c>
      <c r="E573" s="15" t="n">
        <v>4223.02118578989</v>
      </c>
      <c r="F573" s="15" t="n">
        <v>150.330493345857</v>
      </c>
      <c r="G573" s="15" t="n">
        <v>86.6041943877935</v>
      </c>
      <c r="H573" s="15" t="n">
        <v>18.7211754980317</v>
      </c>
      <c r="I573" s="16" t="n">
        <v>15.7575818166878</v>
      </c>
      <c r="J573" s="15" t="n">
        <v>15.4313768755516</v>
      </c>
      <c r="K573" s="15" t="n">
        <v>3865.68436208846</v>
      </c>
      <c r="L573" s="15" t="n">
        <v>101.786648153373</v>
      </c>
      <c r="M573" s="15" t="n">
        <v>17.0207660540874</v>
      </c>
      <c r="N573" s="17" t="n">
        <v>3.25162602788517</v>
      </c>
      <c r="O573" s="18" t="n">
        <v>0.084115145555455</v>
      </c>
    </row>
    <row r="574" ht="15" customHeight="1" s="12">
      <c r="A574" s="14" t="inlineStr">
        <is>
          <t>Jhang</t>
        </is>
      </c>
      <c r="B574" s="14" t="inlineStr">
        <is>
          <t>Punjab</t>
        </is>
      </c>
      <c r="C574" s="14" t="n">
        <v>2015</v>
      </c>
      <c r="D574" s="15" t="n">
        <v>253.859651259687</v>
      </c>
      <c r="E574" s="15" t="n">
        <v>15220.6282670955</v>
      </c>
      <c r="F574" s="15" t="n">
        <v>321.910048127174</v>
      </c>
      <c r="G574" s="15" t="n">
        <v>184.431784033775</v>
      </c>
      <c r="H574" s="15" t="n">
        <v>27.4903250418731</v>
      </c>
      <c r="I574" s="16" t="n">
        <v>10.8289461934822</v>
      </c>
      <c r="J574" s="15" t="n">
        <v>22.6637451762705</v>
      </c>
      <c r="K574" s="15" t="n">
        <v>6350.75915359317</v>
      </c>
      <c r="L574" s="15" t="n">
        <v>223.829505556041</v>
      </c>
      <c r="M574" s="15" t="n">
        <v>30.0301457036462</v>
      </c>
      <c r="N574" s="17" t="n">
        <v>28.5267011226363</v>
      </c>
      <c r="O574" s="18" t="n">
        <v>0.449185686824485</v>
      </c>
    </row>
    <row r="575" ht="15" customHeight="1" s="12">
      <c r="A575" s="14" t="inlineStr">
        <is>
          <t>Jhang</t>
        </is>
      </c>
      <c r="B575" s="14" t="inlineStr">
        <is>
          <t>Punjab</t>
        </is>
      </c>
      <c r="C575" s="14" t="n">
        <v>2016</v>
      </c>
      <c r="D575" s="15" t="n">
        <v>203.631177784274</v>
      </c>
      <c r="E575" s="15" t="n">
        <v>12209.0865770344</v>
      </c>
      <c r="F575" s="15" t="n">
        <v>312.23669397831</v>
      </c>
      <c r="G575" s="15" t="n">
        <v>108.692202657461</v>
      </c>
      <c r="H575" s="15" t="n">
        <v>53.3790343461587</v>
      </c>
      <c r="I575" s="16" t="n">
        <v>26.2135862135553</v>
      </c>
      <c r="J575" s="15" t="n">
        <v>18.8406697625744</v>
      </c>
      <c r="K575" s="15" t="n">
        <v>6350.75915359317</v>
      </c>
      <c r="L575" s="15" t="n">
        <v>223.829505556041</v>
      </c>
      <c r="M575" s="15" t="n">
        <v>-20.1983277717669</v>
      </c>
      <c r="N575" s="17" t="n">
        <v>38.8002145255045</v>
      </c>
      <c r="O575" s="18" t="n">
        <v>0.610953959788444</v>
      </c>
    </row>
    <row r="576" ht="15" customHeight="1" s="12">
      <c r="A576" s="14" t="inlineStr">
        <is>
          <t>Jhang</t>
        </is>
      </c>
      <c r="B576" s="14" t="inlineStr">
        <is>
          <t>Punjab</t>
        </is>
      </c>
      <c r="C576" s="14" t="n">
        <v>2017</v>
      </c>
      <c r="D576" s="15" t="n">
        <v>208.341461295626</v>
      </c>
      <c r="E576" s="15" t="n">
        <v>12491.500399015</v>
      </c>
      <c r="F576" s="15" t="n">
        <v>257.629826366901</v>
      </c>
      <c r="G576" s="15" t="n">
        <v>132.91357408464</v>
      </c>
      <c r="H576" s="15" t="n">
        <v>30.0774463759381</v>
      </c>
      <c r="I576" s="16" t="n">
        <v>14.436611027346</v>
      </c>
      <c r="J576" s="15" t="n">
        <v>22.347766367977</v>
      </c>
      <c r="K576" s="15" t="n">
        <v>6350.75915359317</v>
      </c>
      <c r="L576" s="15" t="n">
        <v>223.829505556041</v>
      </c>
      <c r="M576" s="15" t="n">
        <v>-15.4880442604145</v>
      </c>
      <c r="N576" s="17" t="n">
        <v>16.3903447942091</v>
      </c>
      <c r="O576" s="18" t="n">
        <v>0.258084811560452</v>
      </c>
    </row>
    <row r="577" ht="15" customHeight="1" s="12">
      <c r="A577" s="14" t="inlineStr">
        <is>
          <t>Jhang</t>
        </is>
      </c>
      <c r="B577" s="14" t="inlineStr">
        <is>
          <t>Punjab</t>
        </is>
      </c>
      <c r="C577" s="14" t="n">
        <v>2018</v>
      </c>
      <c r="D577" s="15" t="n">
        <v>155.480910381371</v>
      </c>
      <c r="E577" s="15" t="n">
        <v>9322.14760321872</v>
      </c>
      <c r="F577" s="15" t="n">
        <v>251.111207209528</v>
      </c>
      <c r="G577" s="15" t="n">
        <v>94.2833598060533</v>
      </c>
      <c r="H577" s="15" t="n">
        <v>31.1861969840657</v>
      </c>
      <c r="I577" s="16" t="n">
        <v>20.0578945078022</v>
      </c>
      <c r="J577" s="15" t="n">
        <v>16.6453659493754</v>
      </c>
      <c r="K577" s="15" t="n">
        <v>6350.75915359317</v>
      </c>
      <c r="L577" s="15" t="n">
        <v>223.829505556041</v>
      </c>
      <c r="M577" s="15" t="n">
        <v>-68.3485951746699</v>
      </c>
      <c r="N577" s="17" t="n">
        <v>22.0317892550432</v>
      </c>
      <c r="O577" s="18" t="n">
        <v>0.346915836708717</v>
      </c>
    </row>
    <row r="578" ht="15" customHeight="1" s="12">
      <c r="A578" s="14" t="inlineStr">
        <is>
          <t>Jhang</t>
        </is>
      </c>
      <c r="B578" s="14" t="inlineStr">
        <is>
          <t>Punjab</t>
        </is>
      </c>
      <c r="C578" s="14" t="n">
        <v>2019</v>
      </c>
      <c r="D578" s="15" t="n">
        <v>191.22920803715</v>
      </c>
      <c r="E578" s="15" t="n">
        <v>11465.5033791372</v>
      </c>
      <c r="F578" s="15" t="n">
        <v>261.735347557813</v>
      </c>
      <c r="G578" s="15" t="n">
        <v>115.278170405421</v>
      </c>
      <c r="H578" s="15" t="n">
        <v>36.3768432779424</v>
      </c>
      <c r="I578" s="16" t="n">
        <v>19.0226397166669</v>
      </c>
      <c r="J578" s="15" t="n">
        <v>19.9584014651056</v>
      </c>
      <c r="K578" s="15" t="n">
        <v>6350.75915359317</v>
      </c>
      <c r="L578" s="15" t="n">
        <v>223.829505556041</v>
      </c>
      <c r="M578" s="15" t="n">
        <v>-32.6002975188909</v>
      </c>
      <c r="N578" s="17" t="n">
        <v>33.6200320614348</v>
      </c>
      <c r="O578" s="18" t="n">
        <v>0.529386034776851</v>
      </c>
    </row>
    <row r="579" ht="15" customHeight="1" s="12">
      <c r="A579" s="14" t="inlineStr">
        <is>
          <t>Jhang</t>
        </is>
      </c>
      <c r="B579" s="14" t="inlineStr">
        <is>
          <t>Punjab</t>
        </is>
      </c>
      <c r="C579" s="14" t="n">
        <v>2020</v>
      </c>
      <c r="D579" s="15" t="n">
        <v>274.058662191729</v>
      </c>
      <c r="E579" s="15" t="n">
        <v>16431.6975931347</v>
      </c>
      <c r="F579" s="15" t="n">
        <v>396.740876448719</v>
      </c>
      <c r="G579" s="15" t="n">
        <v>141.611468618513</v>
      </c>
      <c r="H579" s="15" t="n">
        <v>50.1732494672066</v>
      </c>
      <c r="I579" s="16" t="n">
        <v>18.307485363154</v>
      </c>
      <c r="J579" s="15" t="n">
        <v>23.8421741121067</v>
      </c>
      <c r="K579" s="15" t="n">
        <v>6350.75915359317</v>
      </c>
      <c r="L579" s="15" t="n">
        <v>223.829505556041</v>
      </c>
      <c r="M579" s="15" t="n">
        <v>50.229156635689</v>
      </c>
      <c r="N579" s="17" t="n">
        <v>45.0752081504722</v>
      </c>
      <c r="O579" s="18" t="n">
        <v>0.709760944484398</v>
      </c>
    </row>
    <row r="580" ht="15" customHeight="1" s="12">
      <c r="A580" s="14" t="inlineStr">
        <is>
          <t>Jhang</t>
        </is>
      </c>
      <c r="B580" s="14" t="inlineStr">
        <is>
          <t>Punjab</t>
        </is>
      </c>
      <c r="C580" s="14" t="n">
        <v>2021</v>
      </c>
      <c r="D580" s="15" t="n">
        <v>180.395983335994</v>
      </c>
      <c r="E580" s="15" t="n">
        <v>10815.9772126432</v>
      </c>
      <c r="F580" s="15" t="n">
        <v>278.492181062698</v>
      </c>
      <c r="G580" s="15" t="n">
        <v>108.197728812695</v>
      </c>
      <c r="H580" s="15" t="n">
        <v>37.6875138097526</v>
      </c>
      <c r="I580" s="16" t="n">
        <v>20.8915482001384</v>
      </c>
      <c r="J580" s="15" t="n">
        <v>18.137811498463</v>
      </c>
      <c r="K580" s="15" t="n">
        <v>6350.75915359317</v>
      </c>
      <c r="L580" s="15" t="n">
        <v>223.829505556041</v>
      </c>
      <c r="M580" s="15" t="n">
        <v>-43.433522220047</v>
      </c>
      <c r="N580" s="17" t="n">
        <v>25.21685432352</v>
      </c>
      <c r="O580" s="18" t="n">
        <v>0.397068345904012</v>
      </c>
    </row>
    <row r="581" ht="15" customHeight="1" s="12">
      <c r="A581" s="14" t="inlineStr">
        <is>
          <t>Jhang</t>
        </is>
      </c>
      <c r="B581" s="14" t="inlineStr">
        <is>
          <t>Punjab</t>
        </is>
      </c>
      <c r="C581" s="14" t="n">
        <v>2022</v>
      </c>
      <c r="D581" s="15" t="n">
        <v>267.736321440364</v>
      </c>
      <c r="E581" s="15" t="n">
        <v>16052.6298764773</v>
      </c>
      <c r="F581" s="15" t="n">
        <v>326.557710808649</v>
      </c>
      <c r="G581" s="15" t="n">
        <v>179.8390920151</v>
      </c>
      <c r="H581" s="15" t="n">
        <v>32.237889319998</v>
      </c>
      <c r="I581" s="16" t="n">
        <v>12.0409099320425</v>
      </c>
      <c r="J581" s="15" t="n">
        <v>23.4687029890771</v>
      </c>
      <c r="K581" s="15" t="n">
        <v>6350.75915359317</v>
      </c>
      <c r="L581" s="15" t="n">
        <v>223.829505556041</v>
      </c>
      <c r="M581" s="15" t="n">
        <v>43.9068158843233</v>
      </c>
      <c r="N581" s="17" t="n">
        <v>43.4379310280764</v>
      </c>
      <c r="O581" s="18" t="n">
        <v>0.683980134933945</v>
      </c>
    </row>
    <row r="582" ht="15" customHeight="1" s="12">
      <c r="A582" s="14" t="inlineStr">
        <is>
          <t>Jhang</t>
        </is>
      </c>
      <c r="B582" s="14" t="inlineStr">
        <is>
          <t>Punjab</t>
        </is>
      </c>
      <c r="C582" s="14" t="n">
        <v>2023</v>
      </c>
      <c r="D582" s="15" t="n">
        <v>169.721338681088</v>
      </c>
      <c r="E582" s="15" t="n">
        <v>10175.9590082163</v>
      </c>
      <c r="F582" s="15" t="n">
        <v>256.183685541153</v>
      </c>
      <c r="G582" s="15" t="n">
        <v>111.87019276619</v>
      </c>
      <c r="H582" s="15" t="n">
        <v>25.2618469435683</v>
      </c>
      <c r="I582" s="16" t="n">
        <v>14.8843080898838</v>
      </c>
      <c r="J582" s="15" t="n">
        <v>16.712930865328</v>
      </c>
      <c r="K582" s="15" t="n">
        <v>6350.75915359317</v>
      </c>
      <c r="L582" s="15" t="n">
        <v>223.829505556041</v>
      </c>
      <c r="M582" s="15" t="n">
        <v>-54.1081668749528</v>
      </c>
      <c r="N582" s="17" t="n">
        <v>27.2949789099174</v>
      </c>
      <c r="O582" s="18" t="n">
        <v>0.429790805316153</v>
      </c>
    </row>
    <row r="583" ht="15" customHeight="1" s="12">
      <c r="A583" s="14" t="inlineStr">
        <is>
          <t>Jhang</t>
        </is>
      </c>
      <c r="B583" s="14" t="inlineStr">
        <is>
          <t>Punjab</t>
        </is>
      </c>
      <c r="C583" s="14" t="n">
        <v>2024</v>
      </c>
      <c r="D583" s="15" t="n">
        <v>287.65988295925</v>
      </c>
      <c r="E583" s="15" t="n">
        <v>17247.1841198587</v>
      </c>
      <c r="F583" s="15" t="n">
        <v>363.124707948417</v>
      </c>
      <c r="G583" s="15" t="n">
        <v>208.372679755092</v>
      </c>
      <c r="H583" s="15" t="n">
        <v>29.0637507212914</v>
      </c>
      <c r="I583" s="16" t="n">
        <v>10.1035119747332</v>
      </c>
      <c r="J583" s="15" t="n">
        <v>31.8232716332004</v>
      </c>
      <c r="K583" s="15" t="n">
        <v>6350.75915359317</v>
      </c>
      <c r="L583" s="15" t="n">
        <v>223.829505556041</v>
      </c>
      <c r="M583" s="15" t="n">
        <v>63.8303774032093</v>
      </c>
      <c r="N583" s="17" t="n">
        <v>32.5776278440912</v>
      </c>
      <c r="O583" s="18" t="n">
        <v>0.512972182635194</v>
      </c>
    </row>
    <row r="584" ht="15" customHeight="1" s="12">
      <c r="A584" s="14" t="inlineStr">
        <is>
          <t>Jhang</t>
        </is>
      </c>
      <c r="B584" s="14" t="inlineStr">
        <is>
          <t>Punjab</t>
        </is>
      </c>
      <c r="C584" s="14" t="n">
        <v>2025</v>
      </c>
      <c r="D584" s="15" t="n">
        <v>270.009963749915</v>
      </c>
      <c r="E584" s="15" t="n">
        <v>16188.9503363625</v>
      </c>
      <c r="F584" s="15" t="n">
        <v>412.660954940531</v>
      </c>
      <c r="G584" s="15" t="n">
        <v>174.847260069826</v>
      </c>
      <c r="H584" s="15" t="n">
        <v>43.937899343352</v>
      </c>
      <c r="I584" s="16" t="n">
        <v>16.2726955454309</v>
      </c>
      <c r="J584" s="15" t="n">
        <v>22.3978023415528</v>
      </c>
      <c r="K584" s="15" t="n">
        <v>6350.75915359317</v>
      </c>
      <c r="L584" s="15" t="n">
        <v>223.829505556041</v>
      </c>
      <c r="M584" s="15" t="n">
        <v>46.1804581938742</v>
      </c>
      <c r="N584" s="17" t="n">
        <v>33.3188950221416</v>
      </c>
      <c r="O584" s="18" t="n">
        <v>0.524644286081771</v>
      </c>
    </row>
    <row r="585" ht="15" customHeight="1" s="12">
      <c r="A585" s="14" t="inlineStr">
        <is>
          <t>Jhelum</t>
        </is>
      </c>
      <c r="B585" s="14" t="inlineStr">
        <is>
          <t>Punjab</t>
        </is>
      </c>
      <c r="C585" s="14" t="n">
        <v>2015</v>
      </c>
      <c r="D585" s="15" t="n">
        <v>582.662768974501</v>
      </c>
      <c r="E585" s="15" t="n">
        <v>19956.7710753855</v>
      </c>
      <c r="F585" s="15" t="n">
        <v>754.2020106315611</v>
      </c>
      <c r="G585" s="15" t="n">
        <v>335.465052485466</v>
      </c>
      <c r="H585" s="15" t="n">
        <v>100.47544778991</v>
      </c>
      <c r="I585" s="16" t="n">
        <v>17.2441853401323</v>
      </c>
      <c r="J585" s="15" t="n">
        <v>34.086558277994</v>
      </c>
      <c r="K585" s="15" t="n">
        <v>3570.72547768973</v>
      </c>
      <c r="L585" s="15" t="n">
        <v>625.196324665843</v>
      </c>
      <c r="M585" s="15" t="n">
        <v>-42.5335556913419</v>
      </c>
      <c r="N585" s="17" t="n">
        <v>5.14212718811179</v>
      </c>
      <c r="O585" s="18" t="n">
        <v>0.1440079115642</v>
      </c>
    </row>
    <row r="586" ht="15" customHeight="1" s="12">
      <c r="A586" s="14" t="inlineStr">
        <is>
          <t>Jhelum</t>
        </is>
      </c>
      <c r="B586" s="14" t="inlineStr">
        <is>
          <t>Punjab</t>
        </is>
      </c>
      <c r="C586" s="14" t="n">
        <v>2016</v>
      </c>
      <c r="D586" s="15" t="n">
        <v>603.279230222301</v>
      </c>
      <c r="E586" s="15" t="n">
        <v>20662.9050853395</v>
      </c>
      <c r="F586" s="15" t="n">
        <v>773.16659963131</v>
      </c>
      <c r="G586" s="15" t="n">
        <v>350.993945598602</v>
      </c>
      <c r="H586" s="15" t="n">
        <v>108.193777014164</v>
      </c>
      <c r="I586" s="16" t="n">
        <v>17.9342784558148</v>
      </c>
      <c r="J586" s="15" t="n">
        <v>37.5082436455233</v>
      </c>
      <c r="K586" s="15" t="n">
        <v>3570.72547768973</v>
      </c>
      <c r="L586" s="15" t="n">
        <v>625.196324665843</v>
      </c>
      <c r="M586" s="15" t="n">
        <v>-21.9170944435424</v>
      </c>
      <c r="N586" s="17" t="n">
        <v>29.6429272573869</v>
      </c>
      <c r="O586" s="18" t="n">
        <v>0.830165394752385</v>
      </c>
    </row>
    <row r="587" ht="15" customHeight="1" s="12">
      <c r="A587" s="14" t="inlineStr">
        <is>
          <t>Jhelum</t>
        </is>
      </c>
      <c r="B587" s="14" t="inlineStr">
        <is>
          <t>Punjab</t>
        </is>
      </c>
      <c r="C587" s="14" t="n">
        <v>2017</v>
      </c>
      <c r="D587" s="15" t="n">
        <v>565.500919078454</v>
      </c>
      <c r="E587" s="15" t="n">
        <v>19368.9608911028</v>
      </c>
      <c r="F587" s="15" t="n">
        <v>692.315198659897</v>
      </c>
      <c r="G587" s="15" t="n">
        <v>316.660984516144</v>
      </c>
      <c r="H587" s="15" t="n">
        <v>106.012896410688</v>
      </c>
      <c r="I587" s="16" t="n">
        <v>18.7467239811826</v>
      </c>
      <c r="J587" s="15" t="n">
        <v>34.4799633615755</v>
      </c>
      <c r="K587" s="15" t="n">
        <v>3570.72547768973</v>
      </c>
      <c r="L587" s="15" t="n">
        <v>625.196324665843</v>
      </c>
      <c r="M587" s="15" t="n">
        <v>-59.695405587389</v>
      </c>
      <c r="N587" s="17" t="n">
        <v>14.3190619671944</v>
      </c>
      <c r="O587" s="18" t="n">
        <v>0.40101268094289</v>
      </c>
    </row>
    <row r="588" ht="15" customHeight="1" s="12">
      <c r="A588" s="14" t="inlineStr">
        <is>
          <t>Jhelum</t>
        </is>
      </c>
      <c r="B588" s="14" t="inlineStr">
        <is>
          <t>Punjab</t>
        </is>
      </c>
      <c r="C588" s="14" t="n">
        <v>2018</v>
      </c>
      <c r="D588" s="15" t="n">
        <v>511.474235737841</v>
      </c>
      <c r="E588" s="15" t="n">
        <v>17518.4940193502</v>
      </c>
      <c r="F588" s="15" t="n">
        <v>615.960184782744</v>
      </c>
      <c r="G588" s="15" t="n">
        <v>266.131196171045</v>
      </c>
      <c r="H588" s="15" t="n">
        <v>99.83509274564381</v>
      </c>
      <c r="I588" s="16" t="n">
        <v>19.5190853751654</v>
      </c>
      <c r="J588" s="15" t="n">
        <v>30.0341195328601</v>
      </c>
      <c r="K588" s="15" t="n">
        <v>3570.72547768973</v>
      </c>
      <c r="L588" s="15" t="n">
        <v>625.196324665843</v>
      </c>
      <c r="M588" s="15" t="n">
        <v>-113.722088928002</v>
      </c>
      <c r="N588" s="17" t="n">
        <v>11.5144129631211</v>
      </c>
      <c r="O588" s="18" t="n">
        <v>0.322467045844448</v>
      </c>
    </row>
    <row r="589" ht="15" customHeight="1" s="12">
      <c r="A589" s="14" t="inlineStr">
        <is>
          <t>Jhelum</t>
        </is>
      </c>
      <c r="B589" s="14" t="inlineStr">
        <is>
          <t>Punjab</t>
        </is>
      </c>
      <c r="C589" s="14" t="n">
        <v>2019</v>
      </c>
      <c r="D589" s="15" t="n">
        <v>528.959698042183</v>
      </c>
      <c r="E589" s="15" t="n">
        <v>18117.388245884</v>
      </c>
      <c r="F589" s="15" t="n">
        <v>782.036503013753</v>
      </c>
      <c r="G589" s="15" t="n">
        <v>309.962662021164</v>
      </c>
      <c r="H589" s="15" t="n">
        <v>100.601885571244</v>
      </c>
      <c r="I589" s="16" t="n">
        <v>19.0188186252371</v>
      </c>
      <c r="J589" s="15" t="n">
        <v>27.8013510419052</v>
      </c>
      <c r="K589" s="15" t="n">
        <v>3570.72547768973</v>
      </c>
      <c r="L589" s="15" t="n">
        <v>625.196324665843</v>
      </c>
      <c r="M589" s="15" t="n">
        <v>-96.2366266236597</v>
      </c>
      <c r="N589" s="17" t="n">
        <v>15.0012530350529</v>
      </c>
      <c r="O589" s="18" t="n">
        <v>0.420117791994438</v>
      </c>
    </row>
    <row r="590" ht="15" customHeight="1" s="12">
      <c r="A590" s="14" t="inlineStr">
        <is>
          <t>Jhelum</t>
        </is>
      </c>
      <c r="B590" s="14" t="inlineStr">
        <is>
          <t>Punjab</t>
        </is>
      </c>
      <c r="C590" s="14" t="n">
        <v>2020</v>
      </c>
      <c r="D590" s="15" t="n">
        <v>700.436585495554</v>
      </c>
      <c r="E590" s="15" t="n">
        <v>23990.6397557575</v>
      </c>
      <c r="F590" s="15" t="n">
        <v>838.4232784509589</v>
      </c>
      <c r="G590" s="15" t="n">
        <v>367.195800267251</v>
      </c>
      <c r="H590" s="15" t="n">
        <v>129.498469890042</v>
      </c>
      <c r="I590" s="16" t="n">
        <v>18.4882504100529</v>
      </c>
      <c r="J590" s="15" t="n">
        <v>35.4264941607511</v>
      </c>
      <c r="K590" s="15" t="n">
        <v>3570.72547768973</v>
      </c>
      <c r="L590" s="15" t="n">
        <v>625.196324665843</v>
      </c>
      <c r="M590" s="15" t="n">
        <v>75.24026082971081</v>
      </c>
      <c r="N590" s="17" t="n">
        <v>5.9580931633126</v>
      </c>
      <c r="O590" s="18" t="n">
        <v>0.16685945756792</v>
      </c>
    </row>
    <row r="591" ht="15" customHeight="1" s="12">
      <c r="A591" s="14" t="inlineStr">
        <is>
          <t>Jhelum</t>
        </is>
      </c>
      <c r="B591" s="14" t="inlineStr">
        <is>
          <t>Punjab</t>
        </is>
      </c>
      <c r="C591" s="14" t="n">
        <v>2021</v>
      </c>
      <c r="D591" s="15" t="n">
        <v>756.364148322726</v>
      </c>
      <c r="E591" s="15" t="n">
        <v>25906.2136135321</v>
      </c>
      <c r="F591" s="15" t="n">
        <v>1058.95739078522</v>
      </c>
      <c r="G591" s="15" t="n">
        <v>400.340063214302</v>
      </c>
      <c r="H591" s="15" t="n">
        <v>176.215636407473</v>
      </c>
      <c r="I591" s="16" t="n">
        <v>23.2977246209038</v>
      </c>
      <c r="J591" s="15" t="n">
        <v>22.1323563086787</v>
      </c>
      <c r="K591" s="15" t="n">
        <v>3570.72547768973</v>
      </c>
      <c r="L591" s="15" t="n">
        <v>625.196324665843</v>
      </c>
      <c r="M591" s="15" t="n">
        <v>131.167823656883</v>
      </c>
      <c r="N591" s="17" t="n">
        <v>15.6333629398783</v>
      </c>
      <c r="O591" s="18" t="n">
        <v>0.437820354366562</v>
      </c>
    </row>
    <row r="592" ht="15" customHeight="1" s="12">
      <c r="A592" s="14" t="inlineStr">
        <is>
          <t>Jhelum</t>
        </is>
      </c>
      <c r="B592" s="14" t="inlineStr">
        <is>
          <t>Punjab</t>
        </is>
      </c>
      <c r="C592" s="14" t="n">
        <v>2022</v>
      </c>
      <c r="D592" s="15" t="n">
        <v>566.254287784398</v>
      </c>
      <c r="E592" s="15" t="n">
        <v>19394.7645078782</v>
      </c>
      <c r="F592" s="15" t="n">
        <v>799.9322942197319</v>
      </c>
      <c r="G592" s="15" t="n">
        <v>304.818032532465</v>
      </c>
      <c r="H592" s="15" t="n">
        <v>125.320732871077</v>
      </c>
      <c r="I592" s="16" t="n">
        <v>22.1315291688869</v>
      </c>
      <c r="J592" s="15" t="n">
        <v>32.8867643691321</v>
      </c>
      <c r="K592" s="15" t="n">
        <v>3570.72547768973</v>
      </c>
      <c r="L592" s="15" t="n">
        <v>625.196324665843</v>
      </c>
      <c r="M592" s="15" t="n">
        <v>-58.9420368814448</v>
      </c>
      <c r="N592" s="17" t="n">
        <v>15.142418372919</v>
      </c>
      <c r="O592" s="18" t="n">
        <v>0.424071199747235</v>
      </c>
    </row>
    <row r="593" ht="15" customHeight="1" s="12">
      <c r="A593" s="14" t="inlineStr">
        <is>
          <t>Jhelum</t>
        </is>
      </c>
      <c r="B593" s="14" t="inlineStr">
        <is>
          <t>Punjab</t>
        </is>
      </c>
      <c r="C593" s="14" t="n">
        <v>2023</v>
      </c>
      <c r="D593" s="15" t="n">
        <v>564.335953313534</v>
      </c>
      <c r="E593" s="15" t="n">
        <v>19329.059671531</v>
      </c>
      <c r="F593" s="15" t="n">
        <v>790.286226034164</v>
      </c>
      <c r="G593" s="15" t="n">
        <v>342.153704404831</v>
      </c>
      <c r="H593" s="15" t="n">
        <v>104.070630357715</v>
      </c>
      <c r="I593" s="16" t="n">
        <v>18.441254672267</v>
      </c>
      <c r="J593" s="15" t="n">
        <v>21.1087703228761</v>
      </c>
      <c r="K593" s="15" t="n">
        <v>3570.72547768973</v>
      </c>
      <c r="L593" s="15" t="n">
        <v>625.196324665843</v>
      </c>
      <c r="M593" s="15" t="n">
        <v>-60.860371352309</v>
      </c>
      <c r="N593" s="17" t="n">
        <v>15.9788943450439</v>
      </c>
      <c r="O593" s="18" t="n">
        <v>0.447497138743422</v>
      </c>
    </row>
    <row r="594" ht="15" customHeight="1" s="12">
      <c r="A594" s="14" t="inlineStr">
        <is>
          <t>Jhelum</t>
        </is>
      </c>
      <c r="B594" s="14" t="inlineStr">
        <is>
          <t>Punjab</t>
        </is>
      </c>
      <c r="C594" s="14" t="n">
        <v>2024</v>
      </c>
      <c r="D594" s="15" t="n">
        <v>702.831878550474</v>
      </c>
      <c r="E594" s="15" t="n">
        <v>24072.6808912151</v>
      </c>
      <c r="F594" s="15" t="n">
        <v>916.855550604872</v>
      </c>
      <c r="G594" s="15" t="n">
        <v>369.500410549343</v>
      </c>
      <c r="H594" s="15" t="n">
        <v>141.005659253048</v>
      </c>
      <c r="I594" s="16" t="n">
        <v>20.0625019377122</v>
      </c>
      <c r="J594" s="15" t="n">
        <v>41.2423860773987</v>
      </c>
      <c r="K594" s="15" t="n">
        <v>3570.72547768973</v>
      </c>
      <c r="L594" s="15" t="n">
        <v>625.196324665843</v>
      </c>
      <c r="M594" s="15" t="n">
        <v>77.63555388463109</v>
      </c>
      <c r="N594" s="17" t="n">
        <v>14.0421038222618</v>
      </c>
      <c r="O594" s="18" t="n">
        <v>0.393256325920274</v>
      </c>
    </row>
    <row r="595" ht="15" customHeight="1" s="12">
      <c r="A595" s="14" t="inlineStr">
        <is>
          <t>Jhelum</t>
        </is>
      </c>
      <c r="B595" s="14" t="inlineStr">
        <is>
          <t>Punjab</t>
        </is>
      </c>
      <c r="C595" s="14" t="n">
        <v>2025</v>
      </c>
      <c r="D595" s="15" t="n">
        <v>795.059865802308</v>
      </c>
      <c r="E595" s="15" t="n">
        <v>27231.5798741857</v>
      </c>
      <c r="F595" s="15" t="n">
        <v>1098.68703458644</v>
      </c>
      <c r="G595" s="15" t="n">
        <v>404.308638381387</v>
      </c>
      <c r="H595" s="15" t="n">
        <v>175.190091364612</v>
      </c>
      <c r="I595" s="16" t="n">
        <v>22.0348301932993</v>
      </c>
      <c r="J595" s="15" t="n">
        <v>37.2438745133959</v>
      </c>
      <c r="K595" s="15" t="n">
        <v>3570.72547768973</v>
      </c>
      <c r="L595" s="15" t="n">
        <v>625.196324665843</v>
      </c>
      <c r="M595" s="15" t="n">
        <v>169.863541136465</v>
      </c>
      <c r="N595" s="17" t="n">
        <v>15.0199240224873</v>
      </c>
      <c r="O595" s="18" t="n">
        <v>0.420640682582109</v>
      </c>
    </row>
    <row r="596" ht="15" customHeight="1" s="12">
      <c r="A596" s="14" t="inlineStr">
        <is>
          <t>Jhelum Valley</t>
        </is>
      </c>
      <c r="B596" s="14" t="inlineStr">
        <is>
          <t>Azad Kashmir</t>
        </is>
      </c>
      <c r="C596" s="14" t="n">
        <v>2015</v>
      </c>
      <c r="D596" s="15" t="n">
        <v>499.260790030544</v>
      </c>
      <c r="E596" s="15" t="n">
        <v>3353.8577777346</v>
      </c>
      <c r="F596" s="15" t="n">
        <v>647.711936593056</v>
      </c>
      <c r="G596" s="15" t="n">
        <v>327.123297214508</v>
      </c>
      <c r="H596" s="15" t="n">
        <v>94.58714136446071</v>
      </c>
      <c r="I596" s="16" t="n">
        <v>18.9454375855701</v>
      </c>
      <c r="J596" s="15" t="n">
        <v>27.0251021599533</v>
      </c>
      <c r="K596" s="15" t="n">
        <v>681.932077722757</v>
      </c>
      <c r="L596" s="15" t="n">
        <v>492.244024154853</v>
      </c>
      <c r="M596" s="15" t="n">
        <v>7.01676587569102</v>
      </c>
      <c r="N596" s="17" t="n">
        <v>0.236050750099332</v>
      </c>
      <c r="O596" s="18" t="n">
        <v>0.0346149943389669</v>
      </c>
    </row>
    <row r="597" ht="15" customHeight="1" s="12">
      <c r="A597" s="14" t="inlineStr">
        <is>
          <t>Jhelum Valley</t>
        </is>
      </c>
      <c r="B597" s="14" t="inlineStr">
        <is>
          <t>Azad Kashmir</t>
        </is>
      </c>
      <c r="C597" s="14" t="n">
        <v>2016</v>
      </c>
      <c r="D597" s="15" t="n">
        <v>445.867253610006</v>
      </c>
      <c r="E597" s="15" t="n">
        <v>2995.17884483898</v>
      </c>
      <c r="F597" s="15" t="n">
        <v>602.347476482391</v>
      </c>
      <c r="G597" s="15" t="n">
        <v>274.330593466759</v>
      </c>
      <c r="H597" s="15" t="n">
        <v>90.0854826908357</v>
      </c>
      <c r="I597" s="16" t="n">
        <v>20.2045523553143</v>
      </c>
      <c r="J597" s="15" t="n">
        <v>25.8248686514886</v>
      </c>
      <c r="K597" s="15" t="n">
        <v>681.932077722757</v>
      </c>
      <c r="L597" s="15" t="n">
        <v>492.244024154853</v>
      </c>
      <c r="M597" s="15" t="n">
        <v>-46.3767705448468</v>
      </c>
      <c r="N597" s="17" t="n">
        <v>0.611819349697696</v>
      </c>
      <c r="O597" s="18" t="n">
        <v>0.0897185173838434</v>
      </c>
    </row>
    <row r="598" ht="15" customHeight="1" s="12">
      <c r="A598" s="14" t="inlineStr">
        <is>
          <t>Jhelum Valley</t>
        </is>
      </c>
      <c r="B598" s="14" t="inlineStr">
        <is>
          <t>Azad Kashmir</t>
        </is>
      </c>
      <c r="C598" s="14" t="n">
        <v>2017</v>
      </c>
      <c r="D598" s="15" t="n">
        <v>386.622959506908</v>
      </c>
      <c r="E598" s="15" t="n">
        <v>2597.19658680523</v>
      </c>
      <c r="F598" s="15" t="n">
        <v>510.12962770462</v>
      </c>
      <c r="G598" s="15" t="n">
        <v>233.310157597065</v>
      </c>
      <c r="H598" s="15" t="n">
        <v>78.14261246979891</v>
      </c>
      <c r="I598" s="16" t="n">
        <v>20.2115809597704</v>
      </c>
      <c r="J598" s="15" t="n">
        <v>35.790426152948</v>
      </c>
      <c r="K598" s="15" t="n">
        <v>681.932077722757</v>
      </c>
      <c r="L598" s="15" t="n">
        <v>492.244024154853</v>
      </c>
      <c r="M598" s="15" t="n">
        <v>-105.621064647945</v>
      </c>
      <c r="N598" s="17" t="n">
        <v>0.0482767512207031</v>
      </c>
      <c r="O598" s="18" t="n">
        <v>0.00707940758292503</v>
      </c>
    </row>
    <row r="599" ht="15" customHeight="1" s="12">
      <c r="A599" s="14" t="inlineStr">
        <is>
          <t>Jhelum Valley</t>
        </is>
      </c>
      <c r="B599" s="14" t="inlineStr">
        <is>
          <t>Azad Kashmir</t>
        </is>
      </c>
      <c r="C599" s="14" t="n">
        <v>2018</v>
      </c>
      <c r="D599" s="15" t="n">
        <v>455.659349835796</v>
      </c>
      <c r="E599" s="15" t="n">
        <v>3060.95869124988</v>
      </c>
      <c r="F599" s="15" t="n">
        <v>589.253032445908</v>
      </c>
      <c r="G599" s="15" t="n">
        <v>298.217568397522</v>
      </c>
      <c r="H599" s="15" t="n">
        <v>83.08747228534109</v>
      </c>
      <c r="I599" s="16" t="n">
        <v>18.2345588464898</v>
      </c>
      <c r="J599" s="15" t="n">
        <v>30.286631640397</v>
      </c>
      <c r="K599" s="15" t="n">
        <v>681.932077722757</v>
      </c>
      <c r="L599" s="15" t="n">
        <v>492.244024154853</v>
      </c>
      <c r="M599" s="15" t="n">
        <v>-36.5846743190573</v>
      </c>
      <c r="N599" s="17" t="n">
        <v>0.084678297668457</v>
      </c>
      <c r="O599" s="18" t="n">
        <v>0.0124174093630016</v>
      </c>
    </row>
    <row r="600" ht="15" customHeight="1" s="12">
      <c r="A600" s="14" t="inlineStr">
        <is>
          <t>Jhelum Valley</t>
        </is>
      </c>
      <c r="B600" s="14" t="inlineStr">
        <is>
          <t>Azad Kashmir</t>
        </is>
      </c>
      <c r="C600" s="14" t="n">
        <v>2019</v>
      </c>
      <c r="D600" s="15" t="n">
        <v>500.124258895499</v>
      </c>
      <c r="E600" s="15" t="n">
        <v>3359.65825681564</v>
      </c>
      <c r="F600" s="15" t="n">
        <v>642.756049249671</v>
      </c>
      <c r="G600" s="15" t="n">
        <v>315.24944729358</v>
      </c>
      <c r="H600" s="15" t="n">
        <v>93.5484137233108</v>
      </c>
      <c r="I600" s="16" t="n">
        <v>18.7050342108796</v>
      </c>
      <c r="J600" s="15" t="n">
        <v>27.4792761237595</v>
      </c>
      <c r="K600" s="15" t="n">
        <v>681.932077722757</v>
      </c>
      <c r="L600" s="15" t="n">
        <v>492.244024154853</v>
      </c>
      <c r="M600" s="15" t="n">
        <v>7.88023474064539</v>
      </c>
      <c r="N600" s="17" t="n">
        <v>0.0549616698608398</v>
      </c>
      <c r="O600" s="18" t="n">
        <v>0.008059698561824331</v>
      </c>
    </row>
    <row r="601" ht="15" customHeight="1" s="12">
      <c r="A601" s="14" t="inlineStr">
        <is>
          <t>Jhelum Valley</t>
        </is>
      </c>
      <c r="B601" s="14" t="inlineStr">
        <is>
          <t>Azad Kashmir</t>
        </is>
      </c>
      <c r="C601" s="14" t="n">
        <v>2020</v>
      </c>
      <c r="D601" s="15" t="n">
        <v>471.790239980287</v>
      </c>
      <c r="E601" s="15" t="n">
        <v>3169.32031798523</v>
      </c>
      <c r="F601" s="15" t="n">
        <v>619.1865717607729</v>
      </c>
      <c r="G601" s="15" t="n">
        <v>279.107722982764</v>
      </c>
      <c r="H601" s="15" t="n">
        <v>100.943598045643</v>
      </c>
      <c r="I601" s="16" t="n">
        <v>21.3958639860503</v>
      </c>
      <c r="J601" s="15" t="n">
        <v>31.9620548744892</v>
      </c>
      <c r="K601" s="15" t="n">
        <v>681.932077722757</v>
      </c>
      <c r="L601" s="15" t="n">
        <v>492.244024154853</v>
      </c>
      <c r="M601" s="15" t="n">
        <v>-20.4537841745657</v>
      </c>
      <c r="N601" s="17" t="n">
        <v>0.0475404727172851</v>
      </c>
      <c r="O601" s="18" t="n">
        <v>0.00697143810510303</v>
      </c>
    </row>
    <row r="602" ht="15" customHeight="1" s="12">
      <c r="A602" s="14" t="inlineStr">
        <is>
          <t>Jhelum Valley</t>
        </is>
      </c>
      <c r="B602" s="14" t="inlineStr">
        <is>
          <t>Azad Kashmir</t>
        </is>
      </c>
      <c r="C602" s="14" t="n">
        <v>2021</v>
      </c>
      <c r="D602" s="15" t="n">
        <v>580.529982099061</v>
      </c>
      <c r="E602" s="15" t="n">
        <v>3899.79552680663</v>
      </c>
      <c r="F602" s="15" t="n">
        <v>789.486298322678</v>
      </c>
      <c r="G602" s="15" t="n">
        <v>349.992930233479</v>
      </c>
      <c r="H602" s="15" t="n">
        <v>125.60382172033</v>
      </c>
      <c r="I602" s="16" t="n">
        <v>21.6360611154269</v>
      </c>
      <c r="J602" s="15" t="n">
        <v>25.5253940455342</v>
      </c>
      <c r="K602" s="15" t="n">
        <v>681.932077722757</v>
      </c>
      <c r="L602" s="15" t="n">
        <v>492.244024154853</v>
      </c>
      <c r="M602" s="15" t="n">
        <v>88.2859579442074</v>
      </c>
      <c r="N602" s="17" t="n">
        <v>0.0474936243049172</v>
      </c>
      <c r="O602" s="18" t="n">
        <v>0.00696456815222967</v>
      </c>
    </row>
    <row r="603" ht="15" customHeight="1" s="12">
      <c r="A603" s="14" t="inlineStr">
        <is>
          <t>Jhelum Valley</t>
        </is>
      </c>
      <c r="B603" s="14" t="inlineStr">
        <is>
          <t>Azad Kashmir</t>
        </is>
      </c>
      <c r="C603" s="14" t="n">
        <v>2022</v>
      </c>
      <c r="D603" s="15" t="n">
        <v>453.719069221322</v>
      </c>
      <c r="E603" s="15" t="n">
        <v>3047.92457088677</v>
      </c>
      <c r="F603" s="15" t="n">
        <v>599.895846128464</v>
      </c>
      <c r="G603" s="15" t="n">
        <v>258.685233473778</v>
      </c>
      <c r="H603" s="15" t="n">
        <v>96.8798896230264</v>
      </c>
      <c r="I603" s="16" t="n">
        <v>21.3523953906748</v>
      </c>
      <c r="J603" s="15" t="n">
        <v>34.2638645650905</v>
      </c>
      <c r="K603" s="15" t="n">
        <v>681.932077722757</v>
      </c>
      <c r="L603" s="15" t="n">
        <v>492.244024154853</v>
      </c>
      <c r="M603" s="15" t="n">
        <v>-38.5249549335308</v>
      </c>
      <c r="N603" s="17" t="n">
        <v>0.0460498110351562</v>
      </c>
      <c r="O603" s="18" t="n">
        <v>0.00675284424057816</v>
      </c>
    </row>
    <row r="604" ht="15" customHeight="1" s="12">
      <c r="A604" s="14" t="inlineStr">
        <is>
          <t>Jhelum Valley</t>
        </is>
      </c>
      <c r="B604" s="14" t="inlineStr">
        <is>
          <t>Azad Kashmir</t>
        </is>
      </c>
      <c r="C604" s="14" t="n">
        <v>2023</v>
      </c>
      <c r="D604" s="15" t="n">
        <v>553.363647781126</v>
      </c>
      <c r="E604" s="15" t="n">
        <v>3717.30168097674</v>
      </c>
      <c r="F604" s="15" t="n">
        <v>713.227638363838</v>
      </c>
      <c r="G604" s="15" t="n">
        <v>334.649811029434</v>
      </c>
      <c r="H604" s="15" t="n">
        <v>101.318455677135</v>
      </c>
      <c r="I604" s="16" t="n">
        <v>18.3095611870062</v>
      </c>
      <c r="J604" s="15" t="n">
        <v>27.466433158202</v>
      </c>
      <c r="K604" s="15" t="n">
        <v>681.932077722757</v>
      </c>
      <c r="L604" s="15" t="n">
        <v>492.244024154853</v>
      </c>
      <c r="M604" s="15" t="n">
        <v>61.1196236262723</v>
      </c>
      <c r="N604" s="17" t="n">
        <v>0.102496223083496</v>
      </c>
      <c r="O604" s="18" t="n">
        <v>0.0150302686193868</v>
      </c>
    </row>
    <row r="605" ht="15" customHeight="1" s="12">
      <c r="A605" s="14" t="inlineStr">
        <is>
          <t>Jhelum Valley</t>
        </is>
      </c>
      <c r="B605" s="14" t="inlineStr">
        <is>
          <t>Azad Kashmir</t>
        </is>
      </c>
      <c r="C605" s="14" t="n">
        <v>2024</v>
      </c>
      <c r="D605" s="15" t="n">
        <v>413.238551168259</v>
      </c>
      <c r="E605" s="15" t="n">
        <v>2775.99073784796</v>
      </c>
      <c r="F605" s="15" t="n">
        <v>543.39176222682</v>
      </c>
      <c r="G605" s="15" t="n">
        <v>250.661064386368</v>
      </c>
      <c r="H605" s="15" t="n">
        <v>82.7526787138053</v>
      </c>
      <c r="I605" s="16" t="n">
        <v>20.0254014248808</v>
      </c>
      <c r="J605" s="15" t="n">
        <v>30.8470519556334</v>
      </c>
      <c r="K605" s="15" t="n">
        <v>681.932077722757</v>
      </c>
      <c r="L605" s="15" t="n">
        <v>492.244024154853</v>
      </c>
      <c r="M605" s="15" t="n">
        <v>-79.0054729865937</v>
      </c>
      <c r="N605" s="17" t="n">
        <v>0.0304487280883789</v>
      </c>
      <c r="O605" s="18" t="n">
        <v>0.00446506757536019</v>
      </c>
    </row>
    <row r="606" ht="15" customHeight="1" s="12">
      <c r="A606" s="14" t="inlineStr">
        <is>
          <t>Jhelum Valley</t>
        </is>
      </c>
      <c r="B606" s="14" t="inlineStr">
        <is>
          <t>Azad Kashmir</t>
        </is>
      </c>
      <c r="C606" s="14" t="n">
        <v>2025</v>
      </c>
      <c r="D606" s="15" t="n">
        <v>654.508163574576</v>
      </c>
      <c r="E606" s="15" t="n">
        <v>4396.75484001274</v>
      </c>
      <c r="F606" s="15" t="n">
        <v>879.0036655664441</v>
      </c>
      <c r="G606" s="15" t="n">
        <v>398.338771045208</v>
      </c>
      <c r="H606" s="15" t="n">
        <v>135.537235814367</v>
      </c>
      <c r="I606" s="16" t="n">
        <v>20.7082574912641</v>
      </c>
      <c r="J606" s="15" t="n">
        <v>41.5242265032108</v>
      </c>
      <c r="K606" s="15" t="n">
        <v>681.932077722757</v>
      </c>
      <c r="L606" s="15" t="n">
        <v>492.244024154853</v>
      </c>
      <c r="M606" s="15" t="n">
        <v>162.264139419723</v>
      </c>
      <c r="N606" s="17" t="n">
        <v>0.0557064376220703</v>
      </c>
      <c r="O606" s="18" t="n">
        <v>0.00816891292283776</v>
      </c>
    </row>
    <row r="607" ht="15" customHeight="1" s="12">
      <c r="A607" s="14" t="inlineStr">
        <is>
          <t>Kachhi</t>
        </is>
      </c>
      <c r="B607" s="14" t="inlineStr">
        <is>
          <t>Balochistan</t>
        </is>
      </c>
      <c r="C607" s="14" t="n">
        <v>2015</v>
      </c>
      <c r="D607" s="15" t="n">
        <v>62.7052565963567</v>
      </c>
      <c r="E607" s="15" t="n">
        <v>3121.49226366334</v>
      </c>
      <c r="F607" s="15" t="n">
        <v>87.1817226409912</v>
      </c>
      <c r="G607" s="15" t="n">
        <v>30.2239409685135</v>
      </c>
      <c r="H607" s="15" t="n">
        <v>12.724788571899</v>
      </c>
      <c r="I607" s="16" t="n">
        <v>20.2930173044508</v>
      </c>
      <c r="J607" s="15" t="n">
        <v>10.7650858673389</v>
      </c>
      <c r="K607" s="15" t="n">
        <v>5370.68309929527</v>
      </c>
      <c r="L607" s="15" t="n">
        <v>94.4159718014964</v>
      </c>
      <c r="M607" s="15" t="n">
        <v>-31.7107152051397</v>
      </c>
      <c r="N607" s="17" t="n">
        <v>3.19448677633224</v>
      </c>
      <c r="O607" s="18" t="n">
        <v>0.0594800832086223</v>
      </c>
    </row>
    <row r="608" ht="15" customHeight="1" s="12">
      <c r="A608" s="14" t="inlineStr">
        <is>
          <t>Kachhi</t>
        </is>
      </c>
      <c r="B608" s="14" t="inlineStr">
        <is>
          <t>Balochistan</t>
        </is>
      </c>
      <c r="C608" s="14" t="n">
        <v>2016</v>
      </c>
      <c r="D608" s="15" t="n">
        <v>68.36288836701939</v>
      </c>
      <c r="E608" s="15" t="n">
        <v>3403.13139188605</v>
      </c>
      <c r="F608" s="15" t="n">
        <v>99.905898809433</v>
      </c>
      <c r="G608" s="15" t="n">
        <v>20.7457137107849</v>
      </c>
      <c r="H608" s="15" t="n">
        <v>17.7307924030362</v>
      </c>
      <c r="I608" s="16" t="n">
        <v>25.9362833060022</v>
      </c>
      <c r="J608" s="15" t="n">
        <v>11.7541358121947</v>
      </c>
      <c r="K608" s="15" t="n">
        <v>5370.68309929527</v>
      </c>
      <c r="L608" s="15" t="n">
        <v>94.4159718014964</v>
      </c>
      <c r="M608" s="15" t="n">
        <v>-26.0530834344771</v>
      </c>
      <c r="N608" s="17" t="n">
        <v>10.2117223225155</v>
      </c>
      <c r="O608" s="18" t="n">
        <v>0.190138240028638</v>
      </c>
    </row>
    <row r="609" ht="15" customHeight="1" s="12">
      <c r="A609" s="14" t="inlineStr">
        <is>
          <t>Kachhi</t>
        </is>
      </c>
      <c r="B609" s="14" t="inlineStr">
        <is>
          <t>Balochistan</t>
        </is>
      </c>
      <c r="C609" s="14" t="n">
        <v>2017</v>
      </c>
      <c r="D609" s="15" t="n">
        <v>63.2140004232054</v>
      </c>
      <c r="E609" s="15" t="n">
        <v>3146.81773087125</v>
      </c>
      <c r="F609" s="15" t="n">
        <v>89.4061914682388</v>
      </c>
      <c r="G609" s="15" t="n">
        <v>20.3450648486614</v>
      </c>
      <c r="H609" s="15" t="n">
        <v>17.269197532353</v>
      </c>
      <c r="I609" s="16" t="n">
        <v>27.3186278620861</v>
      </c>
      <c r="J609" s="15" t="n">
        <v>11.6859933827005</v>
      </c>
      <c r="K609" s="15" t="n">
        <v>5370.68309929527</v>
      </c>
      <c r="L609" s="15" t="n">
        <v>94.4159718014964</v>
      </c>
      <c r="M609" s="15" t="n">
        <v>-31.201971378291</v>
      </c>
      <c r="N609" s="17" t="n">
        <v>2.99814759717706</v>
      </c>
      <c r="O609" s="18" t="n">
        <v>0.0558243251695575</v>
      </c>
    </row>
    <row r="610" ht="15" customHeight="1" s="12">
      <c r="A610" s="14" t="inlineStr">
        <is>
          <t>Kachhi</t>
        </is>
      </c>
      <c r="B610" s="14" t="inlineStr">
        <is>
          <t>Balochistan</t>
        </is>
      </c>
      <c r="C610" s="14" t="n">
        <v>2018</v>
      </c>
      <c r="D610" s="15" t="n">
        <v>32.030781638608</v>
      </c>
      <c r="E610" s="15" t="n">
        <v>1594.50487106074</v>
      </c>
      <c r="F610" s="15" t="n">
        <v>41.4999154426623</v>
      </c>
      <c r="G610" s="15" t="n">
        <v>14.0439445786178</v>
      </c>
      <c r="H610" s="15" t="n">
        <v>7.07911298575344</v>
      </c>
      <c r="I610" s="16" t="n">
        <v>22.1009685796138</v>
      </c>
      <c r="J610" s="15" t="n">
        <v>7.04443043957775</v>
      </c>
      <c r="K610" s="15" t="n">
        <v>5370.68309929527</v>
      </c>
      <c r="L610" s="15" t="n">
        <v>94.4159718014964</v>
      </c>
      <c r="M610" s="15" t="n">
        <v>-62.3851901628884</v>
      </c>
      <c r="N610" s="17" t="n">
        <v>8.61276962006194</v>
      </c>
      <c r="O610" s="18" t="n">
        <v>0.160366371666802</v>
      </c>
    </row>
    <row r="611" ht="15" customHeight="1" s="12">
      <c r="A611" s="14" t="inlineStr">
        <is>
          <t>Kachhi</t>
        </is>
      </c>
      <c r="B611" s="14" t="inlineStr">
        <is>
          <t>Balochistan</t>
        </is>
      </c>
      <c r="C611" s="14" t="n">
        <v>2019</v>
      </c>
      <c r="D611" s="15" t="n">
        <v>63.9246640753731</v>
      </c>
      <c r="E611" s="15" t="n">
        <v>3182.19484616779</v>
      </c>
      <c r="F611" s="15" t="n">
        <v>84.5158894658089</v>
      </c>
      <c r="G611" s="15" t="n">
        <v>33.3151173517108</v>
      </c>
      <c r="H611" s="15" t="n">
        <v>11.4487518945384</v>
      </c>
      <c r="I611" s="16" t="n">
        <v>17.9097568366401</v>
      </c>
      <c r="J611" s="15" t="n">
        <v>11.8077044272885</v>
      </c>
      <c r="K611" s="15" t="n">
        <v>5370.68309929527</v>
      </c>
      <c r="L611" s="15" t="n">
        <v>94.4159718014964</v>
      </c>
      <c r="M611" s="15" t="n">
        <v>-30.4913077261233</v>
      </c>
      <c r="N611" s="17" t="n">
        <v>4.16030417072155</v>
      </c>
      <c r="O611" s="18" t="n">
        <v>0.07746322197389489</v>
      </c>
    </row>
    <row r="612" ht="15" customHeight="1" s="12">
      <c r="A612" s="14" t="inlineStr">
        <is>
          <t>Kachhi</t>
        </is>
      </c>
      <c r="B612" s="14" t="inlineStr">
        <is>
          <t>Balochistan</t>
        </is>
      </c>
      <c r="C612" s="14" t="n">
        <v>2020</v>
      </c>
      <c r="D612" s="15" t="n">
        <v>103.049890447957</v>
      </c>
      <c r="E612" s="15" t="n">
        <v>5129.86395822105</v>
      </c>
      <c r="F612" s="15" t="n">
        <v>148.646525892895</v>
      </c>
      <c r="G612" s="15" t="n">
        <v>36.657485868466</v>
      </c>
      <c r="H612" s="15" t="n">
        <v>24.3070167659872</v>
      </c>
      <c r="I612" s="16" t="n">
        <v>23.587620190885</v>
      </c>
      <c r="J612" s="15" t="n">
        <v>16.8786828422877</v>
      </c>
      <c r="K612" s="15" t="n">
        <v>5370.68309929527</v>
      </c>
      <c r="L612" s="15" t="n">
        <v>94.4159718014964</v>
      </c>
      <c r="M612" s="15" t="n">
        <v>8.633918646460771</v>
      </c>
      <c r="N612" s="17" t="n">
        <v>10.1276709767562</v>
      </c>
      <c r="O612" s="18" t="n">
        <v>0.188573237137844</v>
      </c>
    </row>
    <row r="613" ht="15" customHeight="1" s="12">
      <c r="A613" s="14" t="inlineStr">
        <is>
          <t>Kachhi</t>
        </is>
      </c>
      <c r="B613" s="14" t="inlineStr">
        <is>
          <t>Balochistan</t>
        </is>
      </c>
      <c r="C613" s="14" t="n">
        <v>2021</v>
      </c>
      <c r="D613" s="15" t="n">
        <v>67.06581648888179</v>
      </c>
      <c r="E613" s="15" t="n">
        <v>3338.56264513673</v>
      </c>
      <c r="F613" s="15" t="n">
        <v>88.90904313325881</v>
      </c>
      <c r="G613" s="15" t="n">
        <v>26.7109575271606</v>
      </c>
      <c r="H613" s="15" t="n">
        <v>14.0057936859423</v>
      </c>
      <c r="I613" s="16" t="n">
        <v>20.8836549216756</v>
      </c>
      <c r="J613" s="15" t="n">
        <v>11.4643138490626</v>
      </c>
      <c r="K613" s="15" t="n">
        <v>5370.68309929527</v>
      </c>
      <c r="L613" s="15" t="n">
        <v>94.4159718014964</v>
      </c>
      <c r="M613" s="15" t="n">
        <v>-27.3501553126146</v>
      </c>
      <c r="N613" s="17" t="n">
        <v>4.11735390196246</v>
      </c>
      <c r="O613" s="18" t="n">
        <v>0.07666350491807521</v>
      </c>
    </row>
    <row r="614" ht="15" customHeight="1" s="12">
      <c r="A614" s="14" t="inlineStr">
        <is>
          <t>Kachhi</t>
        </is>
      </c>
      <c r="B614" s="14" t="inlineStr">
        <is>
          <t>Balochistan</t>
        </is>
      </c>
      <c r="C614" s="14" t="n">
        <v>2022</v>
      </c>
      <c r="D614" s="15" t="n">
        <v>233.342586039719</v>
      </c>
      <c r="E614" s="15" t="n">
        <v>11615.8854399537</v>
      </c>
      <c r="F614" s="15" t="n">
        <v>307.61381983757</v>
      </c>
      <c r="G614" s="15" t="n">
        <v>142.109626978636</v>
      </c>
      <c r="H614" s="15" t="n">
        <v>38.6094877958514</v>
      </c>
      <c r="I614" s="16" t="n">
        <v>16.5462672078552</v>
      </c>
      <c r="J614" s="15" t="n">
        <v>32.9855837403498</v>
      </c>
      <c r="K614" s="15" t="n">
        <v>5370.68309929527</v>
      </c>
      <c r="L614" s="15" t="n">
        <v>94.4159718014964</v>
      </c>
      <c r="M614" s="15" t="n">
        <v>138.926614238223</v>
      </c>
      <c r="N614" s="17" t="n">
        <v>15.3320565371937</v>
      </c>
      <c r="O614" s="18" t="n">
        <v>0.285476842586478</v>
      </c>
    </row>
    <row r="615" ht="15" customHeight="1" s="12">
      <c r="A615" s="14" t="inlineStr">
        <is>
          <t>Kachhi</t>
        </is>
      </c>
      <c r="B615" s="14" t="inlineStr">
        <is>
          <t>Balochistan</t>
        </is>
      </c>
      <c r="C615" s="14" t="n">
        <v>2023</v>
      </c>
      <c r="D615" s="15" t="n">
        <v>85.1570423820488</v>
      </c>
      <c r="E615" s="15" t="n">
        <v>4239.15096469697</v>
      </c>
      <c r="F615" s="15" t="n">
        <v>141.395851492882</v>
      </c>
      <c r="G615" s="15" t="n">
        <v>36.2873492240906</v>
      </c>
      <c r="H615" s="15" t="n">
        <v>24.008898172353</v>
      </c>
      <c r="I615" s="16" t="n">
        <v>28.1936731252824</v>
      </c>
      <c r="J615" s="15" t="n">
        <v>13.6109973215693</v>
      </c>
      <c r="K615" s="15" t="n">
        <v>5370.68309929527</v>
      </c>
      <c r="L615" s="15" t="n">
        <v>94.4159718014964</v>
      </c>
      <c r="M615" s="15" t="n">
        <v>-9.25892941944762</v>
      </c>
      <c r="N615" s="17" t="n">
        <v>3.59884382823726</v>
      </c>
      <c r="O615" s="18" t="n">
        <v>0.0670090519529907</v>
      </c>
    </row>
    <row r="616" ht="15" customHeight="1" s="12">
      <c r="A616" s="14" t="inlineStr">
        <is>
          <t>Kachhi</t>
        </is>
      </c>
      <c r="B616" s="14" t="inlineStr">
        <is>
          <t>Balochistan</t>
        </is>
      </c>
      <c r="C616" s="14" t="n">
        <v>2024</v>
      </c>
      <c r="D616" s="15" t="n">
        <v>148.081708625144</v>
      </c>
      <c r="E616" s="15" t="n">
        <v>7371.56552661796</v>
      </c>
      <c r="F616" s="15" t="n">
        <v>197.138066709042</v>
      </c>
      <c r="G616" s="15" t="n">
        <v>72.733887524344</v>
      </c>
      <c r="H616" s="15" t="n">
        <v>31.1457840162604</v>
      </c>
      <c r="I616" s="16" t="n">
        <v>21.0328367395485</v>
      </c>
      <c r="J616" s="15" t="n">
        <v>24.4684102725697</v>
      </c>
      <c r="K616" s="15" t="n">
        <v>5370.68309929527</v>
      </c>
      <c r="L616" s="15" t="n">
        <v>94.4159718014964</v>
      </c>
      <c r="M616" s="15" t="n">
        <v>53.6657368236478</v>
      </c>
      <c r="N616" s="17" t="n">
        <v>4.8071629005905</v>
      </c>
      <c r="O616" s="18" t="n">
        <v>0.0895074762691041</v>
      </c>
    </row>
    <row r="617" ht="15" customHeight="1" s="12">
      <c r="A617" s="14" t="inlineStr">
        <is>
          <t>Kachhi</t>
        </is>
      </c>
      <c r="B617" s="14" t="inlineStr">
        <is>
          <t>Balochistan</t>
        </is>
      </c>
      <c r="C617" s="14" t="n">
        <v>2025</v>
      </c>
      <c r="D617" s="15" t="n">
        <v>111.641054732147</v>
      </c>
      <c r="E617" s="15" t="n">
        <v>5557.53548537206</v>
      </c>
      <c r="F617" s="15" t="n">
        <v>145.186476111412</v>
      </c>
      <c r="G617" s="15" t="n">
        <v>66.2618865531222</v>
      </c>
      <c r="H617" s="15" t="n">
        <v>18.1573891925615</v>
      </c>
      <c r="I617" s="16" t="n">
        <v>16.2640788696643</v>
      </c>
      <c r="J617" s="15" t="n">
        <v>12.401685835828</v>
      </c>
      <c r="K617" s="15" t="n">
        <v>5370.68309929527</v>
      </c>
      <c r="L617" s="15" t="n">
        <v>94.4159718014964</v>
      </c>
      <c r="M617" s="15" t="n">
        <v>17.2250829306507</v>
      </c>
      <c r="N617" s="17" t="n">
        <v>6.91186512571303</v>
      </c>
      <c r="O617" s="18" t="n">
        <v>0.12869620117076</v>
      </c>
    </row>
    <row r="618" ht="15" customHeight="1" s="12">
      <c r="A618" s="14" t="inlineStr">
        <is>
          <t>Kalat</t>
        </is>
      </c>
      <c r="B618" s="14" t="inlineStr">
        <is>
          <t>Balochistan</t>
        </is>
      </c>
      <c r="C618" s="14" t="n">
        <v>2015</v>
      </c>
      <c r="D618" s="15" t="n">
        <v>29.1709333472271</v>
      </c>
      <c r="E618" s="15" t="n">
        <v>2752.02017072252</v>
      </c>
      <c r="F618" s="15" t="n">
        <v>75.4205029010773</v>
      </c>
      <c r="G618" s="15" t="n">
        <v>4.06307458877564</v>
      </c>
      <c r="H618" s="15" t="n">
        <v>21.3706678972747</v>
      </c>
      <c r="I618" s="16" t="n">
        <v>73.26014441463209</v>
      </c>
      <c r="J618" s="15" t="n">
        <v>5.02269609677017</v>
      </c>
      <c r="K618" s="15" t="n">
        <v>10193.1244631239</v>
      </c>
      <c r="L618" s="15" t="n">
        <v>53.8620249215827</v>
      </c>
      <c r="M618" s="15" t="n">
        <v>-24.6910915743555</v>
      </c>
      <c r="N618" s="17" t="n">
        <v>0.191953276855469</v>
      </c>
      <c r="O618" s="18" t="n">
        <v>0.00188316425988819</v>
      </c>
    </row>
    <row r="619" ht="15" customHeight="1" s="12">
      <c r="A619" s="14" t="inlineStr">
        <is>
          <t>Kalat</t>
        </is>
      </c>
      <c r="B619" s="14" t="inlineStr">
        <is>
          <t>Balochistan</t>
        </is>
      </c>
      <c r="C619" s="14" t="n">
        <v>2016</v>
      </c>
      <c r="D619" s="15" t="n">
        <v>29.6613953751326</v>
      </c>
      <c r="E619" s="15" t="n">
        <v>2798.29093544927</v>
      </c>
      <c r="F619" s="15" t="n">
        <v>81.8876624107361</v>
      </c>
      <c r="G619" s="15" t="n">
        <v>1.8820258975029</v>
      </c>
      <c r="H619" s="15" t="n">
        <v>21.4700841381995</v>
      </c>
      <c r="I619" s="16" t="n">
        <v>72.38393159412711</v>
      </c>
      <c r="J619" s="15" t="n">
        <v>7.29563120921145</v>
      </c>
      <c r="K619" s="15" t="n">
        <v>10193.1244631239</v>
      </c>
      <c r="L619" s="15" t="n">
        <v>53.8620249215827</v>
      </c>
      <c r="M619" s="15" t="n">
        <v>-24.2006295464501</v>
      </c>
      <c r="N619" s="17" t="n">
        <v>0.0973429647216796</v>
      </c>
      <c r="O619" s="18" t="n">
        <v>0.000954986521295229</v>
      </c>
    </row>
    <row r="620" ht="15" customHeight="1" s="12">
      <c r="A620" s="14" t="inlineStr">
        <is>
          <t>Kalat</t>
        </is>
      </c>
      <c r="B620" s="14" t="inlineStr">
        <is>
          <t>Balochistan</t>
        </is>
      </c>
      <c r="C620" s="14" t="n">
        <v>2017</v>
      </c>
      <c r="D620" s="15" t="n">
        <v>31.6037576185595</v>
      </c>
      <c r="E620" s="15" t="n">
        <v>2981.53567462622</v>
      </c>
      <c r="F620" s="15" t="n">
        <v>85.59664881229401</v>
      </c>
      <c r="G620" s="15" t="n">
        <v>3.90432208776474</v>
      </c>
      <c r="H620" s="15" t="n">
        <v>23.2629796588013</v>
      </c>
      <c r="I620" s="16" t="n">
        <v>73.6082713314445</v>
      </c>
      <c r="J620" s="15" t="n">
        <v>7.10807665128653</v>
      </c>
      <c r="K620" s="15" t="n">
        <v>10193.1244631239</v>
      </c>
      <c r="L620" s="15" t="n">
        <v>53.8620249215827</v>
      </c>
      <c r="M620" s="15" t="n">
        <v>-22.2582673030232</v>
      </c>
      <c r="N620" s="17" t="n">
        <v>0.0266763424682617</v>
      </c>
      <c r="O620" s="18" t="n">
        <v>0.000261709180190725</v>
      </c>
    </row>
    <row r="621" ht="15" customHeight="1" s="12">
      <c r="A621" s="14" t="inlineStr">
        <is>
          <t>Kalat</t>
        </is>
      </c>
      <c r="B621" s="14" t="inlineStr">
        <is>
          <t>Balochistan</t>
        </is>
      </c>
      <c r="C621" s="14" t="n">
        <v>2018</v>
      </c>
      <c r="D621" s="15" t="n">
        <v>15.4969867338552</v>
      </c>
      <c r="E621" s="15" t="n">
        <v>1462.003960221</v>
      </c>
      <c r="F621" s="15" t="n">
        <v>41.3565706983209</v>
      </c>
      <c r="G621" s="15" t="n">
        <v>0.753198963338946</v>
      </c>
      <c r="H621" s="15" t="n">
        <v>11.9254908237427</v>
      </c>
      <c r="I621" s="16" t="n">
        <v>76.95361058604939</v>
      </c>
      <c r="J621" s="15" t="n">
        <v>4.2533566113813</v>
      </c>
      <c r="K621" s="15" t="n">
        <v>10193.1244631239</v>
      </c>
      <c r="L621" s="15" t="n">
        <v>53.8620249215827</v>
      </c>
      <c r="M621" s="15" t="n">
        <v>-38.3650381877275</v>
      </c>
      <c r="N621" s="17" t="n">
        <v>0.0211926751708984</v>
      </c>
      <c r="O621" s="18" t="n">
        <v>0.000207911472557488</v>
      </c>
    </row>
    <row r="622" ht="15" customHeight="1" s="12">
      <c r="A622" s="14" t="inlineStr">
        <is>
          <t>Kalat</t>
        </is>
      </c>
      <c r="B622" s="14" t="inlineStr">
        <is>
          <t>Balochistan</t>
        </is>
      </c>
      <c r="C622" s="14" t="n">
        <v>2019</v>
      </c>
      <c r="D622" s="15" t="n">
        <v>40.7311917741414</v>
      </c>
      <c r="E622" s="15" t="n">
        <v>3842.62855102165</v>
      </c>
      <c r="F622" s="15" t="n">
        <v>86.23213088512421</v>
      </c>
      <c r="G622" s="15" t="n">
        <v>3.02826257795095</v>
      </c>
      <c r="H622" s="15" t="n">
        <v>23.198802250947</v>
      </c>
      <c r="I622" s="16" t="n">
        <v>56.9558641435947</v>
      </c>
      <c r="J622" s="15" t="n">
        <v>9.19075528952072</v>
      </c>
      <c r="K622" s="15" t="n">
        <v>10193.1244631239</v>
      </c>
      <c r="L622" s="15" t="n">
        <v>53.8620249215827</v>
      </c>
      <c r="M622" s="15" t="n">
        <v>-13.1308331474413</v>
      </c>
      <c r="N622" s="17" t="n">
        <v>0.138053273053338</v>
      </c>
      <c r="O622" s="18" t="n">
        <v>0.00135437640885068</v>
      </c>
    </row>
    <row r="623" ht="15" customHeight="1" s="12">
      <c r="A623" s="14" t="inlineStr">
        <is>
          <t>Kalat</t>
        </is>
      </c>
      <c r="B623" s="14" t="inlineStr">
        <is>
          <t>Balochistan</t>
        </is>
      </c>
      <c r="C623" s="14" t="n">
        <v>2020</v>
      </c>
      <c r="D623" s="15" t="n">
        <v>52.8578102294285</v>
      </c>
      <c r="E623" s="15" t="n">
        <v>4986.66800270338</v>
      </c>
      <c r="F623" s="15" t="n">
        <v>123.225248336792</v>
      </c>
      <c r="G623" s="15" t="n">
        <v>10.6931458637118</v>
      </c>
      <c r="H623" s="15" t="n">
        <v>30.6329104691885</v>
      </c>
      <c r="I623" s="16" t="n">
        <v>57.9534232239793</v>
      </c>
      <c r="J623" s="15" t="n">
        <v>8.771958265785431</v>
      </c>
      <c r="K623" s="15" t="n">
        <v>10193.1244631239</v>
      </c>
      <c r="L623" s="15" t="n">
        <v>53.8620249215827</v>
      </c>
      <c r="M623" s="15" t="n">
        <v>-1.0042146921542</v>
      </c>
      <c r="N623" s="17" t="n">
        <v>0.209245173217773</v>
      </c>
      <c r="O623" s="18" t="n">
        <v>0.00205280700706412</v>
      </c>
    </row>
    <row r="624" ht="15" customHeight="1" s="12">
      <c r="A624" s="14" t="inlineStr">
        <is>
          <t>Kalat</t>
        </is>
      </c>
      <c r="B624" s="14" t="inlineStr">
        <is>
          <t>Balochistan</t>
        </is>
      </c>
      <c r="C624" s="14" t="n">
        <v>2021</v>
      </c>
      <c r="D624" s="15" t="n">
        <v>40.6592438813419</v>
      </c>
      <c r="E624" s="15" t="n">
        <v>3835.84090217036</v>
      </c>
      <c r="F624" s="15" t="n">
        <v>75.53997445106511</v>
      </c>
      <c r="G624" s="15" t="n">
        <v>11.4926939606667</v>
      </c>
      <c r="H624" s="15" t="n">
        <v>17.3237898614781</v>
      </c>
      <c r="I624" s="16" t="n">
        <v>42.6072602629676</v>
      </c>
      <c r="J624" s="15" t="n">
        <v>6.34339277549154</v>
      </c>
      <c r="K624" s="15" t="n">
        <v>10193.1244631239</v>
      </c>
      <c r="L624" s="15" t="n">
        <v>53.8620249215827</v>
      </c>
      <c r="M624" s="15" t="n">
        <v>-13.2027810402407</v>
      </c>
      <c r="N624" s="17" t="n">
        <v>0.0877964818115234</v>
      </c>
      <c r="O624" s="18" t="n">
        <v>0.000861330420609978</v>
      </c>
    </row>
    <row r="625" ht="15" customHeight="1" s="12">
      <c r="A625" s="14" t="inlineStr">
        <is>
          <t>Kalat</t>
        </is>
      </c>
      <c r="B625" s="14" t="inlineStr">
        <is>
          <t>Balochistan</t>
        </is>
      </c>
      <c r="C625" s="14" t="n">
        <v>2022</v>
      </c>
      <c r="D625" s="15" t="n">
        <v>148.593020982131</v>
      </c>
      <c r="E625" s="15" t="n">
        <v>14018.4404147731</v>
      </c>
      <c r="F625" s="15" t="n">
        <v>285.880050253123</v>
      </c>
      <c r="G625" s="15" t="n">
        <v>36.2735334895551</v>
      </c>
      <c r="H625" s="15" t="n">
        <v>68.96714411430931</v>
      </c>
      <c r="I625" s="16" t="n">
        <v>46.413447723499</v>
      </c>
      <c r="J625" s="15" t="n">
        <v>23.2275013509582</v>
      </c>
      <c r="K625" s="15" t="n">
        <v>10193.1244631239</v>
      </c>
      <c r="L625" s="15" t="n">
        <v>53.8620249215827</v>
      </c>
      <c r="M625" s="15" t="n">
        <v>94.73099606054861</v>
      </c>
      <c r="N625" s="17" t="n">
        <v>0.552687517944336</v>
      </c>
      <c r="O625" s="18" t="n">
        <v>0.00542216000544111</v>
      </c>
    </row>
    <row r="626" ht="15" customHeight="1" s="12">
      <c r="A626" s="14" t="inlineStr">
        <is>
          <t>Kalat</t>
        </is>
      </c>
      <c r="B626" s="14" t="inlineStr">
        <is>
          <t>Balochistan</t>
        </is>
      </c>
      <c r="C626" s="14" t="n">
        <v>2023</v>
      </c>
      <c r="D626" s="15" t="n">
        <v>54.8472504309225</v>
      </c>
      <c r="E626" s="15" t="n">
        <v>5174.35413183021</v>
      </c>
      <c r="F626" s="15" t="n">
        <v>124.217884659767</v>
      </c>
      <c r="G626" s="15" t="n">
        <v>12.543500483036</v>
      </c>
      <c r="H626" s="15" t="n">
        <v>29.7776461571524</v>
      </c>
      <c r="I626" s="16" t="n">
        <v>54.2919579800193</v>
      </c>
      <c r="J626" s="15" t="n">
        <v>9.52404705491125</v>
      </c>
      <c r="K626" s="15" t="n">
        <v>10193.1244631239</v>
      </c>
      <c r="L626" s="15" t="n">
        <v>53.8620249215827</v>
      </c>
      <c r="M626" s="15" t="n">
        <v>0.985225509339827</v>
      </c>
      <c r="N626" s="17" t="n">
        <v>0.105044843078613</v>
      </c>
      <c r="O626" s="18" t="n">
        <v>0.00103054606522896</v>
      </c>
    </row>
    <row r="627" ht="15" customHeight="1" s="12">
      <c r="A627" s="14" t="inlineStr">
        <is>
          <t>Kalat</t>
        </is>
      </c>
      <c r="B627" s="14" t="inlineStr">
        <is>
          <t>Balochistan</t>
        </is>
      </c>
      <c r="C627" s="14" t="n">
        <v>2024</v>
      </c>
      <c r="D627" s="15" t="n">
        <v>84.2137995336536</v>
      </c>
      <c r="E627" s="15" t="n">
        <v>7944.82892306316</v>
      </c>
      <c r="F627" s="15" t="n">
        <v>179.228330362588</v>
      </c>
      <c r="G627" s="15" t="n">
        <v>19.0702414005689</v>
      </c>
      <c r="H627" s="15" t="n">
        <v>41.398686790937</v>
      </c>
      <c r="I627" s="16" t="n">
        <v>49.159029779191</v>
      </c>
      <c r="J627" s="15" t="n">
        <v>19.364758698092</v>
      </c>
      <c r="K627" s="15" t="n">
        <v>10193.1244631239</v>
      </c>
      <c r="L627" s="15" t="n">
        <v>53.8620249215827</v>
      </c>
      <c r="M627" s="15" t="n">
        <v>30.3517746120709</v>
      </c>
      <c r="N627" s="17" t="n">
        <v>0.325511680114746</v>
      </c>
      <c r="O627" s="18" t="n">
        <v>0.00319344359320211</v>
      </c>
    </row>
    <row r="628" ht="15" customHeight="1" s="12">
      <c r="A628" s="14" t="inlineStr">
        <is>
          <t>Kalat</t>
        </is>
      </c>
      <c r="B628" s="14" t="inlineStr">
        <is>
          <t>Balochistan</t>
        </is>
      </c>
      <c r="C628" s="14" t="n">
        <v>2025</v>
      </c>
      <c r="D628" s="15" t="n">
        <v>64.6468842310159</v>
      </c>
      <c r="E628" s="15" t="n">
        <v>6098.86311351196</v>
      </c>
      <c r="F628" s="15" t="n">
        <v>134.039735376835</v>
      </c>
      <c r="G628" s="15" t="n">
        <v>18.9356140155887</v>
      </c>
      <c r="H628" s="15" t="n">
        <v>31.9383543990737</v>
      </c>
      <c r="I628" s="16" t="n">
        <v>49.4043213048627</v>
      </c>
      <c r="J628" s="15" t="n">
        <v>10.6899862825789</v>
      </c>
      <c r="K628" s="15" t="n">
        <v>10193.1244631239</v>
      </c>
      <c r="L628" s="15" t="n">
        <v>53.8620249215827</v>
      </c>
      <c r="M628" s="15" t="n">
        <v>10.7848593094332</v>
      </c>
      <c r="N628" s="17" t="n">
        <v>0.190383663818359</v>
      </c>
      <c r="O628" s="18" t="n">
        <v>0.00186776551691406</v>
      </c>
    </row>
    <row r="629" ht="15" customHeight="1" s="12">
      <c r="A629" s="14" t="inlineStr">
        <is>
          <t>Kambar Shahdad Kot</t>
        </is>
      </c>
      <c r="B629" s="14" t="inlineStr">
        <is>
          <t>Sindh</t>
        </is>
      </c>
      <c r="C629" s="14" t="n">
        <v>2015</v>
      </c>
      <c r="D629" s="15" t="n">
        <v>47.7573141326652</v>
      </c>
      <c r="E629" s="15" t="n">
        <v>2447.23460302563</v>
      </c>
      <c r="F629" s="15" t="n">
        <v>80.47371733188631</v>
      </c>
      <c r="G629" s="15" t="n">
        <v>36.0717194080353</v>
      </c>
      <c r="H629" s="15" t="n">
        <v>10.9530826129839</v>
      </c>
      <c r="I629" s="16" t="n">
        <v>22.934879843865</v>
      </c>
      <c r="J629" s="15" t="n">
        <v>8.934185352414479</v>
      </c>
      <c r="K629" s="15" t="n">
        <v>5606.14277971625</v>
      </c>
      <c r="L629" s="15" t="n">
        <v>80.0121513449121</v>
      </c>
      <c r="M629" s="15" t="n">
        <v>-32.2548372122469</v>
      </c>
      <c r="N629" s="17" t="n">
        <v>101.097458242705</v>
      </c>
      <c r="O629" s="18" t="n">
        <v>1.80333363268037</v>
      </c>
    </row>
    <row r="630" ht="15" customHeight="1" s="12">
      <c r="A630" s="14" t="inlineStr">
        <is>
          <t>Kambar Shahdad Kot</t>
        </is>
      </c>
      <c r="B630" s="14" t="inlineStr">
        <is>
          <t>Sindh</t>
        </is>
      </c>
      <c r="C630" s="14" t="n">
        <v>2016</v>
      </c>
      <c r="D630" s="15" t="n">
        <v>73.04802970319849</v>
      </c>
      <c r="E630" s="15" t="n">
        <v>3743.21021228116</v>
      </c>
      <c r="F630" s="15" t="n">
        <v>113.548841714859</v>
      </c>
      <c r="G630" s="15" t="n">
        <v>51.1914918124676</v>
      </c>
      <c r="H630" s="15" t="n">
        <v>14.1686589736099</v>
      </c>
      <c r="I630" s="16" t="n">
        <v>19.3963602183092</v>
      </c>
      <c r="J630" s="15" t="n">
        <v>14.3094819009719</v>
      </c>
      <c r="K630" s="15" t="n">
        <v>5606.14277971625</v>
      </c>
      <c r="L630" s="15" t="n">
        <v>80.0121513449121</v>
      </c>
      <c r="M630" s="15" t="n">
        <v>-6.96412164171363</v>
      </c>
      <c r="N630" s="17" t="n">
        <v>60.7173254333573</v>
      </c>
      <c r="O630" s="18" t="n">
        <v>1.08304992967786</v>
      </c>
    </row>
    <row r="631" ht="15" customHeight="1" s="12">
      <c r="A631" s="14" t="inlineStr">
        <is>
          <t>Kambar Shahdad Kot</t>
        </is>
      </c>
      <c r="B631" s="14" t="inlineStr">
        <is>
          <t>Sindh</t>
        </is>
      </c>
      <c r="C631" s="14" t="n">
        <v>2017</v>
      </c>
      <c r="D631" s="15" t="n">
        <v>58.8192361926256</v>
      </c>
      <c r="E631" s="15" t="n">
        <v>3014.08219344721</v>
      </c>
      <c r="F631" s="15" t="n">
        <v>88.0130911171436</v>
      </c>
      <c r="G631" s="15" t="n">
        <v>44.028666138649</v>
      </c>
      <c r="H631" s="15" t="n">
        <v>10.728259918644</v>
      </c>
      <c r="I631" s="16" t="n">
        <v>18.2393730573281</v>
      </c>
      <c r="J631" s="15" t="n">
        <v>13.4553455268998</v>
      </c>
      <c r="K631" s="15" t="n">
        <v>5606.14277971625</v>
      </c>
      <c r="L631" s="15" t="n">
        <v>80.0121513449121</v>
      </c>
      <c r="M631" s="15" t="n">
        <v>-21.1929151522865</v>
      </c>
      <c r="N631" s="17" t="n">
        <v>46.4494427360423</v>
      </c>
      <c r="O631" s="18" t="n">
        <v>0.828545482360927</v>
      </c>
    </row>
    <row r="632" ht="15" customHeight="1" s="12">
      <c r="A632" s="14" t="inlineStr">
        <is>
          <t>Kambar Shahdad Kot</t>
        </is>
      </c>
      <c r="B632" s="14" t="inlineStr">
        <is>
          <t>Sindh</t>
        </is>
      </c>
      <c r="C632" s="14" t="n">
        <v>2018</v>
      </c>
      <c r="D632" s="15" t="n">
        <v>20.4224506748283</v>
      </c>
      <c r="E632" s="15" t="n">
        <v>1046.51044301169</v>
      </c>
      <c r="F632" s="15" t="n">
        <v>27.0110407089815</v>
      </c>
      <c r="G632" s="15" t="n">
        <v>16.854594637909</v>
      </c>
      <c r="H632" s="15" t="n">
        <v>2.30912914065109</v>
      </c>
      <c r="I632" s="16" t="n">
        <v>11.306817078017</v>
      </c>
      <c r="J632" s="15" t="n">
        <v>5.36014387388077</v>
      </c>
      <c r="K632" s="15" t="n">
        <v>5606.14277971625</v>
      </c>
      <c r="L632" s="15" t="n">
        <v>80.0121513449121</v>
      </c>
      <c r="M632" s="15" t="n">
        <v>-59.5897006700838</v>
      </c>
      <c r="N632" s="17" t="n">
        <v>46.1844727129763</v>
      </c>
      <c r="O632" s="18" t="n">
        <v>0.823819059337512</v>
      </c>
    </row>
    <row r="633" ht="15" customHeight="1" s="12">
      <c r="A633" s="14" t="inlineStr">
        <is>
          <t>Kambar Shahdad Kot</t>
        </is>
      </c>
      <c r="B633" s="14" t="inlineStr">
        <is>
          <t>Sindh</t>
        </is>
      </c>
      <c r="C633" s="14" t="n">
        <v>2019</v>
      </c>
      <c r="D633" s="15" t="n">
        <v>76.6454382794726</v>
      </c>
      <c r="E633" s="15" t="n">
        <v>3927.55271371713</v>
      </c>
      <c r="F633" s="15" t="n">
        <v>129.659206986427</v>
      </c>
      <c r="G633" s="15" t="n">
        <v>53.8367122113705</v>
      </c>
      <c r="H633" s="15" t="n">
        <v>18.9519798340607</v>
      </c>
      <c r="I633" s="16" t="n">
        <v>24.7268203555129</v>
      </c>
      <c r="J633" s="15" t="n">
        <v>15.4095813882299</v>
      </c>
      <c r="K633" s="15" t="n">
        <v>5606.14277971625</v>
      </c>
      <c r="L633" s="15" t="n">
        <v>80.0121513449121</v>
      </c>
      <c r="M633" s="15" t="n">
        <v>-3.36671306543957</v>
      </c>
      <c r="N633" s="17" t="n">
        <v>57.0806866133877</v>
      </c>
      <c r="O633" s="18" t="n">
        <v>1.01818110697988</v>
      </c>
    </row>
    <row r="634" ht="15" customHeight="1" s="12">
      <c r="A634" s="14" t="inlineStr">
        <is>
          <t>Kambar Shahdad Kot</t>
        </is>
      </c>
      <c r="B634" s="14" t="inlineStr">
        <is>
          <t>Sindh</t>
        </is>
      </c>
      <c r="C634" s="14" t="n">
        <v>2020</v>
      </c>
      <c r="D634" s="15" t="n">
        <v>83.4623202623021</v>
      </c>
      <c r="E634" s="15" t="n">
        <v>4276.87113281373</v>
      </c>
      <c r="F634" s="15" t="n">
        <v>124.850131067495</v>
      </c>
      <c r="G634" s="15" t="n">
        <v>65.7128579521377</v>
      </c>
      <c r="H634" s="15" t="n">
        <v>15.4324571843385</v>
      </c>
      <c r="I634" s="16" t="n">
        <v>18.490328492951</v>
      </c>
      <c r="J634" s="15" t="n">
        <v>17.7482972373154</v>
      </c>
      <c r="K634" s="15" t="n">
        <v>5606.14277971625</v>
      </c>
      <c r="L634" s="15" t="n">
        <v>80.0121513449121</v>
      </c>
      <c r="M634" s="15" t="n">
        <v>3.45016891738997</v>
      </c>
      <c r="N634" s="17" t="n">
        <v>109.579724058342</v>
      </c>
      <c r="O634" s="18" t="n">
        <v>1.95463669699629</v>
      </c>
    </row>
    <row r="635" ht="15" customHeight="1" s="12">
      <c r="A635" s="14" t="inlineStr">
        <is>
          <t>Kambar Shahdad Kot</t>
        </is>
      </c>
      <c r="B635" s="14" t="inlineStr">
        <is>
          <t>Sindh</t>
        </is>
      </c>
      <c r="C635" s="14" t="n">
        <v>2021</v>
      </c>
      <c r="D635" s="15" t="n">
        <v>62.0744259962485</v>
      </c>
      <c r="E635" s="15" t="n">
        <v>3180.88833134502</v>
      </c>
      <c r="F635" s="15" t="n">
        <v>86.5616050958633</v>
      </c>
      <c r="G635" s="15" t="n">
        <v>49.3159117698669</v>
      </c>
      <c r="H635" s="15" t="n">
        <v>7.89040627982167</v>
      </c>
      <c r="I635" s="16" t="n">
        <v>12.7112029683505</v>
      </c>
      <c r="J635" s="15" t="n">
        <v>10.9465064666718</v>
      </c>
      <c r="K635" s="15" t="n">
        <v>5606.14277971625</v>
      </c>
      <c r="L635" s="15" t="n">
        <v>80.0121513449121</v>
      </c>
      <c r="M635" s="15" t="n">
        <v>-17.9377253486636</v>
      </c>
      <c r="N635" s="17" t="n">
        <v>55.6290855838747</v>
      </c>
      <c r="O635" s="18" t="n">
        <v>0.9922880627505219</v>
      </c>
    </row>
    <row r="636" ht="15" customHeight="1" s="12">
      <c r="A636" s="14" t="inlineStr">
        <is>
          <t>Kambar Shahdad Kot</t>
        </is>
      </c>
      <c r="B636" s="14" t="inlineStr">
        <is>
          <t>Sindh</t>
        </is>
      </c>
      <c r="C636" s="14" t="n">
        <v>2022</v>
      </c>
      <c r="D636" s="15" t="n">
        <v>199.648835932766</v>
      </c>
      <c r="E636" s="15" t="n">
        <v>10230.6327024842</v>
      </c>
      <c r="F636" s="15" t="n">
        <v>294.18891920615</v>
      </c>
      <c r="G636" s="15" t="n">
        <v>150.78566595912</v>
      </c>
      <c r="H636" s="15" t="n">
        <v>37.6774287642141</v>
      </c>
      <c r="I636" s="16" t="n">
        <v>18.871849960048</v>
      </c>
      <c r="J636" s="15" t="n">
        <v>36.1481594857274</v>
      </c>
      <c r="K636" s="15" t="n">
        <v>5606.14277971625</v>
      </c>
      <c r="L636" s="15" t="n">
        <v>80.0121513449121</v>
      </c>
      <c r="M636" s="15" t="n">
        <v>119.636684587854</v>
      </c>
      <c r="N636" s="17" t="n">
        <v>278.704911438713</v>
      </c>
      <c r="O636" s="18" t="n">
        <v>4.97142014375915</v>
      </c>
    </row>
    <row r="637" ht="15" customHeight="1" s="12">
      <c r="A637" s="14" t="inlineStr">
        <is>
          <t>Kambar Shahdad Kot</t>
        </is>
      </c>
      <c r="B637" s="14" t="inlineStr">
        <is>
          <t>Sindh</t>
        </is>
      </c>
      <c r="C637" s="14" t="n">
        <v>2023</v>
      </c>
      <c r="D637" s="15" t="n">
        <v>83.9859004462663</v>
      </c>
      <c r="E637" s="15" t="n">
        <v>4303.70102404455</v>
      </c>
      <c r="F637" s="15" t="n">
        <v>134.597580313683</v>
      </c>
      <c r="G637" s="15" t="n">
        <v>60.7988643050194</v>
      </c>
      <c r="H637" s="15" t="n">
        <v>17.5998439822902</v>
      </c>
      <c r="I637" s="16" t="n">
        <v>20.9557126717365</v>
      </c>
      <c r="J637" s="15" t="n">
        <v>16.572970077294</v>
      </c>
      <c r="K637" s="15" t="n">
        <v>5606.14277971625</v>
      </c>
      <c r="L637" s="15" t="n">
        <v>80.0121513449121</v>
      </c>
      <c r="M637" s="15" t="n">
        <v>3.97374910135413</v>
      </c>
      <c r="N637" s="17" t="n">
        <v>46.5881435946286</v>
      </c>
      <c r="O637" s="18" t="n">
        <v>0.83101956951918</v>
      </c>
    </row>
    <row r="638" ht="15" customHeight="1" s="12">
      <c r="A638" s="14" t="inlineStr">
        <is>
          <t>Kambar Shahdad Kot</t>
        </is>
      </c>
      <c r="B638" s="14" t="inlineStr">
        <is>
          <t>Sindh</t>
        </is>
      </c>
      <c r="C638" s="14" t="n">
        <v>2024</v>
      </c>
      <c r="D638" s="15" t="n">
        <v>96.2614759646782</v>
      </c>
      <c r="E638" s="15" t="n">
        <v>4932.74002521745</v>
      </c>
      <c r="F638" s="15" t="n">
        <v>172.499195124954</v>
      </c>
      <c r="G638" s="15" t="n">
        <v>75.8873632866889</v>
      </c>
      <c r="H638" s="15" t="n">
        <v>25.3088995906419</v>
      </c>
      <c r="I638" s="16" t="n">
        <v>26.2918258181795</v>
      </c>
      <c r="J638" s="15" t="n">
        <v>23.7261804545802</v>
      </c>
      <c r="K638" s="15" t="n">
        <v>5606.14277971625</v>
      </c>
      <c r="L638" s="15" t="n">
        <v>80.0121513449121</v>
      </c>
      <c r="M638" s="15" t="n">
        <v>16.249324619766</v>
      </c>
      <c r="N638" s="17" t="n">
        <v>150.051714045918</v>
      </c>
      <c r="O638" s="18" t="n">
        <v>2.67655890943099</v>
      </c>
    </row>
    <row r="639" ht="15" customHeight="1" s="12">
      <c r="A639" s="14" t="inlineStr">
        <is>
          <t>Kambar Shahdad Kot</t>
        </is>
      </c>
      <c r="B639" s="14" t="inlineStr">
        <is>
          <t>Sindh</t>
        </is>
      </c>
      <c r="C639" s="14" t="n">
        <v>2025</v>
      </c>
      <c r="D639" s="15" t="n">
        <v>78.0082372089818</v>
      </c>
      <c r="E639" s="15" t="n">
        <v>3997.38680631281</v>
      </c>
      <c r="F639" s="15" t="n">
        <v>119.12317086164</v>
      </c>
      <c r="G639" s="15" t="n">
        <v>59.5483431243738</v>
      </c>
      <c r="H639" s="15" t="n">
        <v>17.7090722428973</v>
      </c>
      <c r="I639" s="16" t="n">
        <v>22.7015413711442</v>
      </c>
      <c r="J639" s="15" t="n">
        <v>15.481900971914</v>
      </c>
      <c r="K639" s="15" t="n">
        <v>5606.14277971625</v>
      </c>
      <c r="L639" s="15" t="n">
        <v>80.0121513449121</v>
      </c>
      <c r="M639" s="15" t="n">
        <v>-2.00391413593033</v>
      </c>
      <c r="N639" s="17" t="n">
        <v>54.5378891445809</v>
      </c>
      <c r="O639" s="18" t="n">
        <v>0.972823762924947</v>
      </c>
    </row>
    <row r="640" ht="15" customHeight="1" s="12">
      <c r="A640" s="14" t="inlineStr">
        <is>
          <t>Karak</t>
        </is>
      </c>
      <c r="B640" s="14" t="inlineStr">
        <is>
          <t>Khyber Pakhtunkhwa</t>
        </is>
      </c>
      <c r="C640" s="14" t="n">
        <v>2015</v>
      </c>
      <c r="D640" s="15" t="n">
        <v>444.273252690381</v>
      </c>
      <c r="E640" s="15" t="n">
        <v>11375.1375169235</v>
      </c>
      <c r="F640" s="15" t="n">
        <v>519.158747434616</v>
      </c>
      <c r="G640" s="15" t="n">
        <v>306.969345808029</v>
      </c>
      <c r="H640" s="15" t="n">
        <v>61.9849415819741</v>
      </c>
      <c r="I640" s="16" t="n">
        <v>13.9519859020575</v>
      </c>
      <c r="J640" s="15" t="n">
        <v>25.9117782202481</v>
      </c>
      <c r="K640" s="15" t="n">
        <v>2649.644828103</v>
      </c>
      <c r="L640" s="15" t="n">
        <v>392.657489118842</v>
      </c>
      <c r="M640" s="15" t="n">
        <v>51.6157635715388</v>
      </c>
      <c r="N640" s="17" t="n">
        <v>0.294645698118681</v>
      </c>
      <c r="O640" s="18" t="n">
        <v>0.0111201959973492</v>
      </c>
    </row>
    <row r="641" ht="15" customHeight="1" s="12">
      <c r="A641" s="14" t="inlineStr">
        <is>
          <t>Karak</t>
        </is>
      </c>
      <c r="B641" s="14" t="inlineStr">
        <is>
          <t>Khyber Pakhtunkhwa</t>
        </is>
      </c>
      <c r="C641" s="14" t="n">
        <v>2016</v>
      </c>
      <c r="D641" s="15" t="n">
        <v>446.622648193161</v>
      </c>
      <c r="E641" s="15" t="n">
        <v>11435.2912551104</v>
      </c>
      <c r="F641" s="15" t="n">
        <v>533.375781536102</v>
      </c>
      <c r="G641" s="15" t="n">
        <v>307.628601312637</v>
      </c>
      <c r="H641" s="15" t="n">
        <v>57.4624721867198</v>
      </c>
      <c r="I641" s="16" t="n">
        <v>12.8660005083011</v>
      </c>
      <c r="J641" s="15" t="n">
        <v>27.1032317353347</v>
      </c>
      <c r="K641" s="15" t="n">
        <v>2649.644828103</v>
      </c>
      <c r="L641" s="15" t="n">
        <v>392.657489118842</v>
      </c>
      <c r="M641" s="15" t="n">
        <v>53.9651590743188</v>
      </c>
      <c r="N641" s="17" t="n">
        <v>0.476243247854196</v>
      </c>
      <c r="O641" s="18" t="n">
        <v>0.0179738522991083</v>
      </c>
    </row>
    <row r="642" ht="15" customHeight="1" s="12">
      <c r="A642" s="14" t="inlineStr">
        <is>
          <t>Karak</t>
        </is>
      </c>
      <c r="B642" s="14" t="inlineStr">
        <is>
          <t>Khyber Pakhtunkhwa</t>
        </is>
      </c>
      <c r="C642" s="14" t="n">
        <v>2017</v>
      </c>
      <c r="D642" s="15" t="n">
        <v>466.034315513061</v>
      </c>
      <c r="E642" s="15" t="n">
        <v>11932.3060626854</v>
      </c>
      <c r="F642" s="15" t="n">
        <v>541.047541975975</v>
      </c>
      <c r="G642" s="15" t="n">
        <v>331.205490112305</v>
      </c>
      <c r="H642" s="15" t="n">
        <v>55.5815702026874</v>
      </c>
      <c r="I642" s="16" t="n">
        <v>11.9264973313172</v>
      </c>
      <c r="J642" s="15" t="n">
        <v>25.3616173992955</v>
      </c>
      <c r="K642" s="15" t="n">
        <v>2649.644828103</v>
      </c>
      <c r="L642" s="15" t="n">
        <v>392.657489118842</v>
      </c>
      <c r="M642" s="15" t="n">
        <v>73.3768263942189</v>
      </c>
      <c r="N642" s="17" t="n">
        <v>0.350733628022078</v>
      </c>
      <c r="O642" s="18" t="n">
        <v>0.0132370053639674</v>
      </c>
    </row>
    <row r="643" ht="15" customHeight="1" s="12">
      <c r="A643" s="14" t="inlineStr">
        <is>
          <t>Karak</t>
        </is>
      </c>
      <c r="B643" s="14" t="inlineStr">
        <is>
          <t>Khyber Pakhtunkhwa</t>
        </is>
      </c>
      <c r="C643" s="14" t="n">
        <v>2018</v>
      </c>
      <c r="D643" s="15" t="n">
        <v>377.592517095506</v>
      </c>
      <c r="E643" s="15" t="n">
        <v>9667.84919261395</v>
      </c>
      <c r="F643" s="15" t="n">
        <v>439.647716403008</v>
      </c>
      <c r="G643" s="15" t="n">
        <v>235.5554677248</v>
      </c>
      <c r="H643" s="15" t="n">
        <v>58.4382351247399</v>
      </c>
      <c r="I643" s="16" t="n">
        <v>15.4765342211374</v>
      </c>
      <c r="J643" s="15" t="n">
        <v>24.0384438658294</v>
      </c>
      <c r="K643" s="15" t="n">
        <v>2649.644828103</v>
      </c>
      <c r="L643" s="15" t="n">
        <v>392.657489118842</v>
      </c>
      <c r="M643" s="15" t="n">
        <v>-15.0649720233364</v>
      </c>
      <c r="N643" s="17" t="n">
        <v>0.384747732845052</v>
      </c>
      <c r="O643" s="18" t="n">
        <v>0.0145207285430972</v>
      </c>
    </row>
    <row r="644" ht="15" customHeight="1" s="12">
      <c r="A644" s="14" t="inlineStr">
        <is>
          <t>Karak</t>
        </is>
      </c>
      <c r="B644" s="14" t="inlineStr">
        <is>
          <t>Khyber Pakhtunkhwa</t>
        </is>
      </c>
      <c r="C644" s="14" t="n">
        <v>2019</v>
      </c>
      <c r="D644" s="15" t="n">
        <v>404.369338822499</v>
      </c>
      <c r="E644" s="15" t="n">
        <v>10353.440835969</v>
      </c>
      <c r="F644" s="15" t="n">
        <v>471.136311696208</v>
      </c>
      <c r="G644" s="15" t="n">
        <v>307.94261264801</v>
      </c>
      <c r="H644" s="15" t="n">
        <v>38.8058087350077</v>
      </c>
      <c r="I644" s="16" t="n">
        <v>9.59662491919098</v>
      </c>
      <c r="J644" s="15" t="n">
        <v>23.4279368969214</v>
      </c>
      <c r="K644" s="15" t="n">
        <v>2649.644828103</v>
      </c>
      <c r="L644" s="15" t="n">
        <v>392.657489118842</v>
      </c>
      <c r="M644" s="15" t="n">
        <v>11.711849703657</v>
      </c>
      <c r="N644" s="17" t="n">
        <v>0.16253370802337</v>
      </c>
      <c r="O644" s="18" t="n">
        <v>0.00613416961773459</v>
      </c>
    </row>
    <row r="645" ht="15" customHeight="1" s="12">
      <c r="A645" s="14" t="inlineStr">
        <is>
          <t>Karak</t>
        </is>
      </c>
      <c r="B645" s="14" t="inlineStr">
        <is>
          <t>Khyber Pakhtunkhwa</t>
        </is>
      </c>
      <c r="C645" s="14" t="n">
        <v>2020</v>
      </c>
      <c r="D645" s="15" t="n">
        <v>290.610567110053</v>
      </c>
      <c r="E645" s="15" t="n">
        <v>7440.77016730015</v>
      </c>
      <c r="F645" s="15" t="n">
        <v>380.991581049049</v>
      </c>
      <c r="G645" s="15" t="n">
        <v>172.033844638616</v>
      </c>
      <c r="H645" s="15" t="n">
        <v>55.641654367027</v>
      </c>
      <c r="I645" s="16" t="n">
        <v>19.1464663244526</v>
      </c>
      <c r="J645" s="15" t="n">
        <v>23.935824781743</v>
      </c>
      <c r="K645" s="15" t="n">
        <v>2649.644828103</v>
      </c>
      <c r="L645" s="15" t="n">
        <v>392.657489118842</v>
      </c>
      <c r="M645" s="15" t="n">
        <v>-102.046922008789</v>
      </c>
      <c r="N645" s="17" t="n">
        <v>0.166815907973824</v>
      </c>
      <c r="O645" s="18" t="n">
        <v>0.00629578372937082</v>
      </c>
    </row>
    <row r="646" ht="15" customHeight="1" s="12">
      <c r="A646" s="14" t="inlineStr">
        <is>
          <t>Karak</t>
        </is>
      </c>
      <c r="B646" s="14" t="inlineStr">
        <is>
          <t>Khyber Pakhtunkhwa</t>
        </is>
      </c>
      <c r="C646" s="14" t="n">
        <v>2021</v>
      </c>
      <c r="D646" s="15" t="n">
        <v>385.216090181909</v>
      </c>
      <c r="E646" s="15" t="n">
        <v>9863.04255999093</v>
      </c>
      <c r="F646" s="15" t="n">
        <v>478.137807846069</v>
      </c>
      <c r="G646" s="15" t="n">
        <v>236.550316929817</v>
      </c>
      <c r="H646" s="15" t="n">
        <v>65.6731007172978</v>
      </c>
      <c r="I646" s="16" t="n">
        <v>17.0483794397802</v>
      </c>
      <c r="J646" s="15" t="n">
        <v>16.533159748813</v>
      </c>
      <c r="K646" s="15" t="n">
        <v>2649.644828103</v>
      </c>
      <c r="L646" s="15" t="n">
        <v>392.657489118842</v>
      </c>
      <c r="M646" s="15" t="n">
        <v>-7.44139893693262</v>
      </c>
      <c r="N646" s="17" t="n">
        <v>0.784416660597858</v>
      </c>
      <c r="O646" s="18" t="n">
        <v>0.0296045965209404</v>
      </c>
    </row>
    <row r="647" ht="15" customHeight="1" s="12">
      <c r="A647" s="14" t="inlineStr">
        <is>
          <t>Karak</t>
        </is>
      </c>
      <c r="B647" s="14" t="inlineStr">
        <is>
          <t>Khyber Pakhtunkhwa</t>
        </is>
      </c>
      <c r="C647" s="14" t="n">
        <v>2022</v>
      </c>
      <c r="D647" s="15" t="n">
        <v>414.424127241083</v>
      </c>
      <c r="E647" s="15" t="n">
        <v>10610.8828500276</v>
      </c>
      <c r="F647" s="15" t="n">
        <v>508.118284103701</v>
      </c>
      <c r="G647" s="15" t="n">
        <v>314.669063699198</v>
      </c>
      <c r="H647" s="15" t="n">
        <v>52.2286852601083</v>
      </c>
      <c r="I647" s="16" t="n">
        <v>12.6027134587474</v>
      </c>
      <c r="J647" s="15" t="n">
        <v>27.2622147342625</v>
      </c>
      <c r="K647" s="15" t="n">
        <v>2649.644828103</v>
      </c>
      <c r="L647" s="15" t="n">
        <v>392.657489118842</v>
      </c>
      <c r="M647" s="15" t="n">
        <v>21.7666381222408</v>
      </c>
      <c r="N647" s="17" t="n">
        <v>0.417823793734921</v>
      </c>
      <c r="O647" s="18" t="n">
        <v>0.0157690490930462</v>
      </c>
    </row>
    <row r="648" ht="15" customHeight="1" s="12">
      <c r="A648" s="14" t="inlineStr">
        <is>
          <t>Karak</t>
        </is>
      </c>
      <c r="B648" s="14" t="inlineStr">
        <is>
          <t>Khyber Pakhtunkhwa</t>
        </is>
      </c>
      <c r="C648" s="14" t="n">
        <v>2023</v>
      </c>
      <c r="D648" s="15" t="n">
        <v>310.20952735889</v>
      </c>
      <c r="E648" s="15" t="n">
        <v>7942.580408338</v>
      </c>
      <c r="F648" s="15" t="n">
        <v>374.871967434883</v>
      </c>
      <c r="G648" s="15" t="n">
        <v>194.890211582184</v>
      </c>
      <c r="H648" s="15" t="n">
        <v>45.1008421392274</v>
      </c>
      <c r="I648" s="16" t="n">
        <v>14.5388320349842</v>
      </c>
      <c r="J648" s="15" t="n">
        <v>21.2151937509573</v>
      </c>
      <c r="K648" s="15" t="n">
        <v>2649.644828103</v>
      </c>
      <c r="L648" s="15" t="n">
        <v>392.657489118842</v>
      </c>
      <c r="M648" s="15" t="n">
        <v>-82.44796175995231</v>
      </c>
      <c r="N648" s="17" t="n">
        <v>0.426330526632152</v>
      </c>
      <c r="O648" s="18" t="n">
        <v>0.016090100911275</v>
      </c>
    </row>
    <row r="649" ht="15" customHeight="1" s="12">
      <c r="A649" s="14" t="inlineStr">
        <is>
          <t>Karak</t>
        </is>
      </c>
      <c r="B649" s="14" t="inlineStr">
        <is>
          <t>Khyber Pakhtunkhwa</t>
        </is>
      </c>
      <c r="C649" s="14" t="n">
        <v>2024</v>
      </c>
      <c r="D649" s="15" t="n">
        <v>357.351713791754</v>
      </c>
      <c r="E649" s="15" t="n">
        <v>9149.605252338661</v>
      </c>
      <c r="F649" s="15" t="n">
        <v>446.073363368079</v>
      </c>
      <c r="G649" s="15" t="n">
        <v>228.40670652673</v>
      </c>
      <c r="H649" s="15" t="n">
        <v>54.0502754856204</v>
      </c>
      <c r="I649" s="16" t="n">
        <v>15.1252319212657</v>
      </c>
      <c r="J649" s="15" t="n">
        <v>32.2461326389952</v>
      </c>
      <c r="K649" s="15" t="n">
        <v>2649.644828103</v>
      </c>
      <c r="L649" s="15" t="n">
        <v>392.657489118842</v>
      </c>
      <c r="M649" s="15" t="n">
        <v>-35.3057753270884</v>
      </c>
      <c r="N649" s="17" t="n">
        <v>0.319857080807435</v>
      </c>
      <c r="O649" s="18" t="n">
        <v>0.0120716964558769</v>
      </c>
    </row>
    <row r="650" ht="15" customHeight="1" s="12">
      <c r="A650" s="14" t="inlineStr">
        <is>
          <t>Karak</t>
        </is>
      </c>
      <c r="B650" s="14" t="inlineStr">
        <is>
          <t>Khyber Pakhtunkhwa</t>
        </is>
      </c>
      <c r="C650" s="14" t="n">
        <v>2025</v>
      </c>
      <c r="D650" s="15" t="n">
        <v>422.528282308967</v>
      </c>
      <c r="E650" s="15" t="n">
        <v>10818.3810007657</v>
      </c>
      <c r="F650" s="15" t="n">
        <v>504.644277095795</v>
      </c>
      <c r="G650" s="15" t="n">
        <v>277.617365073413</v>
      </c>
      <c r="H650" s="15" t="n">
        <v>59.548540511725</v>
      </c>
      <c r="I650" s="16" t="n">
        <v>14.0933856986598</v>
      </c>
      <c r="J650" s="15" t="n">
        <v>28.8897227753102</v>
      </c>
      <c r="K650" s="15" t="n">
        <v>2649.644828103</v>
      </c>
      <c r="L650" s="15" t="n">
        <v>392.657489118842</v>
      </c>
      <c r="M650" s="15" t="n">
        <v>29.8707931901248</v>
      </c>
      <c r="N650" s="17" t="n">
        <v>0.480539367165959</v>
      </c>
      <c r="O650" s="18" t="n">
        <v>0.0181359917400703</v>
      </c>
    </row>
    <row r="651" ht="15" customHeight="1" s="12">
      <c r="A651" s="14" t="inlineStr">
        <is>
          <t>Kashmore</t>
        </is>
      </c>
      <c r="B651" s="14" t="inlineStr">
        <is>
          <t>Sindh</t>
        </is>
      </c>
      <c r="C651" s="14" t="n">
        <v>2015</v>
      </c>
      <c r="D651" s="15" t="n">
        <v>66.0451669583432</v>
      </c>
      <c r="E651" s="15" t="n">
        <v>1589.74601878553</v>
      </c>
      <c r="F651" s="15" t="n">
        <v>80.2512966990471</v>
      </c>
      <c r="G651" s="15" t="n">
        <v>53.5119568109512</v>
      </c>
      <c r="H651" s="15" t="n">
        <v>6.74886447092492</v>
      </c>
      <c r="I651" s="16" t="n">
        <v>10.2185591796318</v>
      </c>
      <c r="J651" s="15" t="n">
        <v>9.08243727598566</v>
      </c>
      <c r="K651" s="15" t="n">
        <v>2618.74462958756</v>
      </c>
      <c r="L651" s="15" t="n">
        <v>87.6581571713683</v>
      </c>
      <c r="M651" s="15" t="n">
        <v>-21.6129902130252</v>
      </c>
      <c r="N651" s="17" t="n">
        <v>174.881814031804</v>
      </c>
      <c r="O651" s="18" t="n">
        <v>6.67807819273113</v>
      </c>
    </row>
    <row r="652" ht="15" customHeight="1" s="12">
      <c r="A652" s="14" t="inlineStr">
        <is>
          <t>Kashmore</t>
        </is>
      </c>
      <c r="B652" s="14" t="inlineStr">
        <is>
          <t>Sindh</t>
        </is>
      </c>
      <c r="C652" s="14" t="n">
        <v>2016</v>
      </c>
      <c r="D652" s="15" t="n">
        <v>109.488996777522</v>
      </c>
      <c r="E652" s="15" t="n">
        <v>2635.46455772718</v>
      </c>
      <c r="F652" s="15" t="n">
        <v>140.081820517778</v>
      </c>
      <c r="G652" s="15" t="n">
        <v>90.3393523693085</v>
      </c>
      <c r="H652" s="15" t="n">
        <v>11.6425558763935</v>
      </c>
      <c r="I652" s="16" t="n">
        <v>10.6335396423905</v>
      </c>
      <c r="J652" s="15" t="n">
        <v>16.2741935483871</v>
      </c>
      <c r="K652" s="15" t="n">
        <v>2618.74462958756</v>
      </c>
      <c r="L652" s="15" t="n">
        <v>87.6581571713683</v>
      </c>
      <c r="M652" s="15" t="n">
        <v>21.8308396061538</v>
      </c>
      <c r="N652" s="17" t="n">
        <v>123.380389030301</v>
      </c>
      <c r="O652" s="18" t="n">
        <v>4.71143263212087</v>
      </c>
    </row>
    <row r="653" ht="15" customHeight="1" s="12">
      <c r="A653" s="14" t="inlineStr">
        <is>
          <t>Kashmore</t>
        </is>
      </c>
      <c r="B653" s="14" t="inlineStr">
        <is>
          <t>Sindh</t>
        </is>
      </c>
      <c r="C653" s="14" t="n">
        <v>2017</v>
      </c>
      <c r="D653" s="15" t="n">
        <v>86.9353925576352</v>
      </c>
      <c r="E653" s="15" t="n">
        <v>2092.58603732849</v>
      </c>
      <c r="F653" s="15" t="n">
        <v>118.821594297886</v>
      </c>
      <c r="G653" s="15" t="n">
        <v>71.66463384032249</v>
      </c>
      <c r="H653" s="15" t="n">
        <v>12.8560753564818</v>
      </c>
      <c r="I653" s="16" t="n">
        <v>14.7880799502443</v>
      </c>
      <c r="J653" s="15" t="n">
        <v>14.7950472466602</v>
      </c>
      <c r="K653" s="15" t="n">
        <v>2618.74462958756</v>
      </c>
      <c r="L653" s="15" t="n">
        <v>87.6581571713683</v>
      </c>
      <c r="M653" s="15" t="n">
        <v>-0.722764613733176</v>
      </c>
      <c r="N653" s="17" t="n">
        <v>139.29925367737</v>
      </c>
      <c r="O653" s="18" t="n">
        <v>5.31931415165554</v>
      </c>
    </row>
    <row r="654" ht="15" customHeight="1" s="12">
      <c r="A654" s="14" t="inlineStr">
        <is>
          <t>Kashmore</t>
        </is>
      </c>
      <c r="B654" s="14" t="inlineStr">
        <is>
          <t>Sindh</t>
        </is>
      </c>
      <c r="C654" s="14" t="n">
        <v>2018</v>
      </c>
      <c r="D654" s="15" t="n">
        <v>31.0830260397549</v>
      </c>
      <c r="E654" s="15" t="n">
        <v>748.186720909864</v>
      </c>
      <c r="F654" s="15" t="n">
        <v>40.6660710722208</v>
      </c>
      <c r="G654" s="15" t="n">
        <v>25.3082769457251</v>
      </c>
      <c r="H654" s="15" t="n">
        <v>3.8818553334369</v>
      </c>
      <c r="I654" s="16" t="n">
        <v>12.4886660921367</v>
      </c>
      <c r="J654" s="15" t="n">
        <v>7.55001629195178</v>
      </c>
      <c r="K654" s="15" t="n">
        <v>2618.74462958756</v>
      </c>
      <c r="L654" s="15" t="n">
        <v>87.6581571713683</v>
      </c>
      <c r="M654" s="15" t="n">
        <v>-56.5751311316135</v>
      </c>
      <c r="N654" s="17" t="n">
        <v>126.710782295621</v>
      </c>
      <c r="O654" s="18" t="n">
        <v>4.83860781475198</v>
      </c>
    </row>
    <row r="655" ht="15" customHeight="1" s="12">
      <c r="A655" s="14" t="inlineStr">
        <is>
          <t>Kashmore</t>
        </is>
      </c>
      <c r="B655" s="14" t="inlineStr">
        <is>
          <t>Sindh</t>
        </is>
      </c>
      <c r="C655" s="14" t="n">
        <v>2019</v>
      </c>
      <c r="D655" s="15" t="n">
        <v>55.8887406471321</v>
      </c>
      <c r="E655" s="15" t="n">
        <v>1345.27486310626</v>
      </c>
      <c r="F655" s="15" t="n">
        <v>71.705146074295</v>
      </c>
      <c r="G655" s="15" t="n">
        <v>46.5095002651215</v>
      </c>
      <c r="H655" s="15" t="n">
        <v>6.272067968909</v>
      </c>
      <c r="I655" s="16" t="n">
        <v>11.2224177826967</v>
      </c>
      <c r="J655" s="15" t="n">
        <v>14.7948843271424</v>
      </c>
      <c r="K655" s="15" t="n">
        <v>2618.74462958756</v>
      </c>
      <c r="L655" s="15" t="n">
        <v>87.6581571713683</v>
      </c>
      <c r="M655" s="15" t="n">
        <v>-31.7694165242363</v>
      </c>
      <c r="N655" s="17" t="n">
        <v>142.840970687383</v>
      </c>
      <c r="O655" s="18" t="n">
        <v>5.45455899263761</v>
      </c>
    </row>
    <row r="656" ht="15" customHeight="1" s="12">
      <c r="A656" s="14" t="inlineStr">
        <is>
          <t>Kashmore</t>
        </is>
      </c>
      <c r="B656" s="14" t="inlineStr">
        <is>
          <t>Sindh</t>
        </is>
      </c>
      <c r="C656" s="14" t="n">
        <v>2020</v>
      </c>
      <c r="D656" s="15" t="n">
        <v>65.7908084223622</v>
      </c>
      <c r="E656" s="15" t="n">
        <v>1583.6234592018</v>
      </c>
      <c r="F656" s="15" t="n">
        <v>91.0752701302991</v>
      </c>
      <c r="G656" s="15" t="n">
        <v>55.5096459509568</v>
      </c>
      <c r="H656" s="15" t="n">
        <v>8.01563988328858</v>
      </c>
      <c r="I656" s="16" t="n">
        <v>12.1835254429919</v>
      </c>
      <c r="J656" s="15" t="n">
        <v>12.6546106223526</v>
      </c>
      <c r="K656" s="15" t="n">
        <v>2618.74462958756</v>
      </c>
      <c r="L656" s="15" t="n">
        <v>87.6581571713683</v>
      </c>
      <c r="M656" s="15" t="n">
        <v>-21.8673487490062</v>
      </c>
      <c r="N656" s="17" t="n">
        <v>133.393613775083</v>
      </c>
      <c r="O656" s="18" t="n">
        <v>5.09379999362871</v>
      </c>
    </row>
    <row r="657" ht="15" customHeight="1" s="12">
      <c r="A657" s="14" t="inlineStr">
        <is>
          <t>Kashmore</t>
        </is>
      </c>
      <c r="B657" s="14" t="inlineStr">
        <is>
          <t>Sindh</t>
        </is>
      </c>
      <c r="C657" s="14" t="n">
        <v>2021</v>
      </c>
      <c r="D657" s="15" t="n">
        <v>51.5167333760429</v>
      </c>
      <c r="E657" s="15" t="n">
        <v>1240.03807632216</v>
      </c>
      <c r="F657" s="15" t="n">
        <v>77.7808473706245</v>
      </c>
      <c r="G657" s="15" t="n">
        <v>37.845440864563</v>
      </c>
      <c r="H657" s="15" t="n">
        <v>10.2188724172865</v>
      </c>
      <c r="I657" s="16" t="n">
        <v>19.836025593266</v>
      </c>
      <c r="J657" s="15" t="n">
        <v>11.2605083088954</v>
      </c>
      <c r="K657" s="15" t="n">
        <v>2618.74462958756</v>
      </c>
      <c r="L657" s="15" t="n">
        <v>87.6581571713683</v>
      </c>
      <c r="M657" s="15" t="n">
        <v>-36.1414237953255</v>
      </c>
      <c r="N657" s="17" t="n">
        <v>143.636527208299</v>
      </c>
      <c r="O657" s="18" t="n">
        <v>5.48493830156019</v>
      </c>
    </row>
    <row r="658" ht="15" customHeight="1" s="12">
      <c r="A658" s="14" t="inlineStr">
        <is>
          <t>Kashmore</t>
        </is>
      </c>
      <c r="B658" s="14" t="inlineStr">
        <is>
          <t>Sindh</t>
        </is>
      </c>
      <c r="C658" s="14" t="n">
        <v>2022</v>
      </c>
      <c r="D658" s="15" t="n">
        <v>219.298511419529</v>
      </c>
      <c r="E658" s="15" t="n">
        <v>5278.64416899241</v>
      </c>
      <c r="F658" s="15" t="n">
        <v>262.022368639708</v>
      </c>
      <c r="G658" s="15" t="n">
        <v>183.806268036366</v>
      </c>
      <c r="H658" s="15" t="n">
        <v>21.16693714607</v>
      </c>
      <c r="I658" s="16" t="n">
        <v>9.652111639543531</v>
      </c>
      <c r="J658" s="15" t="n">
        <v>33.6806777451939</v>
      </c>
      <c r="K658" s="15" t="n">
        <v>2618.74462958756</v>
      </c>
      <c r="L658" s="15" t="n">
        <v>87.6581571713683</v>
      </c>
      <c r="M658" s="15" t="n">
        <v>131.64035424816</v>
      </c>
      <c r="N658" s="17" t="n">
        <v>173.869991772935</v>
      </c>
      <c r="O658" s="18" t="n">
        <v>6.63944050933746</v>
      </c>
    </row>
    <row r="659" ht="15" customHeight="1" s="12">
      <c r="A659" s="14" t="inlineStr">
        <is>
          <t>Kashmore</t>
        </is>
      </c>
      <c r="B659" s="14" t="inlineStr">
        <is>
          <t>Sindh</t>
        </is>
      </c>
      <c r="C659" s="14" t="n">
        <v>2023</v>
      </c>
      <c r="D659" s="15" t="n">
        <v>90.1072712617609</v>
      </c>
      <c r="E659" s="15" t="n">
        <v>2168.9350235478</v>
      </c>
      <c r="F659" s="15" t="n">
        <v>111.078437447548</v>
      </c>
      <c r="G659" s="15" t="n">
        <v>66.11460876464839</v>
      </c>
      <c r="H659" s="15" t="n">
        <v>9.76232040818595</v>
      </c>
      <c r="I659" s="16" t="n">
        <v>10.8341094691753</v>
      </c>
      <c r="J659" s="15" t="n">
        <v>13.0536005213425</v>
      </c>
      <c r="K659" s="15" t="n">
        <v>2618.74462958756</v>
      </c>
      <c r="L659" s="15" t="n">
        <v>87.6581571713683</v>
      </c>
      <c r="M659" s="15" t="n">
        <v>2.44911409039256</v>
      </c>
      <c r="N659" s="17" t="n">
        <v>135.698137409795</v>
      </c>
      <c r="O659" s="18" t="n">
        <v>5.18180107661613</v>
      </c>
    </row>
    <row r="660" ht="15" customHeight="1" s="12">
      <c r="A660" s="14" t="inlineStr">
        <is>
          <t>Kashmore</t>
        </is>
      </c>
      <c r="B660" s="14" t="inlineStr">
        <is>
          <t>Sindh</t>
        </is>
      </c>
      <c r="C660" s="14" t="n">
        <v>2024</v>
      </c>
      <c r="D660" s="15" t="n">
        <v>118.192181996241</v>
      </c>
      <c r="E660" s="15" t="n">
        <v>2844.95534546245</v>
      </c>
      <c r="F660" s="15" t="n">
        <v>143.854276170816</v>
      </c>
      <c r="G660" s="15" t="n">
        <v>96.92586842924359</v>
      </c>
      <c r="H660" s="15" t="n">
        <v>12.7310390531423</v>
      </c>
      <c r="I660" s="16" t="n">
        <v>10.7714730687917</v>
      </c>
      <c r="J660" s="15" t="n">
        <v>23.2569240795047</v>
      </c>
      <c r="K660" s="15" t="n">
        <v>2618.74462958756</v>
      </c>
      <c r="L660" s="15" t="n">
        <v>87.6581571713683</v>
      </c>
      <c r="M660" s="15" t="n">
        <v>30.5340248248722</v>
      </c>
      <c r="N660" s="17" t="n">
        <v>140.534822980928</v>
      </c>
      <c r="O660" s="18" t="n">
        <v>5.36649589246362</v>
      </c>
    </row>
    <row r="661" ht="15" customHeight="1" s="12">
      <c r="A661" s="14" t="inlineStr">
        <is>
          <t>Kashmore</t>
        </is>
      </c>
      <c r="B661" s="14" t="inlineStr">
        <is>
          <t>Sindh</t>
        </is>
      </c>
      <c r="C661" s="14" t="n">
        <v>2025</v>
      </c>
      <c r="D661" s="15" t="n">
        <v>69.89289942872951</v>
      </c>
      <c r="E661" s="15" t="n">
        <v>1682.36320271977</v>
      </c>
      <c r="F661" s="15" t="n">
        <v>89.38635779548351</v>
      </c>
      <c r="G661" s="15" t="n">
        <v>52.6493394896388</v>
      </c>
      <c r="H661" s="15" t="n">
        <v>8.569719510615069</v>
      </c>
      <c r="I661" s="16" t="n">
        <v>12.2612162045927</v>
      </c>
      <c r="J661" s="15" t="n">
        <v>14.3911697621375</v>
      </c>
      <c r="K661" s="15" t="n">
        <v>2618.74462958756</v>
      </c>
      <c r="L661" s="15" t="n">
        <v>87.6581571713683</v>
      </c>
      <c r="M661" s="15" t="n">
        <v>-17.7652577426389</v>
      </c>
      <c r="N661" s="17" t="n">
        <v>138.780465491368</v>
      </c>
      <c r="O661" s="18" t="n">
        <v>5.29950358363984</v>
      </c>
    </row>
    <row r="662" ht="15" customHeight="1" s="12">
      <c r="A662" s="14" t="inlineStr">
        <is>
          <t>Kasur</t>
        </is>
      </c>
      <c r="B662" s="14" t="inlineStr">
        <is>
          <t>Punjab</t>
        </is>
      </c>
      <c r="C662" s="14" t="n">
        <v>2015</v>
      </c>
      <c r="D662" s="15" t="n">
        <v>392.860112404156</v>
      </c>
      <c r="E662" s="15" t="n">
        <v>14771.5402263963</v>
      </c>
      <c r="F662" s="15" t="n">
        <v>562.349370360375</v>
      </c>
      <c r="G662" s="15" t="n">
        <v>264.068491578102</v>
      </c>
      <c r="H662" s="15" t="n">
        <v>74.81911993814209</v>
      </c>
      <c r="I662" s="16" t="n">
        <v>19.0447229371995</v>
      </c>
      <c r="J662" s="15" t="n">
        <v>29.8062161034627</v>
      </c>
      <c r="K662" s="15" t="n">
        <v>3990.30905760397</v>
      </c>
      <c r="L662" s="15" t="n">
        <v>423.738583280375</v>
      </c>
      <c r="M662" s="15" t="n">
        <v>-30.8784708762185</v>
      </c>
      <c r="N662" s="17" t="n">
        <v>9.282159400549791</v>
      </c>
      <c r="O662" s="18" t="n">
        <v>0.23261755584725</v>
      </c>
    </row>
    <row r="663" ht="15" customHeight="1" s="12">
      <c r="A663" s="14" t="inlineStr">
        <is>
          <t>Kasur</t>
        </is>
      </c>
      <c r="B663" s="14" t="inlineStr">
        <is>
          <t>Punjab</t>
        </is>
      </c>
      <c r="C663" s="14" t="n">
        <v>2016</v>
      </c>
      <c r="D663" s="15" t="n">
        <v>327.81079224028</v>
      </c>
      <c r="E663" s="15" t="n">
        <v>12325.6857882345</v>
      </c>
      <c r="F663" s="15" t="n">
        <v>500.829632401466</v>
      </c>
      <c r="G663" s="15" t="n">
        <v>227.55410861969</v>
      </c>
      <c r="H663" s="15" t="n">
        <v>68.254592220935</v>
      </c>
      <c r="I663" s="16" t="n">
        <v>20.8213377462282</v>
      </c>
      <c r="J663" s="15" t="n">
        <v>21.3754693366708</v>
      </c>
      <c r="K663" s="15" t="n">
        <v>3990.30905760397</v>
      </c>
      <c r="L663" s="15" t="n">
        <v>423.738583280375</v>
      </c>
      <c r="M663" s="15" t="n">
        <v>-95.92779104009441</v>
      </c>
      <c r="N663" s="17" t="n">
        <v>7.22239748494132</v>
      </c>
      <c r="O663" s="18" t="n">
        <v>0.180998448508099</v>
      </c>
    </row>
    <row r="664" ht="15" customHeight="1" s="12">
      <c r="A664" s="14" t="inlineStr">
        <is>
          <t>Kasur</t>
        </is>
      </c>
      <c r="B664" s="14" t="inlineStr">
        <is>
          <t>Punjab</t>
        </is>
      </c>
      <c r="C664" s="14" t="n">
        <v>2017</v>
      </c>
      <c r="D664" s="15" t="n">
        <v>340.590525269396</v>
      </c>
      <c r="E664" s="15" t="n">
        <v>12806.2037501293</v>
      </c>
      <c r="F664" s="15" t="n">
        <v>482.370144128799</v>
      </c>
      <c r="G664" s="15" t="n">
        <v>266.967818975449</v>
      </c>
      <c r="H664" s="15" t="n">
        <v>59.0158987883392</v>
      </c>
      <c r="I664" s="16" t="n">
        <v>17.3275221739241</v>
      </c>
      <c r="J664" s="15" t="n">
        <v>24.6333959115561</v>
      </c>
      <c r="K664" s="15" t="n">
        <v>3990.30905760397</v>
      </c>
      <c r="L664" s="15" t="n">
        <v>423.738583280375</v>
      </c>
      <c r="M664" s="15" t="n">
        <v>-83.1480580109784</v>
      </c>
      <c r="N664" s="17" t="n">
        <v>5.27479780546684</v>
      </c>
      <c r="O664" s="18" t="n">
        <v>0.132190207057148</v>
      </c>
    </row>
    <row r="665" ht="15" customHeight="1" s="12">
      <c r="A665" s="14" t="inlineStr">
        <is>
          <t>Kasur</t>
        </is>
      </c>
      <c r="B665" s="14" t="inlineStr">
        <is>
          <t>Punjab</t>
        </is>
      </c>
      <c r="C665" s="14" t="n">
        <v>2018</v>
      </c>
      <c r="D665" s="15" t="n">
        <v>388.738494278356</v>
      </c>
      <c r="E665" s="15" t="n">
        <v>14616.5673848662</v>
      </c>
      <c r="F665" s="15" t="n">
        <v>586.764774113894</v>
      </c>
      <c r="G665" s="15" t="n">
        <v>290.275602474809</v>
      </c>
      <c r="H665" s="15" t="n">
        <v>71.4537418873491</v>
      </c>
      <c r="I665" s="16" t="n">
        <v>18.3809277802534</v>
      </c>
      <c r="J665" s="15" t="n">
        <v>24.7911973299958</v>
      </c>
      <c r="K665" s="15" t="n">
        <v>3990.30905760397</v>
      </c>
      <c r="L665" s="15" t="n">
        <v>423.738583280375</v>
      </c>
      <c r="M665" s="15" t="n">
        <v>-35.0000890020184</v>
      </c>
      <c r="N665" s="17" t="n">
        <v>4.3602287444683</v>
      </c>
      <c r="O665" s="18" t="n">
        <v>0.10927045202575</v>
      </c>
    </row>
    <row r="666" ht="15" customHeight="1" s="12">
      <c r="A666" s="14" t="inlineStr">
        <is>
          <t>Kasur</t>
        </is>
      </c>
      <c r="B666" s="14" t="inlineStr">
        <is>
          <t>Punjab</t>
        </is>
      </c>
      <c r="C666" s="14" t="n">
        <v>2019</v>
      </c>
      <c r="D666" s="15" t="n">
        <v>303.786881557489</v>
      </c>
      <c r="E666" s="15" t="n">
        <v>11422.3867465616</v>
      </c>
      <c r="F666" s="15" t="n">
        <v>449.860531687737</v>
      </c>
      <c r="G666" s="15" t="n">
        <v>198.544762074947</v>
      </c>
      <c r="H666" s="15" t="n">
        <v>56.9928024595093</v>
      </c>
      <c r="I666" s="16" t="n">
        <v>18.7607845892858</v>
      </c>
      <c r="J666" s="15" t="n">
        <v>19.2780559032124</v>
      </c>
      <c r="K666" s="15" t="n">
        <v>3990.30905760397</v>
      </c>
      <c r="L666" s="15" t="n">
        <v>423.738583280375</v>
      </c>
      <c r="M666" s="15" t="n">
        <v>-119.951701722886</v>
      </c>
      <c r="N666" s="17" t="n">
        <v>8.928010407356769</v>
      </c>
      <c r="O666" s="18" t="n">
        <v>0.223742328688638</v>
      </c>
    </row>
    <row r="667" ht="15" customHeight="1" s="12">
      <c r="A667" s="14" t="inlineStr">
        <is>
          <t>Kasur</t>
        </is>
      </c>
      <c r="B667" s="14" t="inlineStr">
        <is>
          <t>Punjab</t>
        </is>
      </c>
      <c r="C667" s="14" t="n">
        <v>2020</v>
      </c>
      <c r="D667" s="15" t="n">
        <v>447.065904767377</v>
      </c>
      <c r="E667" s="15" t="n">
        <v>16809.6780192534</v>
      </c>
      <c r="F667" s="15" t="n">
        <v>591.898571459344</v>
      </c>
      <c r="G667" s="15" t="n">
        <v>308.399697198593</v>
      </c>
      <c r="H667" s="15" t="n">
        <v>76.5129218194932</v>
      </c>
      <c r="I667" s="16" t="n">
        <v>17.1144614258395</v>
      </c>
      <c r="J667" s="15" t="n">
        <v>25.0259699624531</v>
      </c>
      <c r="K667" s="15" t="n">
        <v>3990.30905760397</v>
      </c>
      <c r="L667" s="15" t="n">
        <v>423.738583280375</v>
      </c>
      <c r="M667" s="15" t="n">
        <v>23.3273214870023</v>
      </c>
      <c r="N667" s="17" t="n">
        <v>4.36816149289575</v>
      </c>
      <c r="O667" s="18" t="n">
        <v>0.109469252377125</v>
      </c>
    </row>
    <row r="668" ht="15" customHeight="1" s="12">
      <c r="A668" s="14" t="inlineStr">
        <is>
          <t>Kasur</t>
        </is>
      </c>
      <c r="B668" s="14" t="inlineStr">
        <is>
          <t>Punjab</t>
        </is>
      </c>
      <c r="C668" s="14" t="n">
        <v>2021</v>
      </c>
      <c r="D668" s="15" t="n">
        <v>417.623017254364</v>
      </c>
      <c r="E668" s="15" t="n">
        <v>15702.6254487641</v>
      </c>
      <c r="F668" s="15" t="n">
        <v>702.881525039673</v>
      </c>
      <c r="G668" s="15" t="n">
        <v>286.725585460663</v>
      </c>
      <c r="H668" s="15" t="n">
        <v>101.528109056003</v>
      </c>
      <c r="I668" s="16" t="n">
        <v>24.3109466818887</v>
      </c>
      <c r="J668" s="15" t="n">
        <v>21.2438464747601</v>
      </c>
      <c r="K668" s="15" t="n">
        <v>3990.30905760397</v>
      </c>
      <c r="L668" s="15" t="n">
        <v>423.738583280375</v>
      </c>
      <c r="M668" s="15" t="n">
        <v>-6.11556602601115</v>
      </c>
      <c r="N668" s="17" t="n">
        <v>6.45609899297066</v>
      </c>
      <c r="O668" s="18" t="n">
        <v>0.161794460022285</v>
      </c>
    </row>
    <row r="669" ht="15" customHeight="1" s="12">
      <c r="A669" s="14" t="inlineStr">
        <is>
          <t>Kasur</t>
        </is>
      </c>
      <c r="B669" s="14" t="inlineStr">
        <is>
          <t>Punjab</t>
        </is>
      </c>
      <c r="C669" s="14" t="n">
        <v>2022</v>
      </c>
      <c r="D669" s="15" t="n">
        <v>501.16325881806</v>
      </c>
      <c r="E669" s="15" t="n">
        <v>18843.7385315591</v>
      </c>
      <c r="F669" s="15" t="n">
        <v>717.299782424234</v>
      </c>
      <c r="G669" s="15" t="n">
        <v>371.378843942366</v>
      </c>
      <c r="H669" s="15" t="n">
        <v>75.14792227180619</v>
      </c>
      <c r="I669" s="16" t="n">
        <v>14.9946990226368</v>
      </c>
      <c r="J669" s="15" t="n">
        <v>26.1102419691281</v>
      </c>
      <c r="K669" s="15" t="n">
        <v>3990.30905760397</v>
      </c>
      <c r="L669" s="15" t="n">
        <v>423.738583280375</v>
      </c>
      <c r="M669" s="15" t="n">
        <v>77.4246755376853</v>
      </c>
      <c r="N669" s="17" t="n">
        <v>7.89811576303184</v>
      </c>
      <c r="O669" s="18" t="n">
        <v>0.197932432025061</v>
      </c>
    </row>
    <row r="670" ht="15" customHeight="1" s="12">
      <c r="A670" s="14" t="inlineStr">
        <is>
          <t>Kasur</t>
        </is>
      </c>
      <c r="B670" s="14" t="inlineStr">
        <is>
          <t>Punjab</t>
        </is>
      </c>
      <c r="C670" s="14" t="n">
        <v>2023</v>
      </c>
      <c r="D670" s="15" t="n">
        <v>463.724336101573</v>
      </c>
      <c r="E670" s="15" t="n">
        <v>17436.0350374192</v>
      </c>
      <c r="F670" s="15" t="n">
        <v>695.867524147034</v>
      </c>
      <c r="G670" s="15" t="n">
        <v>315.647496700287</v>
      </c>
      <c r="H670" s="15" t="n">
        <v>99.9259954064251</v>
      </c>
      <c r="I670" s="16" t="n">
        <v>21.5485769512294</v>
      </c>
      <c r="J670" s="15" t="n">
        <v>25.8482478097622</v>
      </c>
      <c r="K670" s="15" t="n">
        <v>3990.30905760397</v>
      </c>
      <c r="L670" s="15" t="n">
        <v>423.738583280375</v>
      </c>
      <c r="M670" s="15" t="n">
        <v>39.9857528211983</v>
      </c>
      <c r="N670" s="17" t="n">
        <v>12.3711949293438</v>
      </c>
      <c r="O670" s="18" t="n">
        <v>0.310030996365284</v>
      </c>
    </row>
    <row r="671" ht="15" customHeight="1" s="12">
      <c r="A671" s="14" t="inlineStr">
        <is>
          <t>Kasur</t>
        </is>
      </c>
      <c r="B671" s="14" t="inlineStr">
        <is>
          <t>Punjab</t>
        </is>
      </c>
      <c r="C671" s="14" t="n">
        <v>2024</v>
      </c>
      <c r="D671" s="15" t="n">
        <v>429.552299293101</v>
      </c>
      <c r="E671" s="15" t="n">
        <v>16151.1664534206</v>
      </c>
      <c r="F671" s="15" t="n">
        <v>590.2410911768681</v>
      </c>
      <c r="G671" s="15" t="n">
        <v>271.774459388107</v>
      </c>
      <c r="H671" s="15" t="n">
        <v>74.2948774759063</v>
      </c>
      <c r="I671" s="16" t="n">
        <v>17.2958863444965</v>
      </c>
      <c r="J671" s="15" t="n">
        <v>34.6562369628703</v>
      </c>
      <c r="K671" s="15" t="n">
        <v>3990.30905760397</v>
      </c>
      <c r="L671" s="15" t="n">
        <v>423.738583280375</v>
      </c>
      <c r="M671" s="15" t="n">
        <v>5.81371601272605</v>
      </c>
      <c r="N671" s="17" t="n">
        <v>5.30826062949123</v>
      </c>
      <c r="O671" s="18" t="n">
        <v>0.133028809369434</v>
      </c>
    </row>
    <row r="672" ht="15" customHeight="1" s="12">
      <c r="A672" s="14" t="inlineStr">
        <is>
          <t>Kasur</t>
        </is>
      </c>
      <c r="B672" s="14" t="inlineStr">
        <is>
          <t>Punjab</t>
        </is>
      </c>
      <c r="C672" s="14" t="n">
        <v>2025</v>
      </c>
      <c r="D672" s="15" t="n">
        <v>648.208794099968</v>
      </c>
      <c r="E672" s="15" t="n">
        <v>24372.6506581588</v>
      </c>
      <c r="F672" s="15" t="n">
        <v>893.880712951631</v>
      </c>
      <c r="G672" s="15" t="n">
        <v>473.375815211722</v>
      </c>
      <c r="H672" s="15" t="n">
        <v>104.225856037423</v>
      </c>
      <c r="I672" s="16" t="n">
        <v>16.0790561600046</v>
      </c>
      <c r="J672" s="15" t="n">
        <v>33.1194201084689</v>
      </c>
      <c r="K672" s="15" t="n">
        <v>3990.30905760397</v>
      </c>
      <c r="L672" s="15" t="n">
        <v>423.738583280375</v>
      </c>
      <c r="M672" s="15" t="n">
        <v>224.470210819594</v>
      </c>
      <c r="N672" s="17" t="n">
        <v>11.6258378448376</v>
      </c>
      <c r="O672" s="18" t="n">
        <v>0.291351814533847</v>
      </c>
    </row>
    <row r="673" ht="15" customHeight="1" s="12">
      <c r="A673" s="14" t="inlineStr">
        <is>
          <t>Kech</t>
        </is>
      </c>
      <c r="B673" s="14" t="inlineStr">
        <is>
          <t>Balochistan</t>
        </is>
      </c>
      <c r="C673" s="14" t="n">
        <v>2015</v>
      </c>
      <c r="D673" s="15" t="n">
        <v>9.158444897383699</v>
      </c>
      <c r="E673" s="15" t="n">
        <v>2014.8937928946</v>
      </c>
      <c r="F673" s="15" t="n">
        <v>38.5046735703945</v>
      </c>
      <c r="G673" s="15" t="n">
        <v>0</v>
      </c>
      <c r="H673" s="15" t="n">
        <v>6.41330250819808</v>
      </c>
      <c r="I673" s="16" t="n">
        <v>70.02610792614109</v>
      </c>
      <c r="J673" s="15" t="n">
        <v>2.7073670701057</v>
      </c>
      <c r="K673" s="15" t="n">
        <v>24465.8420499059</v>
      </c>
      <c r="L673" s="15" t="n">
        <v>28.9204876577901</v>
      </c>
      <c r="M673" s="15" t="n">
        <v>-19.7620427604064</v>
      </c>
      <c r="N673" s="17" t="n">
        <v>7.21947124597957</v>
      </c>
      <c r="O673" s="18" t="n">
        <v>0.0295083702055018</v>
      </c>
    </row>
    <row r="674" ht="15" customHeight="1" s="12">
      <c r="A674" s="14" t="inlineStr">
        <is>
          <t>Kech</t>
        </is>
      </c>
      <c r="B674" s="14" t="inlineStr">
        <is>
          <t>Balochistan</t>
        </is>
      </c>
      <c r="C674" s="14" t="n">
        <v>2016</v>
      </c>
      <c r="D674" s="15" t="n">
        <v>8.42413891007199</v>
      </c>
      <c r="E674" s="15" t="n">
        <v>1853.3435960547</v>
      </c>
      <c r="F674" s="15" t="n">
        <v>40.5073804855347</v>
      </c>
      <c r="G674" s="15" t="n">
        <v>0</v>
      </c>
      <c r="H674" s="15" t="n">
        <v>8.29519182235652</v>
      </c>
      <c r="I674" s="16" t="n">
        <v>98.4693143229001</v>
      </c>
      <c r="J674" s="15" t="n">
        <v>3.03226323951445</v>
      </c>
      <c r="K674" s="15" t="n">
        <v>24465.8420499059</v>
      </c>
      <c r="L674" s="15" t="n">
        <v>28.9204876577901</v>
      </c>
      <c r="M674" s="15" t="n">
        <v>-20.4963487477181</v>
      </c>
      <c r="N674" s="17" t="n">
        <v>5.01423307209593</v>
      </c>
      <c r="O674" s="18" t="n">
        <v>0.0204948313729313</v>
      </c>
    </row>
    <row r="675" ht="15" customHeight="1" s="12">
      <c r="A675" s="14" t="inlineStr">
        <is>
          <t>Kech</t>
        </is>
      </c>
      <c r="B675" s="14" t="inlineStr">
        <is>
          <t>Balochistan</t>
        </is>
      </c>
      <c r="C675" s="14" t="n">
        <v>2017</v>
      </c>
      <c r="D675" s="15" t="n">
        <v>9.23899344024367</v>
      </c>
      <c r="E675" s="15" t="n">
        <v>2032.61478820043</v>
      </c>
      <c r="F675" s="15" t="n">
        <v>40.9754521250725</v>
      </c>
      <c r="G675" s="15" t="n">
        <v>0</v>
      </c>
      <c r="H675" s="15" t="n">
        <v>8.601467302400801</v>
      </c>
      <c r="I675" s="16" t="n">
        <v>93.0996147798319</v>
      </c>
      <c r="J675" s="15" t="n">
        <v>2.65287606281528</v>
      </c>
      <c r="K675" s="15" t="n">
        <v>24465.8420499059</v>
      </c>
      <c r="L675" s="15" t="n">
        <v>28.9204876577901</v>
      </c>
      <c r="M675" s="15" t="n">
        <v>-19.6814942175464</v>
      </c>
      <c r="N675" s="17" t="n">
        <v>2.46248259836641</v>
      </c>
      <c r="O675" s="18" t="n">
        <v>0.0100649819995706</v>
      </c>
    </row>
    <row r="676" ht="15" customHeight="1" s="12">
      <c r="A676" s="14" t="inlineStr">
        <is>
          <t>Kech</t>
        </is>
      </c>
      <c r="B676" s="14" t="inlineStr">
        <is>
          <t>Balochistan</t>
        </is>
      </c>
      <c r="C676" s="14" t="n">
        <v>2018</v>
      </c>
      <c r="D676" s="15" t="n">
        <v>9.02948714045147</v>
      </c>
      <c r="E676" s="15" t="n">
        <v>1986.52258065282</v>
      </c>
      <c r="F676" s="15" t="n">
        <v>27.9734254181385</v>
      </c>
      <c r="G676" s="15" t="n">
        <v>0.857045449316502</v>
      </c>
      <c r="H676" s="15" t="n">
        <v>5.85847719000582</v>
      </c>
      <c r="I676" s="16" t="n">
        <v>64.8816161857106</v>
      </c>
      <c r="J676" s="15" t="n">
        <v>2.81911195878861</v>
      </c>
      <c r="K676" s="15" t="n">
        <v>24465.8420499059</v>
      </c>
      <c r="L676" s="15" t="n">
        <v>28.9204876577901</v>
      </c>
      <c r="M676" s="15" t="n">
        <v>-19.8910005173386</v>
      </c>
      <c r="N676" s="17" t="n">
        <v>3.90106900512169</v>
      </c>
      <c r="O676" s="18" t="n">
        <v>0.0159449611305599</v>
      </c>
    </row>
    <row r="677" ht="15" customHeight="1" s="12">
      <c r="A677" s="14" t="inlineStr">
        <is>
          <t>Kech</t>
        </is>
      </c>
      <c r="B677" s="14" t="inlineStr">
        <is>
          <t>Balochistan</t>
        </is>
      </c>
      <c r="C677" s="14" t="n">
        <v>2019</v>
      </c>
      <c r="D677" s="15" t="n">
        <v>21.5772864309788</v>
      </c>
      <c r="E677" s="15" t="n">
        <v>4747.08763162488</v>
      </c>
      <c r="F677" s="15" t="n">
        <v>67.2983600373846</v>
      </c>
      <c r="G677" s="15" t="n">
        <v>3.08637926486605</v>
      </c>
      <c r="H677" s="15" t="n">
        <v>15.2184523182857</v>
      </c>
      <c r="I677" s="16" t="n">
        <v>70.52996384400021</v>
      </c>
      <c r="J677" s="15" t="n">
        <v>6.23206359957933</v>
      </c>
      <c r="K677" s="15" t="n">
        <v>24465.8420499059</v>
      </c>
      <c r="L677" s="15" t="n">
        <v>28.9204876577901</v>
      </c>
      <c r="M677" s="15" t="n">
        <v>-7.34320122681125</v>
      </c>
      <c r="N677" s="17" t="n">
        <v>5.21788590454365</v>
      </c>
      <c r="O677" s="18" t="n">
        <v>0.0213272279527519</v>
      </c>
    </row>
    <row r="678" ht="15" customHeight="1" s="12">
      <c r="A678" s="14" t="inlineStr">
        <is>
          <t>Kech</t>
        </is>
      </c>
      <c r="B678" s="14" t="inlineStr">
        <is>
          <t>Balochistan</t>
        </is>
      </c>
      <c r="C678" s="14" t="n">
        <v>2020</v>
      </c>
      <c r="D678" s="15" t="n">
        <v>33.877926141784</v>
      </c>
      <c r="E678" s="15" t="n">
        <v>7453.27660580479</v>
      </c>
      <c r="F678" s="15" t="n">
        <v>90.59550043956381</v>
      </c>
      <c r="G678" s="15" t="n">
        <v>10.8984956323911</v>
      </c>
      <c r="H678" s="15" t="n">
        <v>19.3427858283403</v>
      </c>
      <c r="I678" s="16" t="n">
        <v>57.0955428245164</v>
      </c>
      <c r="J678" s="15" t="n">
        <v>11.0824049482184</v>
      </c>
      <c r="K678" s="15" t="n">
        <v>24465.8420499059</v>
      </c>
      <c r="L678" s="15" t="n">
        <v>28.9204876577901</v>
      </c>
      <c r="M678" s="15" t="n">
        <v>4.95743848399388</v>
      </c>
      <c r="N678" s="17" t="n">
        <v>7.98600719025784</v>
      </c>
      <c r="O678" s="18" t="n">
        <v>0.032641456500732</v>
      </c>
    </row>
    <row r="679" ht="15" customHeight="1" s="12">
      <c r="A679" s="14" t="inlineStr">
        <is>
          <t>Kech</t>
        </is>
      </c>
      <c r="B679" s="14" t="inlineStr">
        <is>
          <t>Balochistan</t>
        </is>
      </c>
      <c r="C679" s="14" t="n">
        <v>2021</v>
      </c>
      <c r="D679" s="15" t="n">
        <v>29.8636950394553</v>
      </c>
      <c r="E679" s="15" t="n">
        <v>6570.13002120972</v>
      </c>
      <c r="F679" s="15" t="n">
        <v>81.59177136421199</v>
      </c>
      <c r="G679" s="15" t="n">
        <v>6.61682236194611</v>
      </c>
      <c r="H679" s="15" t="n">
        <v>13.906409333977</v>
      </c>
      <c r="I679" s="16" t="n">
        <v>46.5662715735751</v>
      </c>
      <c r="J679" s="15" t="n">
        <v>6.51352025810592</v>
      </c>
      <c r="K679" s="15" t="n">
        <v>24465.8420499059</v>
      </c>
      <c r="L679" s="15" t="n">
        <v>28.9204876577901</v>
      </c>
      <c r="M679" s="15" t="n">
        <v>0.943207381665168</v>
      </c>
      <c r="N679" s="17" t="n">
        <v>16.8476609778072</v>
      </c>
      <c r="O679" s="18" t="n">
        <v>0.0688619706750374</v>
      </c>
    </row>
    <row r="680" ht="15" customHeight="1" s="12">
      <c r="A680" s="14" t="inlineStr">
        <is>
          <t>Kech</t>
        </is>
      </c>
      <c r="B680" s="14" t="inlineStr">
        <is>
          <t>Balochistan</t>
        </is>
      </c>
      <c r="C680" s="14" t="n">
        <v>2022</v>
      </c>
      <c r="D680" s="15" t="n">
        <v>118.321446779406</v>
      </c>
      <c r="E680" s="15" t="n">
        <v>26031.1822971429</v>
      </c>
      <c r="F680" s="15" t="n">
        <v>281.954809620976</v>
      </c>
      <c r="G680" s="15" t="n">
        <v>29.2132159695029</v>
      </c>
      <c r="H680" s="15" t="n">
        <v>56.4912584003713</v>
      </c>
      <c r="I680" s="16" t="n">
        <v>47.7438874675795</v>
      </c>
      <c r="J680" s="15" t="n">
        <v>19.5323791019768</v>
      </c>
      <c r="K680" s="15" t="n">
        <v>24465.8420499059</v>
      </c>
      <c r="L680" s="15" t="n">
        <v>28.9204876577901</v>
      </c>
      <c r="M680" s="15" t="n">
        <v>89.4009591216154</v>
      </c>
      <c r="N680" s="17" t="n">
        <v>22.2724712611724</v>
      </c>
      <c r="O680" s="18" t="n">
        <v>0.09103496710123681</v>
      </c>
    </row>
    <row r="681" ht="15" customHeight="1" s="12">
      <c r="A681" s="14" t="inlineStr">
        <is>
          <t>Kech</t>
        </is>
      </c>
      <c r="B681" s="14" t="inlineStr">
        <is>
          <t>Balochistan</t>
        </is>
      </c>
      <c r="C681" s="14" t="n">
        <v>2023</v>
      </c>
      <c r="D681" s="15" t="n">
        <v>23.4982844547711</v>
      </c>
      <c r="E681" s="15" t="n">
        <v>5169.71473018476</v>
      </c>
      <c r="F681" s="15" t="n">
        <v>67.1629416942596</v>
      </c>
      <c r="G681" s="15" t="n">
        <v>4.44795410335064</v>
      </c>
      <c r="H681" s="15" t="n">
        <v>11.9732604606515</v>
      </c>
      <c r="I681" s="16" t="n">
        <v>50.9537642362674</v>
      </c>
      <c r="J681" s="15" t="n">
        <v>6.55517726956739</v>
      </c>
      <c r="K681" s="15" t="n">
        <v>24465.8420499059</v>
      </c>
      <c r="L681" s="15" t="n">
        <v>28.9204876577901</v>
      </c>
      <c r="M681" s="15" t="n">
        <v>-5.42220320301897</v>
      </c>
      <c r="N681" s="17" t="n">
        <v>7.57725339844324</v>
      </c>
      <c r="O681" s="18" t="n">
        <v>0.0309707443667257</v>
      </c>
    </row>
    <row r="682" ht="15" customHeight="1" s="12">
      <c r="A682" s="14" t="inlineStr">
        <is>
          <t>Kech</t>
        </is>
      </c>
      <c r="B682" s="14" t="inlineStr">
        <is>
          <t>Balochistan</t>
        </is>
      </c>
      <c r="C682" s="14" t="n">
        <v>2024</v>
      </c>
      <c r="D682" s="15" t="n">
        <v>34.3653629140096</v>
      </c>
      <c r="E682" s="15" t="n">
        <v>7560.51460721119</v>
      </c>
      <c r="F682" s="15" t="n">
        <v>86.3763515540268</v>
      </c>
      <c r="G682" s="15" t="n">
        <v>9.1588728458866</v>
      </c>
      <c r="H682" s="15" t="n">
        <v>18.1502356459869</v>
      </c>
      <c r="I682" s="16" t="n">
        <v>52.8154924230049</v>
      </c>
      <c r="J682" s="15" t="n">
        <v>11.8594142706904</v>
      </c>
      <c r="K682" s="15" t="n">
        <v>24465.8420499059</v>
      </c>
      <c r="L682" s="15" t="n">
        <v>28.9204876577901</v>
      </c>
      <c r="M682" s="15" t="n">
        <v>5.44487525621954</v>
      </c>
      <c r="N682" s="17" t="n">
        <v>5.24832577232043</v>
      </c>
      <c r="O682" s="18" t="n">
        <v>0.0214516457746061</v>
      </c>
    </row>
    <row r="683" ht="15" customHeight="1" s="12">
      <c r="A683" s="14" t="inlineStr">
        <is>
          <t>Kech</t>
        </is>
      </c>
      <c r="B683" s="14" t="inlineStr">
        <is>
          <t>Balochistan</t>
        </is>
      </c>
      <c r="C683" s="14" t="n">
        <v>2025</v>
      </c>
      <c r="D683" s="15" t="n">
        <v>20.7702980871358</v>
      </c>
      <c r="E683" s="15" t="n">
        <v>4569.54703131924</v>
      </c>
      <c r="F683" s="15" t="n">
        <v>56.5037698745728</v>
      </c>
      <c r="G683" s="15" t="n">
        <v>5.0025744792074</v>
      </c>
      <c r="H683" s="15" t="n">
        <v>11.1125103821141</v>
      </c>
      <c r="I683" s="16" t="n">
        <v>53.5019301865325</v>
      </c>
      <c r="J683" s="15" t="n">
        <v>6.56130906757456</v>
      </c>
      <c r="K683" s="15" t="n">
        <v>24465.8420499059</v>
      </c>
      <c r="L683" s="15" t="n">
        <v>28.9204876577901</v>
      </c>
      <c r="M683" s="15" t="n">
        <v>-8.15018957065427</v>
      </c>
      <c r="N683" s="17" t="n">
        <v>4.53604179320236</v>
      </c>
      <c r="O683" s="18" t="n">
        <v>0.0185403052302457</v>
      </c>
    </row>
    <row r="684" ht="15" customHeight="1" s="12">
      <c r="A684" s="14" t="inlineStr">
        <is>
          <t>Khairpur</t>
        </is>
      </c>
      <c r="B684" s="14" t="inlineStr">
        <is>
          <t>Sindh</t>
        </is>
      </c>
      <c r="C684" s="14" t="n">
        <v>2015</v>
      </c>
      <c r="D684" s="15" t="n">
        <v>128.708798636367</v>
      </c>
      <c r="E684" s="15" t="n">
        <v>18696.5934081894</v>
      </c>
      <c r="F684" s="15" t="n">
        <v>251.251625433564</v>
      </c>
      <c r="G684" s="15" t="n">
        <v>42.4072672128677</v>
      </c>
      <c r="H684" s="15" t="n">
        <v>41.0793759160168</v>
      </c>
      <c r="I684" s="16" t="n">
        <v>31.9165250171248</v>
      </c>
      <c r="J684" s="15" t="n">
        <v>13.0274283246045</v>
      </c>
      <c r="K684" s="15" t="n">
        <v>16033.6017200277</v>
      </c>
      <c r="L684" s="15" t="n">
        <v>195.419551173749</v>
      </c>
      <c r="M684" s="15" t="n">
        <v>-66.71075253738169</v>
      </c>
      <c r="N684" s="17" t="n">
        <v>40.3314480404459</v>
      </c>
      <c r="O684" s="18" t="n">
        <v>0.25154328231858</v>
      </c>
    </row>
    <row r="685" ht="15" customHeight="1" s="12">
      <c r="A685" s="14" t="inlineStr">
        <is>
          <t>Khairpur</t>
        </is>
      </c>
      <c r="B685" s="14" t="inlineStr">
        <is>
          <t>Sindh</t>
        </is>
      </c>
      <c r="C685" s="14" t="n">
        <v>2016</v>
      </c>
      <c r="D685" s="15" t="n">
        <v>160.722197113772</v>
      </c>
      <c r="E685" s="15" t="n">
        <v>23346.9475509347</v>
      </c>
      <c r="F685" s="15" t="n">
        <v>292.545364499092</v>
      </c>
      <c r="G685" s="15" t="n">
        <v>80.6045135855675</v>
      </c>
      <c r="H685" s="15" t="n">
        <v>49.1325359258649</v>
      </c>
      <c r="I685" s="16" t="n">
        <v>30.5698508408798</v>
      </c>
      <c r="J685" s="15" t="n">
        <v>19.4924410129043</v>
      </c>
      <c r="K685" s="15" t="n">
        <v>16033.6017200277</v>
      </c>
      <c r="L685" s="15" t="n">
        <v>195.419551173749</v>
      </c>
      <c r="M685" s="15" t="n">
        <v>-34.6973540599767</v>
      </c>
      <c r="N685" s="17" t="n">
        <v>22.0990365123729</v>
      </c>
      <c r="O685" s="18" t="n">
        <v>0.137829521390499</v>
      </c>
    </row>
    <row r="686" ht="15" customHeight="1" s="12">
      <c r="A686" s="14" t="inlineStr">
        <is>
          <t>Khairpur</t>
        </is>
      </c>
      <c r="B686" s="14" t="inlineStr">
        <is>
          <t>Sindh</t>
        </is>
      </c>
      <c r="C686" s="14" t="n">
        <v>2017</v>
      </c>
      <c r="D686" s="15" t="n">
        <v>227.436060083451</v>
      </c>
      <c r="E686" s="15" t="n">
        <v>33037.9864220046</v>
      </c>
      <c r="F686" s="15" t="n">
        <v>395.52365732193</v>
      </c>
      <c r="G686" s="15" t="n">
        <v>71.843363404274</v>
      </c>
      <c r="H686" s="15" t="n">
        <v>74.06514521961989</v>
      </c>
      <c r="I686" s="16" t="n">
        <v>32.5652604043721</v>
      </c>
      <c r="J686" s="15" t="n">
        <v>24.6307704767561</v>
      </c>
      <c r="K686" s="15" t="n">
        <v>16033.6017200277</v>
      </c>
      <c r="L686" s="15" t="n">
        <v>195.419551173749</v>
      </c>
      <c r="M686" s="15" t="n">
        <v>32.0165089097019</v>
      </c>
      <c r="N686" s="17" t="n">
        <v>35.4670005182149</v>
      </c>
      <c r="O686" s="18" t="n">
        <v>0.22120420063767</v>
      </c>
    </row>
    <row r="687" ht="15" customHeight="1" s="12">
      <c r="A687" s="14" t="inlineStr">
        <is>
          <t>Khairpur</t>
        </is>
      </c>
      <c r="B687" s="14" t="inlineStr">
        <is>
          <t>Sindh</t>
        </is>
      </c>
      <c r="C687" s="14" t="n">
        <v>2018</v>
      </c>
      <c r="D687" s="15" t="n">
        <v>54.756732070038</v>
      </c>
      <c r="E687" s="15" t="n">
        <v>7954.11321309155</v>
      </c>
      <c r="F687" s="15" t="n">
        <v>119.54150724411</v>
      </c>
      <c r="G687" s="15" t="n">
        <v>24.2045246789672</v>
      </c>
      <c r="H687" s="15" t="n">
        <v>21.1529236197555</v>
      </c>
      <c r="I687" s="16" t="n">
        <v>38.6307268897993</v>
      </c>
      <c r="J687" s="15" t="n">
        <v>9.739646887317109</v>
      </c>
      <c r="K687" s="15" t="n">
        <v>16033.6017200277</v>
      </c>
      <c r="L687" s="15" t="n">
        <v>195.419551173749</v>
      </c>
      <c r="M687" s="15" t="n">
        <v>-140.662819103711</v>
      </c>
      <c r="N687" s="17" t="n">
        <v>22.8911214637801</v>
      </c>
      <c r="O687" s="18" t="n">
        <v>0.142769677477935</v>
      </c>
    </row>
    <row r="688" ht="15" customHeight="1" s="12">
      <c r="A688" s="14" t="inlineStr">
        <is>
          <t>Khairpur</t>
        </is>
      </c>
      <c r="B688" s="14" t="inlineStr">
        <is>
          <t>Sindh</t>
        </is>
      </c>
      <c r="C688" s="14" t="n">
        <v>2019</v>
      </c>
      <c r="D688" s="15" t="n">
        <v>205.369303859231</v>
      </c>
      <c r="E688" s="15" t="n">
        <v>29832.5088374652</v>
      </c>
      <c r="F688" s="15" t="n">
        <v>337.047625150561</v>
      </c>
      <c r="G688" s="15" t="n">
        <v>53.5097350329161</v>
      </c>
      <c r="H688" s="15" t="n">
        <v>67.2612119377244</v>
      </c>
      <c r="I688" s="16" t="n">
        <v>32.751346317962</v>
      </c>
      <c r="J688" s="15" t="n">
        <v>20.0611738027104</v>
      </c>
      <c r="K688" s="15" t="n">
        <v>16033.6017200277</v>
      </c>
      <c r="L688" s="15" t="n">
        <v>195.419551173749</v>
      </c>
      <c r="M688" s="15" t="n">
        <v>9.94975268548194</v>
      </c>
      <c r="N688" s="17" t="n">
        <v>29.9450672625277</v>
      </c>
      <c r="O688" s="18" t="n">
        <v>0.186764444978842</v>
      </c>
    </row>
    <row r="689" ht="15" customHeight="1" s="12">
      <c r="A689" s="14" t="inlineStr">
        <is>
          <t>Khairpur</t>
        </is>
      </c>
      <c r="B689" s="14" t="inlineStr">
        <is>
          <t>Sindh</t>
        </is>
      </c>
      <c r="C689" s="14" t="n">
        <v>2020</v>
      </c>
      <c r="D689" s="15" t="n">
        <v>219.707552774729</v>
      </c>
      <c r="E689" s="15" t="n">
        <v>31915.3222348295</v>
      </c>
      <c r="F689" s="15" t="n">
        <v>402.968578703702</v>
      </c>
      <c r="G689" s="15" t="n">
        <v>61.9353985946132</v>
      </c>
      <c r="H689" s="15" t="n">
        <v>83.4481823722016</v>
      </c>
      <c r="I689" s="16" t="n">
        <v>37.9814809815677</v>
      </c>
      <c r="J689" s="15" t="n">
        <v>24.1708871011285</v>
      </c>
      <c r="K689" s="15" t="n">
        <v>16033.6017200277</v>
      </c>
      <c r="L689" s="15" t="n">
        <v>195.419551173749</v>
      </c>
      <c r="M689" s="15" t="n">
        <v>24.2880016009806</v>
      </c>
      <c r="N689" s="17" t="n">
        <v>41.6031771975598</v>
      </c>
      <c r="O689" s="18" t="n">
        <v>0.259474932233056</v>
      </c>
    </row>
    <row r="690" ht="15" customHeight="1" s="12">
      <c r="A690" s="14" t="inlineStr">
        <is>
          <t>Khairpur</t>
        </is>
      </c>
      <c r="B690" s="14" t="inlineStr">
        <is>
          <t>Sindh</t>
        </is>
      </c>
      <c r="C690" s="14" t="n">
        <v>2021</v>
      </c>
      <c r="D690" s="15" t="n">
        <v>115.719941660708</v>
      </c>
      <c r="E690" s="15" t="n">
        <v>16809.7963882194</v>
      </c>
      <c r="F690" s="15" t="n">
        <v>194.096693366766</v>
      </c>
      <c r="G690" s="15" t="n">
        <v>50.461244225502</v>
      </c>
      <c r="H690" s="15" t="n">
        <v>33.0314120457951</v>
      </c>
      <c r="I690" s="16" t="n">
        <v>28.5442695284478</v>
      </c>
      <c r="J690" s="15" t="n">
        <v>19.2657253927974</v>
      </c>
      <c r="K690" s="15" t="n">
        <v>16033.6017200277</v>
      </c>
      <c r="L690" s="15" t="n">
        <v>195.419551173749</v>
      </c>
      <c r="M690" s="15" t="n">
        <v>-79.6996095130407</v>
      </c>
      <c r="N690" s="17" t="n">
        <v>24.8022068317252</v>
      </c>
      <c r="O690" s="18" t="n">
        <v>0.154688929317389</v>
      </c>
    </row>
    <row r="691" ht="15" customHeight="1" s="12">
      <c r="A691" s="14" t="inlineStr">
        <is>
          <t>Khairpur</t>
        </is>
      </c>
      <c r="B691" s="14" t="inlineStr">
        <is>
          <t>Sindh</t>
        </is>
      </c>
      <c r="C691" s="14" t="n">
        <v>2022</v>
      </c>
      <c r="D691" s="15" t="n">
        <v>464.30138082753</v>
      </c>
      <c r="E691" s="15" t="n">
        <v>67445.6931318171</v>
      </c>
      <c r="F691" s="15" t="n">
        <v>583.803085581574</v>
      </c>
      <c r="G691" s="15" t="n">
        <v>208.377189100254</v>
      </c>
      <c r="H691" s="15" t="n">
        <v>92.8620680522429</v>
      </c>
      <c r="I691" s="16" t="n">
        <v>20.000385931813</v>
      </c>
      <c r="J691" s="15" t="n">
        <v>35.400977269046</v>
      </c>
      <c r="K691" s="15" t="n">
        <v>16033.6017200277</v>
      </c>
      <c r="L691" s="15" t="n">
        <v>195.419551173749</v>
      </c>
      <c r="M691" s="15" t="n">
        <v>268.881829653781</v>
      </c>
      <c r="N691" s="17" t="n">
        <v>70.61443662655699</v>
      </c>
      <c r="O691" s="18" t="n">
        <v>0.440415309420791</v>
      </c>
    </row>
    <row r="692" ht="15" customHeight="1" s="12">
      <c r="A692" s="14" t="inlineStr">
        <is>
          <t>Khairpur</t>
        </is>
      </c>
      <c r="B692" s="14" t="inlineStr">
        <is>
          <t>Sindh</t>
        </is>
      </c>
      <c r="C692" s="14" t="n">
        <v>2023</v>
      </c>
      <c r="D692" s="15" t="n">
        <v>156.940687769565</v>
      </c>
      <c r="E692" s="15" t="n">
        <v>22797.6351229812</v>
      </c>
      <c r="F692" s="15" t="n">
        <v>253.368458867073</v>
      </c>
      <c r="G692" s="15" t="n">
        <v>66.352344751358</v>
      </c>
      <c r="H692" s="15" t="n">
        <v>40.8744792768404</v>
      </c>
      <c r="I692" s="16" t="n">
        <v>26.0445394102365</v>
      </c>
      <c r="J692" s="15" t="n">
        <v>14.8685006209168</v>
      </c>
      <c r="K692" s="15" t="n">
        <v>16033.6017200277</v>
      </c>
      <c r="L692" s="15" t="n">
        <v>195.419551173749</v>
      </c>
      <c r="M692" s="15" t="n">
        <v>-38.478863404184</v>
      </c>
      <c r="N692" s="17" t="n">
        <v>32.7560855287834</v>
      </c>
      <c r="O692" s="18" t="n">
        <v>0.204296489963747</v>
      </c>
    </row>
    <row r="693" ht="15" customHeight="1" s="12">
      <c r="A693" s="14" t="inlineStr">
        <is>
          <t>Khairpur</t>
        </is>
      </c>
      <c r="B693" s="14" t="inlineStr">
        <is>
          <t>Sindh</t>
        </is>
      </c>
      <c r="C693" s="14" t="n">
        <v>2024</v>
      </c>
      <c r="D693" s="15" t="n">
        <v>255.38367607639</v>
      </c>
      <c r="E693" s="15" t="n">
        <v>37097.7338400848</v>
      </c>
      <c r="F693" s="15" t="n">
        <v>433.82027378578</v>
      </c>
      <c r="G693" s="15" t="n">
        <v>87.4485739096999</v>
      </c>
      <c r="H693" s="15" t="n">
        <v>82.2672220743527</v>
      </c>
      <c r="I693" s="16" t="n">
        <v>32.2131873650942</v>
      </c>
      <c r="J693" s="15" t="n">
        <v>27.8683116462394</v>
      </c>
      <c r="K693" s="15" t="n">
        <v>16033.6017200277</v>
      </c>
      <c r="L693" s="15" t="n">
        <v>195.419551173749</v>
      </c>
      <c r="M693" s="15" t="n">
        <v>59.9641249026409</v>
      </c>
      <c r="N693" s="17" t="n">
        <v>48.8857015380983</v>
      </c>
      <c r="O693" s="18" t="n">
        <v>0.304895321660853</v>
      </c>
    </row>
    <row r="694" ht="15" customHeight="1" s="12">
      <c r="A694" s="14" t="inlineStr">
        <is>
          <t>Khairpur</t>
        </is>
      </c>
      <c r="B694" s="14" t="inlineStr">
        <is>
          <t>Sindh</t>
        </is>
      </c>
      <c r="C694" s="14" t="n">
        <v>2025</v>
      </c>
      <c r="D694" s="15" t="n">
        <v>160.568732039455</v>
      </c>
      <c r="E694" s="15" t="n">
        <v>23324.6547929628</v>
      </c>
      <c r="F694" s="15" t="n">
        <v>288.184481696752</v>
      </c>
      <c r="G694" s="15" t="n">
        <v>61.4546295999171</v>
      </c>
      <c r="H694" s="15" t="n">
        <v>53.8225728292315</v>
      </c>
      <c r="I694" s="16" t="n">
        <v>33.5199588024436</v>
      </c>
      <c r="J694" s="15" t="n">
        <v>18.647805194104</v>
      </c>
      <c r="K694" s="15" t="n">
        <v>16033.6017200277</v>
      </c>
      <c r="L694" s="15" t="n">
        <v>195.419551173749</v>
      </c>
      <c r="M694" s="15" t="n">
        <v>-34.8508191342932</v>
      </c>
      <c r="N694" s="17" t="n">
        <v>39.419863486162</v>
      </c>
      <c r="O694" s="18" t="n">
        <v>0.245857818938601</v>
      </c>
    </row>
    <row r="695" ht="15" customHeight="1" s="12">
      <c r="A695" s="14" t="inlineStr">
        <is>
          <t>Khanewal</t>
        </is>
      </c>
      <c r="B695" s="14" t="inlineStr">
        <is>
          <t>Punjab</t>
        </is>
      </c>
      <c r="C695" s="14" t="n">
        <v>2015</v>
      </c>
      <c r="D695" s="15" t="n">
        <v>188.142422202367</v>
      </c>
      <c r="E695" s="15" t="n">
        <v>7674.73519901575</v>
      </c>
      <c r="F695" s="15" t="n">
        <v>227.283244252205</v>
      </c>
      <c r="G695" s="15" t="n">
        <v>138.343289077282</v>
      </c>
      <c r="H695" s="15" t="n">
        <v>17.5134090559482</v>
      </c>
      <c r="I695" s="16" t="n">
        <v>9.308591252806719</v>
      </c>
      <c r="J695" s="15" t="n">
        <v>22.0429725052875</v>
      </c>
      <c r="K695" s="15" t="n">
        <v>4360.34625470638</v>
      </c>
      <c r="L695" s="15" t="n">
        <v>154.829062734901</v>
      </c>
      <c r="M695" s="15" t="n">
        <v>33.313359467466</v>
      </c>
      <c r="N695" s="17" t="n">
        <v>8.39208767864176</v>
      </c>
      <c r="O695" s="18" t="n">
        <v>0.192463790452047</v>
      </c>
    </row>
    <row r="696" ht="15" customHeight="1" s="12">
      <c r="A696" s="14" t="inlineStr">
        <is>
          <t>Khanewal</t>
        </is>
      </c>
      <c r="B696" s="14" t="inlineStr">
        <is>
          <t>Punjab</t>
        </is>
      </c>
      <c r="C696" s="14" t="n">
        <v>2016</v>
      </c>
      <c r="D696" s="15" t="n">
        <v>114.301812255298</v>
      </c>
      <c r="E696" s="15" t="n">
        <v>4662.61745521415</v>
      </c>
      <c r="F696" s="15" t="n">
        <v>130.920043587685</v>
      </c>
      <c r="G696" s="15" t="n">
        <v>89.2385299801827</v>
      </c>
      <c r="H696" s="15" t="n">
        <v>8.51467662036287</v>
      </c>
      <c r="I696" s="16" t="n">
        <v>7.44929275604572</v>
      </c>
      <c r="J696" s="15" t="n">
        <v>13.6499711593924</v>
      </c>
      <c r="K696" s="15" t="n">
        <v>4360.34625470638</v>
      </c>
      <c r="L696" s="15" t="n">
        <v>154.829062734901</v>
      </c>
      <c r="M696" s="15" t="n">
        <v>-40.5272504796028</v>
      </c>
      <c r="N696" s="17" t="n">
        <v>15.8144416052156</v>
      </c>
      <c r="O696" s="18" t="n">
        <v>0.362687747289475</v>
      </c>
    </row>
    <row r="697" ht="15" customHeight="1" s="12">
      <c r="A697" s="14" t="inlineStr">
        <is>
          <t>Khanewal</t>
        </is>
      </c>
      <c r="B697" s="14" t="inlineStr">
        <is>
          <t>Punjab</t>
        </is>
      </c>
      <c r="C697" s="14" t="n">
        <v>2017</v>
      </c>
      <c r="D697" s="15" t="n">
        <v>136.204124916824</v>
      </c>
      <c r="E697" s="15" t="n">
        <v>5556.06002896001</v>
      </c>
      <c r="F697" s="15" t="n">
        <v>166.596237659454</v>
      </c>
      <c r="G697" s="15" t="n">
        <v>109.46596634388</v>
      </c>
      <c r="H697" s="15" t="n">
        <v>11.9701185338636</v>
      </c>
      <c r="I697" s="16" t="n">
        <v>8.78836712263551</v>
      </c>
      <c r="J697" s="15" t="n">
        <v>19.4116516054605</v>
      </c>
      <c r="K697" s="15" t="n">
        <v>4360.34625470638</v>
      </c>
      <c r="L697" s="15" t="n">
        <v>154.829062734901</v>
      </c>
      <c r="M697" s="15" t="n">
        <v>-18.6249378180765</v>
      </c>
      <c r="N697" s="17" t="n">
        <v>6.03653059956102</v>
      </c>
      <c r="O697" s="18" t="n">
        <v>0.138441542183615</v>
      </c>
    </row>
    <row r="698" ht="15" customHeight="1" s="12">
      <c r="A698" s="14" t="inlineStr">
        <is>
          <t>Khanewal</t>
        </is>
      </c>
      <c r="B698" s="14" t="inlineStr">
        <is>
          <t>Punjab</t>
        </is>
      </c>
      <c r="C698" s="14" t="n">
        <v>2018</v>
      </c>
      <c r="D698" s="15" t="n">
        <v>102.976739187846</v>
      </c>
      <c r="E698" s="15" t="n">
        <v>4200.64329816461</v>
      </c>
      <c r="F698" s="15" t="n">
        <v>142.654286103323</v>
      </c>
      <c r="G698" s="15" t="n">
        <v>63.822004955262</v>
      </c>
      <c r="H698" s="15" t="n">
        <v>15.7691197163628</v>
      </c>
      <c r="I698" s="16" t="n">
        <v>15.3132832139862</v>
      </c>
      <c r="J698" s="15" t="n">
        <v>12.985868102288</v>
      </c>
      <c r="K698" s="15" t="n">
        <v>4360.34625470638</v>
      </c>
      <c r="L698" s="15" t="n">
        <v>154.829062734901</v>
      </c>
      <c r="M698" s="15" t="n">
        <v>-51.8523235470543</v>
      </c>
      <c r="N698" s="17" t="n">
        <v>6.05024879825679</v>
      </c>
      <c r="O698" s="18" t="n">
        <v>0.138756154783038</v>
      </c>
    </row>
    <row r="699" ht="15" customHeight="1" s="12">
      <c r="A699" s="14" t="inlineStr">
        <is>
          <t>Khanewal</t>
        </is>
      </c>
      <c r="B699" s="14" t="inlineStr">
        <is>
          <t>Punjab</t>
        </is>
      </c>
      <c r="C699" s="14" t="n">
        <v>2019</v>
      </c>
      <c r="D699" s="15" t="n">
        <v>115.480535465884</v>
      </c>
      <c r="E699" s="15" t="n">
        <v>4710.70011731816</v>
      </c>
      <c r="F699" s="15" t="n">
        <v>145.495220661149</v>
      </c>
      <c r="G699" s="15" t="n">
        <v>85.66917444765571</v>
      </c>
      <c r="H699" s="15" t="n">
        <v>12.5605658203334</v>
      </c>
      <c r="I699" s="16" t="n">
        <v>10.876781762104</v>
      </c>
      <c r="J699" s="15" t="n">
        <v>15.7137089021342</v>
      </c>
      <c r="K699" s="15" t="n">
        <v>4360.34625470638</v>
      </c>
      <c r="L699" s="15" t="n">
        <v>154.829062734901</v>
      </c>
      <c r="M699" s="15" t="n">
        <v>-39.3485272690161</v>
      </c>
      <c r="N699" s="17" t="n">
        <v>6.82814054953948</v>
      </c>
      <c r="O699" s="18" t="n">
        <v>0.156596291915337</v>
      </c>
    </row>
    <row r="700" ht="15" customHeight="1" s="12">
      <c r="A700" s="14" t="inlineStr">
        <is>
          <t>Khanewal</t>
        </is>
      </c>
      <c r="B700" s="14" t="inlineStr">
        <is>
          <t>Punjab</t>
        </is>
      </c>
      <c r="C700" s="14" t="n">
        <v>2020</v>
      </c>
      <c r="D700" s="15" t="n">
        <v>151.629998229993</v>
      </c>
      <c r="E700" s="15" t="n">
        <v>6185.31467289563</v>
      </c>
      <c r="F700" s="15" t="n">
        <v>241.222629635038</v>
      </c>
      <c r="G700" s="15" t="n">
        <v>92.6783761239203</v>
      </c>
      <c r="H700" s="15" t="n">
        <v>28.9329294319976</v>
      </c>
      <c r="I700" s="16" t="n">
        <v>19.0812700453324</v>
      </c>
      <c r="J700" s="15" t="n">
        <v>17.492597577389</v>
      </c>
      <c r="K700" s="15" t="n">
        <v>4360.34625470638</v>
      </c>
      <c r="L700" s="15" t="n">
        <v>154.829062734901</v>
      </c>
      <c r="M700" s="15" t="n">
        <v>-3.19906450490754</v>
      </c>
      <c r="N700" s="17" t="n">
        <v>12.1966934360565</v>
      </c>
      <c r="O700" s="18" t="n">
        <v>0.279718460956898</v>
      </c>
    </row>
    <row r="701" ht="15" customHeight="1" s="12">
      <c r="A701" s="14" t="inlineStr">
        <is>
          <t>Khanewal</t>
        </is>
      </c>
      <c r="B701" s="14" t="inlineStr">
        <is>
          <t>Punjab</t>
        </is>
      </c>
      <c r="C701" s="14" t="n">
        <v>2021</v>
      </c>
      <c r="D701" s="15" t="n">
        <v>105.788934964394</v>
      </c>
      <c r="E701" s="15" t="n">
        <v>4315.35882941032</v>
      </c>
      <c r="F701" s="15" t="n">
        <v>148.530142903328</v>
      </c>
      <c r="G701" s="15" t="n">
        <v>62.6834524273872</v>
      </c>
      <c r="H701" s="15" t="n">
        <v>17.2113147249917</v>
      </c>
      <c r="I701" s="16" t="n">
        <v>16.269484829188</v>
      </c>
      <c r="J701" s="15" t="n">
        <v>13.6564122284176</v>
      </c>
      <c r="K701" s="15" t="n">
        <v>4360.34625470638</v>
      </c>
      <c r="L701" s="15" t="n">
        <v>154.829062734901</v>
      </c>
      <c r="M701" s="15" t="n">
        <v>-49.0401277705061</v>
      </c>
      <c r="N701" s="17" t="n">
        <v>5.61367181218213</v>
      </c>
      <c r="O701" s="18" t="n">
        <v>0.12874371630746</v>
      </c>
    </row>
    <row r="702" ht="15" customHeight="1" s="12">
      <c r="A702" s="14" t="inlineStr">
        <is>
          <t>Khanewal</t>
        </is>
      </c>
      <c r="B702" s="14" t="inlineStr">
        <is>
          <t>Punjab</t>
        </is>
      </c>
      <c r="C702" s="14" t="n">
        <v>2022</v>
      </c>
      <c r="D702" s="15" t="n">
        <v>216.630229609143</v>
      </c>
      <c r="E702" s="15" t="n">
        <v>8836.814307428651</v>
      </c>
      <c r="F702" s="15" t="n">
        <v>274.708521510171</v>
      </c>
      <c r="G702" s="15" t="n">
        <v>179.8390920151</v>
      </c>
      <c r="H702" s="15" t="n">
        <v>25.5565428522569</v>
      </c>
      <c r="I702" s="16" t="n">
        <v>11.7973114363436</v>
      </c>
      <c r="J702" s="15" t="n">
        <v>25.6040184579889</v>
      </c>
      <c r="K702" s="15" t="n">
        <v>4360.34625470638</v>
      </c>
      <c r="L702" s="15" t="n">
        <v>154.829062734901</v>
      </c>
      <c r="M702" s="15" t="n">
        <v>61.8011668742426</v>
      </c>
      <c r="N702" s="17" t="n">
        <v>10.9603219455918</v>
      </c>
      <c r="O702" s="18" t="n">
        <v>0.251363568518479</v>
      </c>
    </row>
    <row r="703" ht="15" customHeight="1" s="12">
      <c r="A703" s="14" t="inlineStr">
        <is>
          <t>Khanewal</t>
        </is>
      </c>
      <c r="B703" s="14" t="inlineStr">
        <is>
          <t>Punjab</t>
        </is>
      </c>
      <c r="C703" s="14" t="n">
        <v>2023</v>
      </c>
      <c r="D703" s="15" t="n">
        <v>129.351165736671</v>
      </c>
      <c r="E703" s="15" t="n">
        <v>5276.51304310923</v>
      </c>
      <c r="F703" s="15" t="n">
        <v>155.660360813141</v>
      </c>
      <c r="G703" s="15" t="n">
        <v>106.398222386837</v>
      </c>
      <c r="H703" s="15" t="n">
        <v>13.6300815078707</v>
      </c>
      <c r="I703" s="16" t="n">
        <v>10.5372699428302</v>
      </c>
      <c r="J703" s="15" t="n">
        <v>15.6491059411652</v>
      </c>
      <c r="K703" s="15" t="n">
        <v>4360.34625470638</v>
      </c>
      <c r="L703" s="15" t="n">
        <v>154.829062734901</v>
      </c>
      <c r="M703" s="15" t="n">
        <v>-25.4778969982294</v>
      </c>
      <c r="N703" s="17" t="n">
        <v>7.54637817377714</v>
      </c>
      <c r="O703" s="18" t="n">
        <v>0.173068323774331</v>
      </c>
    </row>
    <row r="704" ht="15" customHeight="1" s="12">
      <c r="A704" s="14" t="inlineStr">
        <is>
          <t>Khanewal</t>
        </is>
      </c>
      <c r="B704" s="14" t="inlineStr">
        <is>
          <t>Punjab</t>
        </is>
      </c>
      <c r="C704" s="14" t="n">
        <v>2024</v>
      </c>
      <c r="D704" s="15" t="n">
        <v>237.802977538676</v>
      </c>
      <c r="E704" s="15" t="n">
        <v>9700.49636218552</v>
      </c>
      <c r="F704" s="15" t="n">
        <v>279.816650756446</v>
      </c>
      <c r="G704" s="15" t="n">
        <v>181.427968773991</v>
      </c>
      <c r="H704" s="15" t="n">
        <v>18.9275051039482</v>
      </c>
      <c r="I704" s="16" t="n">
        <v>7.95932216654849</v>
      </c>
      <c r="J704" s="15" t="n">
        <v>26.9446260334551</v>
      </c>
      <c r="K704" s="15" t="n">
        <v>4360.34625470638</v>
      </c>
      <c r="L704" s="15" t="n">
        <v>154.829062734901</v>
      </c>
      <c r="M704" s="15" t="n">
        <v>82.9739148037756</v>
      </c>
      <c r="N704" s="17" t="n">
        <v>8.57651945654632</v>
      </c>
      <c r="O704" s="18" t="n">
        <v>0.196693541190431</v>
      </c>
    </row>
    <row r="705" ht="15" customHeight="1" s="12">
      <c r="A705" s="14" t="inlineStr">
        <is>
          <t>Khanewal</t>
        </is>
      </c>
      <c r="B705" s="14" t="inlineStr">
        <is>
          <t>Punjab</t>
        </is>
      </c>
      <c r="C705" s="14" t="n">
        <v>2025</v>
      </c>
      <c r="D705" s="15" t="n">
        <v>204.810749976809</v>
      </c>
      <c r="E705" s="15" t="n">
        <v>8354.67224023046</v>
      </c>
      <c r="F705" s="15" t="n">
        <v>251.440704742803</v>
      </c>
      <c r="G705" s="15" t="n">
        <v>129.884773244095</v>
      </c>
      <c r="H705" s="15" t="n">
        <v>31.3525129653233</v>
      </c>
      <c r="I705" s="16" t="n">
        <v>15.3080407004385</v>
      </c>
      <c r="J705" s="15" t="n">
        <v>22.2789848106134</v>
      </c>
      <c r="K705" s="15" t="n">
        <v>4360.34625470638</v>
      </c>
      <c r="L705" s="15" t="n">
        <v>154.829062734901</v>
      </c>
      <c r="M705" s="15" t="n">
        <v>49.9816872419086</v>
      </c>
      <c r="N705" s="17" t="n">
        <v>9.737210059892471</v>
      </c>
      <c r="O705" s="18" t="n">
        <v>0.223312771305318</v>
      </c>
    </row>
    <row r="706" ht="15" customHeight="1" s="12">
      <c r="A706" s="14" t="inlineStr">
        <is>
          <t>Kharan</t>
        </is>
      </c>
      <c r="B706" s="14" t="inlineStr">
        <is>
          <t>Balochistan</t>
        </is>
      </c>
      <c r="C706" s="14" t="n">
        <v>2015</v>
      </c>
      <c r="D706" s="15" t="n">
        <v>4.05840147061719</v>
      </c>
      <c r="E706" s="15" t="n">
        <v>307.865560971054</v>
      </c>
      <c r="F706" s="15" t="n">
        <v>11.2583503723145</v>
      </c>
      <c r="G706" s="15" t="n">
        <v>0</v>
      </c>
      <c r="H706" s="15" t="n">
        <v>2.73615567818807</v>
      </c>
      <c r="I706" s="16" t="n">
        <v>67.4195418565124</v>
      </c>
      <c r="J706" s="15" t="n">
        <v>0.928143093465674</v>
      </c>
      <c r="K706" s="15" t="n">
        <v>8227.3287359272</v>
      </c>
      <c r="L706" s="15" t="n">
        <v>19.9938313088455</v>
      </c>
      <c r="M706" s="15" t="n">
        <v>-15.9354298382283</v>
      </c>
      <c r="N706" s="17" t="n">
        <v>0.217156801086426</v>
      </c>
      <c r="O706" s="18" t="n">
        <v>0.00263945696174924</v>
      </c>
    </row>
    <row r="707" ht="15" customHeight="1" s="12">
      <c r="A707" s="14" t="inlineStr">
        <is>
          <t>Kharan</t>
        </is>
      </c>
      <c r="B707" s="14" t="inlineStr">
        <is>
          <t>Balochistan</t>
        </is>
      </c>
      <c r="C707" s="14" t="n">
        <v>2016</v>
      </c>
      <c r="D707" s="15" t="n">
        <v>9.26406298782884</v>
      </c>
      <c r="E707" s="15" t="n">
        <v>702.760919359063</v>
      </c>
      <c r="F707" s="15" t="n">
        <v>36.0428693890572</v>
      </c>
      <c r="G707" s="15" t="n">
        <v>0</v>
      </c>
      <c r="H707" s="15" t="n">
        <v>7.94268811291031</v>
      </c>
      <c r="I707" s="16" t="n">
        <v>85.73655126638759</v>
      </c>
      <c r="J707" s="15" t="n">
        <v>2.76271712158809</v>
      </c>
      <c r="K707" s="15" t="n">
        <v>8227.3287359272</v>
      </c>
      <c r="L707" s="15" t="n">
        <v>19.9938313088455</v>
      </c>
      <c r="M707" s="15" t="n">
        <v>-10.7297683210166</v>
      </c>
      <c r="N707" s="17" t="n">
        <v>0.176249529882812</v>
      </c>
      <c r="O707" s="18" t="n">
        <v>0.00214224489551711</v>
      </c>
    </row>
    <row r="708" ht="15" customHeight="1" s="12">
      <c r="A708" s="14" t="inlineStr">
        <is>
          <t>Kharan</t>
        </is>
      </c>
      <c r="B708" s="14" t="inlineStr">
        <is>
          <t>Balochistan</t>
        </is>
      </c>
      <c r="C708" s="14" t="n">
        <v>2017</v>
      </c>
      <c r="D708" s="15" t="n">
        <v>7.80194989625038</v>
      </c>
      <c r="E708" s="15" t="n">
        <v>591.8467403649699</v>
      </c>
      <c r="F708" s="15" t="n">
        <v>21.843409717083</v>
      </c>
      <c r="G708" s="15" t="n">
        <v>2.36161112785339</v>
      </c>
      <c r="H708" s="15" t="n">
        <v>3.82199815524801</v>
      </c>
      <c r="I708" s="16" t="n">
        <v>48.9877300684136</v>
      </c>
      <c r="J708" s="15" t="n">
        <v>3.01835194375517</v>
      </c>
      <c r="K708" s="15" t="n">
        <v>8227.3287359272</v>
      </c>
      <c r="L708" s="15" t="n">
        <v>19.9938313088455</v>
      </c>
      <c r="M708" s="15" t="n">
        <v>-12.1918814125951</v>
      </c>
      <c r="N708" s="17" t="n">
        <v>0.0432794567260742</v>
      </c>
      <c r="O708" s="18" t="n">
        <v>0.000526045064141912</v>
      </c>
    </row>
    <row r="709" ht="15" customHeight="1" s="12">
      <c r="A709" s="14" t="inlineStr">
        <is>
          <t>Kharan</t>
        </is>
      </c>
      <c r="B709" s="14" t="inlineStr">
        <is>
          <t>Balochistan</t>
        </is>
      </c>
      <c r="C709" s="14" t="n">
        <v>2018</v>
      </c>
      <c r="D709" s="15" t="n">
        <v>3.25718832134859</v>
      </c>
      <c r="E709" s="15" t="n">
        <v>247.086474071243</v>
      </c>
      <c r="F709" s="15" t="n">
        <v>13.3680576389779</v>
      </c>
      <c r="G709" s="15" t="n">
        <v>0.420026396136791</v>
      </c>
      <c r="H709" s="15" t="n">
        <v>3.10123877309032</v>
      </c>
      <c r="I709" s="16" t="n">
        <v>95.2121421031716</v>
      </c>
      <c r="J709" s="15" t="n">
        <v>0.870088916459884</v>
      </c>
      <c r="K709" s="15" t="n">
        <v>8227.3287359272</v>
      </c>
      <c r="L709" s="15" t="n">
        <v>19.9938313088455</v>
      </c>
      <c r="M709" s="15" t="n">
        <v>-16.7366429874969</v>
      </c>
      <c r="N709" s="17" t="n">
        <v>0.121118908996582</v>
      </c>
      <c r="O709" s="18" t="n">
        <v>0.00147215351281247</v>
      </c>
    </row>
    <row r="710" ht="15" customHeight="1" s="12">
      <c r="A710" s="14" t="inlineStr">
        <is>
          <t>Kharan</t>
        </is>
      </c>
      <c r="B710" s="14" t="inlineStr">
        <is>
          <t>Balochistan</t>
        </is>
      </c>
      <c r="C710" s="14" t="n">
        <v>2019</v>
      </c>
      <c r="D710" s="15" t="n">
        <v>12.6730096563724</v>
      </c>
      <c r="E710" s="15" t="n">
        <v>961.359603109282</v>
      </c>
      <c r="F710" s="15" t="n">
        <v>31.2118528336287</v>
      </c>
      <c r="G710" s="15" t="n">
        <v>1.43019519373775</v>
      </c>
      <c r="H710" s="15" t="n">
        <v>6.12284143194021</v>
      </c>
      <c r="I710" s="16" t="n">
        <v>48.3140279851477</v>
      </c>
      <c r="J710" s="15" t="n">
        <v>3.40151985111662</v>
      </c>
      <c r="K710" s="15" t="n">
        <v>8227.3287359272</v>
      </c>
      <c r="L710" s="15" t="n">
        <v>19.9938313088455</v>
      </c>
      <c r="M710" s="15" t="n">
        <v>-7.32082165247311</v>
      </c>
      <c r="N710" s="17" t="n">
        <v>0.125144457824707</v>
      </c>
      <c r="O710" s="18" t="n">
        <v>0.00152108250249227</v>
      </c>
    </row>
    <row r="711" ht="15" customHeight="1" s="12">
      <c r="A711" s="14" t="inlineStr">
        <is>
          <t>Kharan</t>
        </is>
      </c>
      <c r="B711" s="14" t="inlineStr">
        <is>
          <t>Balochistan</t>
        </is>
      </c>
      <c r="C711" s="14" t="n">
        <v>2020</v>
      </c>
      <c r="D711" s="15" t="n">
        <v>21.8176606480971</v>
      </c>
      <c r="E711" s="15" t="n">
        <v>1655.06206892859</v>
      </c>
      <c r="F711" s="15" t="n">
        <v>40.8485549386396</v>
      </c>
      <c r="G711" s="15" t="n">
        <v>8.338948745280501</v>
      </c>
      <c r="H711" s="15" t="n">
        <v>8.309728983036401</v>
      </c>
      <c r="I711" s="16" t="n">
        <v>38.0871676256509</v>
      </c>
      <c r="J711" s="15" t="n">
        <v>5.28458436724566</v>
      </c>
      <c r="K711" s="15" t="n">
        <v>8227.3287359272</v>
      </c>
      <c r="L711" s="15" t="n">
        <v>19.9938313088455</v>
      </c>
      <c r="M711" s="15" t="n">
        <v>1.82382933925163</v>
      </c>
      <c r="N711" s="17" t="n">
        <v>0.21492418927002</v>
      </c>
      <c r="O711" s="18" t="n">
        <v>0.00261232042827566</v>
      </c>
    </row>
    <row r="712" ht="15" customHeight="1" s="12">
      <c r="A712" s="14" t="inlineStr">
        <is>
          <t>Kharan</t>
        </is>
      </c>
      <c r="B712" s="14" t="inlineStr">
        <is>
          <t>Balochistan</t>
        </is>
      </c>
      <c r="C712" s="14" t="n">
        <v>2021</v>
      </c>
      <c r="D712" s="15" t="n">
        <v>24.1379592302313</v>
      </c>
      <c r="E712" s="15" t="n">
        <v>1831.07718960625</v>
      </c>
      <c r="F712" s="15" t="n">
        <v>54.8304916024208</v>
      </c>
      <c r="G712" s="15" t="n">
        <v>8.631814479827881</v>
      </c>
      <c r="H712" s="15" t="n">
        <v>10.641099653462</v>
      </c>
      <c r="I712" s="16" t="n">
        <v>44.0845042116679</v>
      </c>
      <c r="J712" s="15" t="n">
        <v>3.83074855252275</v>
      </c>
      <c r="K712" s="15" t="n">
        <v>8227.3287359272</v>
      </c>
      <c r="L712" s="15" t="n">
        <v>19.9938313088455</v>
      </c>
      <c r="M712" s="15" t="n">
        <v>4.14412792138584</v>
      </c>
      <c r="N712" s="17" t="n">
        <v>0.132265881958008</v>
      </c>
      <c r="O712" s="18" t="n">
        <v>0.00160764065960349</v>
      </c>
    </row>
    <row r="713" ht="15" customHeight="1" s="12">
      <c r="A713" s="14" t="inlineStr">
        <is>
          <t>Kharan</t>
        </is>
      </c>
      <c r="B713" s="14" t="inlineStr">
        <is>
          <t>Balochistan</t>
        </is>
      </c>
      <c r="C713" s="14" t="n">
        <v>2022</v>
      </c>
      <c r="D713" s="15" t="n">
        <v>57.9779220913117</v>
      </c>
      <c r="E713" s="15" t="n">
        <v>4398.1369605268</v>
      </c>
      <c r="F713" s="15" t="n">
        <v>119.019100666046</v>
      </c>
      <c r="G713" s="15" t="n">
        <v>29.0438320394605</v>
      </c>
      <c r="H713" s="15" t="n">
        <v>23.2399097411756</v>
      </c>
      <c r="I713" s="16" t="n">
        <v>40.0840680433048</v>
      </c>
      <c r="J713" s="15" t="n">
        <v>15.332764681555</v>
      </c>
      <c r="K713" s="15" t="n">
        <v>8227.3287359272</v>
      </c>
      <c r="L713" s="15" t="n">
        <v>19.9938313088455</v>
      </c>
      <c r="M713" s="15" t="n">
        <v>37.9840907824663</v>
      </c>
      <c r="N713" s="17" t="n">
        <v>0.373919990722656</v>
      </c>
      <c r="O713" s="18" t="n">
        <v>0.0045448529252249</v>
      </c>
    </row>
    <row r="714" ht="15" customHeight="1" s="12">
      <c r="A714" s="14" t="inlineStr">
        <is>
          <t>Kharan</t>
        </is>
      </c>
      <c r="B714" s="14" t="inlineStr">
        <is>
          <t>Balochistan</t>
        </is>
      </c>
      <c r="C714" s="14" t="n">
        <v>2023</v>
      </c>
      <c r="D714" s="15" t="n">
        <v>19.1429800984451</v>
      </c>
      <c r="E714" s="15" t="n">
        <v>1452.16394911499</v>
      </c>
      <c r="F714" s="15" t="n">
        <v>37.2154895961285</v>
      </c>
      <c r="G714" s="15" t="n">
        <v>10.1254495382309</v>
      </c>
      <c r="H714" s="15" t="n">
        <v>6.91684168114266</v>
      </c>
      <c r="I714" s="16" t="n">
        <v>36.1325229696315</v>
      </c>
      <c r="J714" s="15" t="n">
        <v>5.870605872622</v>
      </c>
      <c r="K714" s="15" t="n">
        <v>8227.3287359272</v>
      </c>
      <c r="L714" s="15" t="n">
        <v>19.9938313088455</v>
      </c>
      <c r="M714" s="15" t="n">
        <v>-0.8508512104003501</v>
      </c>
      <c r="N714" s="17" t="n">
        <v>0.180952456481934</v>
      </c>
      <c r="O714" s="18" t="n">
        <v>0.00219940715012089</v>
      </c>
    </row>
    <row r="715" ht="15" customHeight="1" s="12">
      <c r="A715" s="14" t="inlineStr">
        <is>
          <t>Kharan</t>
        </is>
      </c>
      <c r="B715" s="14" t="inlineStr">
        <is>
          <t>Balochistan</t>
        </is>
      </c>
      <c r="C715" s="14" t="n">
        <v>2024</v>
      </c>
      <c r="D715" s="15" t="n">
        <v>33.9706991632172</v>
      </c>
      <c r="E715" s="15" t="n">
        <v>2576.97727299323</v>
      </c>
      <c r="F715" s="15" t="n">
        <v>68.14013249310671</v>
      </c>
      <c r="G715" s="15" t="n">
        <v>5.44790814360476</v>
      </c>
      <c r="H715" s="15" t="n">
        <v>15.4928454875992</v>
      </c>
      <c r="I715" s="16" t="n">
        <v>45.6064958014597</v>
      </c>
      <c r="J715" s="15" t="n">
        <v>10.925041356493</v>
      </c>
      <c r="K715" s="15" t="n">
        <v>8227.3287359272</v>
      </c>
      <c r="L715" s="15" t="n">
        <v>19.9938313088455</v>
      </c>
      <c r="M715" s="15" t="n">
        <v>13.9768678543717</v>
      </c>
      <c r="N715" s="17" t="n">
        <v>0.18736457623291</v>
      </c>
      <c r="O715" s="18" t="n">
        <v>0.00227734398669065</v>
      </c>
    </row>
    <row r="716" ht="15" customHeight="1" s="12">
      <c r="A716" s="14" t="inlineStr">
        <is>
          <t>Kharan</t>
        </is>
      </c>
      <c r="B716" s="14" t="inlineStr">
        <is>
          <t>Balochistan</t>
        </is>
      </c>
      <c r="C716" s="14" t="n">
        <v>2025</v>
      </c>
      <c r="D716" s="15" t="n">
        <v>25.8303108335804</v>
      </c>
      <c r="E716" s="15" t="n">
        <v>1959.45699123443</v>
      </c>
      <c r="F716" s="15" t="n">
        <v>61.81420122087</v>
      </c>
      <c r="G716" s="15" t="n">
        <v>9.651781180976901</v>
      </c>
      <c r="H716" s="15" t="n">
        <v>12.1088858822595</v>
      </c>
      <c r="I716" s="16" t="n">
        <v>46.8785914357542</v>
      </c>
      <c r="J716" s="15" t="n">
        <v>6.49524400330852</v>
      </c>
      <c r="K716" s="15" t="n">
        <v>8227.3287359272</v>
      </c>
      <c r="L716" s="15" t="n">
        <v>19.9938313088455</v>
      </c>
      <c r="M716" s="15" t="n">
        <v>5.8364795247349</v>
      </c>
      <c r="N716" s="17" t="n">
        <v>0.135371226745605</v>
      </c>
      <c r="O716" s="18" t="n">
        <v>0.00164538492493274</v>
      </c>
    </row>
    <row r="717" ht="15" customHeight="1" s="12">
      <c r="A717" s="14" t="inlineStr">
        <is>
          <t>Kharmang</t>
        </is>
      </c>
      <c r="B717" s="14" t="inlineStr">
        <is>
          <t>Gilgit Baltistan</t>
        </is>
      </c>
      <c r="C717" s="14" t="n">
        <v>2015</v>
      </c>
      <c r="D717" s="15" t="n">
        <v>144.387173232823</v>
      </c>
      <c r="E717" s="15" t="n">
        <v>8494.49557976006</v>
      </c>
      <c r="F717" s="15" t="n">
        <v>462.43139192462</v>
      </c>
      <c r="G717" s="15" t="n">
        <v>12.6074688516901</v>
      </c>
      <c r="H717" s="15" t="n">
        <v>76.69710269990711</v>
      </c>
      <c r="I717" s="16" t="n">
        <v>53.119055510723</v>
      </c>
      <c r="J717" s="15" t="n">
        <v>18.1973736835089</v>
      </c>
      <c r="K717" s="15" t="n">
        <v>5971.692111069</v>
      </c>
      <c r="L717" s="15" t="n">
        <v>121.081339763294</v>
      </c>
      <c r="M717" s="15" t="n">
        <v>23.3058334695291</v>
      </c>
      <c r="N717" s="17" t="n">
        <v>1.88703512498827</v>
      </c>
      <c r="O717" s="18" t="n">
        <v>0.0315996720844081</v>
      </c>
    </row>
    <row r="718" ht="15" customHeight="1" s="12">
      <c r="A718" s="14" t="inlineStr">
        <is>
          <t>Kharmang</t>
        </is>
      </c>
      <c r="B718" s="14" t="inlineStr">
        <is>
          <t>Gilgit Baltistan</t>
        </is>
      </c>
      <c r="C718" s="14" t="n">
        <v>2016</v>
      </c>
      <c r="D718" s="15" t="n">
        <v>93.0021866199986</v>
      </c>
      <c r="E718" s="15" t="n">
        <v>5471.44628891458</v>
      </c>
      <c r="F718" s="15" t="n">
        <v>391.06952047348</v>
      </c>
      <c r="G718" s="15" t="n">
        <v>3.62908184528351</v>
      </c>
      <c r="H718" s="15" t="n">
        <v>62.774313219478</v>
      </c>
      <c r="I718" s="16" t="n">
        <v>67.497674518095</v>
      </c>
      <c r="J718" s="15" t="n">
        <v>12.3212904946007</v>
      </c>
      <c r="K718" s="15" t="n">
        <v>5971.692111069</v>
      </c>
      <c r="L718" s="15" t="n">
        <v>121.081339763294</v>
      </c>
      <c r="M718" s="15" t="n">
        <v>-28.0791531432956</v>
      </c>
      <c r="N718" s="17" t="n">
        <v>1.46811003743681</v>
      </c>
      <c r="O718" s="18" t="n">
        <v>0.0245844897916883</v>
      </c>
    </row>
    <row r="719" ht="15" customHeight="1" s="12">
      <c r="A719" s="14" t="inlineStr">
        <is>
          <t>Kharmang</t>
        </is>
      </c>
      <c r="B719" s="14" t="inlineStr">
        <is>
          <t>Gilgit Baltistan</t>
        </is>
      </c>
      <c r="C719" s="14" t="n">
        <v>2017</v>
      </c>
      <c r="D719" s="15" t="n">
        <v>90.47297158757659</v>
      </c>
      <c r="E719" s="15" t="n">
        <v>5322.64909708559</v>
      </c>
      <c r="F719" s="15" t="n">
        <v>344.568131923676</v>
      </c>
      <c r="G719" s="15" t="n">
        <v>8.3622453212738</v>
      </c>
      <c r="H719" s="15" t="n">
        <v>51.809559753897</v>
      </c>
      <c r="I719" s="16" t="n">
        <v>57.2652349588696</v>
      </c>
      <c r="J719" s="15" t="n">
        <v>13.0886548460205</v>
      </c>
      <c r="K719" s="15" t="n">
        <v>5971.692111069</v>
      </c>
      <c r="L719" s="15" t="n">
        <v>121.081339763294</v>
      </c>
      <c r="M719" s="15" t="n">
        <v>-30.6083681757176</v>
      </c>
      <c r="N719" s="17" t="n">
        <v>1.07541489969722</v>
      </c>
      <c r="O719" s="18" t="n">
        <v>0.0180085456466158</v>
      </c>
    </row>
    <row r="720" ht="15" customHeight="1" s="12">
      <c r="A720" s="14" t="inlineStr">
        <is>
          <t>Kharmang</t>
        </is>
      </c>
      <c r="B720" s="14" t="inlineStr">
        <is>
          <t>Gilgit Baltistan</t>
        </is>
      </c>
      <c r="C720" s="14" t="n">
        <v>2018</v>
      </c>
      <c r="D720" s="15" t="n">
        <v>100.688977389373</v>
      </c>
      <c r="E720" s="15" t="n">
        <v>5923.67074037399</v>
      </c>
      <c r="F720" s="15" t="n">
        <v>331.686836730689</v>
      </c>
      <c r="G720" s="15" t="n">
        <v>6.60734210908413</v>
      </c>
      <c r="H720" s="15" t="n">
        <v>54.6668090501549</v>
      </c>
      <c r="I720" s="16" t="n">
        <v>54.2927443177358</v>
      </c>
      <c r="J720" s="15" t="n">
        <v>15.666577789628</v>
      </c>
      <c r="K720" s="15" t="n">
        <v>5971.692111069</v>
      </c>
      <c r="L720" s="15" t="n">
        <v>121.081339763294</v>
      </c>
      <c r="M720" s="15" t="n">
        <v>-20.3923623739216</v>
      </c>
      <c r="N720" s="17" t="n">
        <v>2.81848070263672</v>
      </c>
      <c r="O720" s="18" t="n">
        <v>0.0471973546226947</v>
      </c>
    </row>
    <row r="721" ht="15" customHeight="1" s="12">
      <c r="A721" s="14" t="inlineStr">
        <is>
          <t>Kharmang</t>
        </is>
      </c>
      <c r="B721" s="14" t="inlineStr">
        <is>
          <t>Gilgit Baltistan</t>
        </is>
      </c>
      <c r="C721" s="14" t="n">
        <v>2019</v>
      </c>
      <c r="D721" s="15" t="n">
        <v>190.589877334104</v>
      </c>
      <c r="E721" s="15" t="n">
        <v>11212.6640775146</v>
      </c>
      <c r="F721" s="15" t="n">
        <v>737.8562715053559</v>
      </c>
      <c r="G721" s="15" t="n">
        <v>22.0765506029129</v>
      </c>
      <c r="H721" s="15" t="n">
        <v>117.705093525917</v>
      </c>
      <c r="I721" s="16" t="n">
        <v>61.7583132810248</v>
      </c>
      <c r="J721" s="15" t="n">
        <v>16.8497533662178</v>
      </c>
      <c r="K721" s="15" t="n">
        <v>5971.692111069</v>
      </c>
      <c r="L721" s="15" t="n">
        <v>121.081339763294</v>
      </c>
      <c r="M721" s="15" t="n">
        <v>69.50853757080981</v>
      </c>
      <c r="N721" s="17" t="n">
        <v>1.98494556053539</v>
      </c>
      <c r="O721" s="18" t="n">
        <v>0.0332392481664642</v>
      </c>
    </row>
    <row r="722" ht="15" customHeight="1" s="12">
      <c r="A722" s="14" t="inlineStr">
        <is>
          <t>Kharmang</t>
        </is>
      </c>
      <c r="B722" s="14" t="inlineStr">
        <is>
          <t>Gilgit Baltistan</t>
        </is>
      </c>
      <c r="C722" s="14" t="n">
        <v>2020</v>
      </c>
      <c r="D722" s="15" t="n">
        <v>98.7322618892221</v>
      </c>
      <c r="E722" s="15" t="n">
        <v>5808.5544818122</v>
      </c>
      <c r="F722" s="15" t="n">
        <v>411.656841993332</v>
      </c>
      <c r="G722" s="15" t="n">
        <v>8.19314451608807</v>
      </c>
      <c r="H722" s="15" t="n">
        <v>63.1686282735972</v>
      </c>
      <c r="I722" s="16" t="n">
        <v>63.9797236130097</v>
      </c>
      <c r="J722" s="15" t="n">
        <v>17.4144114118118</v>
      </c>
      <c r="K722" s="15" t="n">
        <v>5971.692111069</v>
      </c>
      <c r="L722" s="15" t="n">
        <v>121.081339763294</v>
      </c>
      <c r="M722" s="15" t="n">
        <v>-22.3490778740721</v>
      </c>
      <c r="N722" s="17" t="n">
        <v>1.25216178016836</v>
      </c>
      <c r="O722" s="18" t="n">
        <v>0.0209682910116445</v>
      </c>
    </row>
    <row r="723" ht="15" customHeight="1" s="12">
      <c r="A723" s="14" t="inlineStr">
        <is>
          <t>Kharmang</t>
        </is>
      </c>
      <c r="B723" s="14" t="inlineStr">
        <is>
          <t>Gilgit Baltistan</t>
        </is>
      </c>
      <c r="C723" s="14" t="n">
        <v>2021</v>
      </c>
      <c r="D723" s="15" t="n">
        <v>103.859320008412</v>
      </c>
      <c r="E723" s="15" t="n">
        <v>6110.18634810271</v>
      </c>
      <c r="F723" s="15" t="n">
        <v>354.924821019173</v>
      </c>
      <c r="G723" s="15" t="n">
        <v>3.10157644748688</v>
      </c>
      <c r="H723" s="15" t="n">
        <v>61.6903659948336</v>
      </c>
      <c r="I723" s="16" t="n">
        <v>59.3980068325474</v>
      </c>
      <c r="J723" s="15" t="n">
        <v>12.4922010398614</v>
      </c>
      <c r="K723" s="15" t="n">
        <v>5971.692111069</v>
      </c>
      <c r="L723" s="15" t="n">
        <v>121.081339763294</v>
      </c>
      <c r="M723" s="15" t="n">
        <v>-17.2220197548826</v>
      </c>
      <c r="N723" s="17" t="n">
        <v>0.271475965781298</v>
      </c>
      <c r="O723" s="18" t="n">
        <v>0.00454604759810199</v>
      </c>
    </row>
    <row r="724" ht="15" customHeight="1" s="12">
      <c r="A724" s="14" t="inlineStr">
        <is>
          <t>Kharmang</t>
        </is>
      </c>
      <c r="B724" s="14" t="inlineStr">
        <is>
          <t>Gilgit Baltistan</t>
        </is>
      </c>
      <c r="C724" s="14" t="n">
        <v>2022</v>
      </c>
      <c r="D724" s="15" t="n">
        <v>124.61163284926</v>
      </c>
      <c r="E724" s="15" t="n">
        <v>7331.07339609644</v>
      </c>
      <c r="F724" s="15" t="n">
        <v>475.722642421722</v>
      </c>
      <c r="G724" s="15" t="n">
        <v>11.517807751894</v>
      </c>
      <c r="H724" s="15" t="n">
        <v>74.2075853852681</v>
      </c>
      <c r="I724" s="16" t="n">
        <v>59.5510898047823</v>
      </c>
      <c r="J724" s="15" t="n">
        <v>13.6664444740701</v>
      </c>
      <c r="K724" s="15" t="n">
        <v>5971.692111069</v>
      </c>
      <c r="L724" s="15" t="n">
        <v>121.081339763294</v>
      </c>
      <c r="M724" s="15" t="n">
        <v>3.53029308596543</v>
      </c>
      <c r="N724" s="17" t="n">
        <v>0.220470712948788</v>
      </c>
      <c r="O724" s="18" t="n">
        <v>0.00369193034148777</v>
      </c>
    </row>
    <row r="725" ht="15" customHeight="1" s="12">
      <c r="A725" s="14" t="inlineStr">
        <is>
          <t>Kharmang</t>
        </is>
      </c>
      <c r="B725" s="14" t="inlineStr">
        <is>
          <t>Gilgit Baltistan</t>
        </is>
      </c>
      <c r="C725" s="14" t="n">
        <v>2023</v>
      </c>
      <c r="D725" s="15" t="n">
        <v>166.022036944235</v>
      </c>
      <c r="E725" s="15" t="n">
        <v>9767.30430681337</v>
      </c>
      <c r="F725" s="15" t="n">
        <v>667.93486982584</v>
      </c>
      <c r="G725" s="15" t="n">
        <v>16.2757968902588</v>
      </c>
      <c r="H725" s="15" t="n">
        <v>103.692381586442</v>
      </c>
      <c r="I725" s="16" t="n">
        <v>62.4569987785848</v>
      </c>
      <c r="J725" s="15" t="n">
        <v>12.4958672177043</v>
      </c>
      <c r="K725" s="15" t="n">
        <v>5971.692111069</v>
      </c>
      <c r="L725" s="15" t="n">
        <v>121.081339763294</v>
      </c>
      <c r="M725" s="15" t="n">
        <v>44.9406971809404</v>
      </c>
      <c r="N725" s="17" t="n">
        <v>2.33658122965136</v>
      </c>
      <c r="O725" s="18" t="n">
        <v>0.0391276238994359</v>
      </c>
    </row>
    <row r="726" ht="15" customHeight="1" s="12">
      <c r="A726" s="14" t="inlineStr">
        <is>
          <t>Kharmang</t>
        </is>
      </c>
      <c r="B726" s="14" t="inlineStr">
        <is>
          <t>Gilgit Baltistan</t>
        </is>
      </c>
      <c r="C726" s="14" t="n">
        <v>2024</v>
      </c>
      <c r="D726" s="15" t="n">
        <v>99.3910395003586</v>
      </c>
      <c r="E726" s="15" t="n">
        <v>5847.31127287992</v>
      </c>
      <c r="F726" s="15" t="n">
        <v>361.151374410838</v>
      </c>
      <c r="G726" s="15" t="n">
        <v>9.252531273828939</v>
      </c>
      <c r="H726" s="15" t="n">
        <v>56.8903008355603</v>
      </c>
      <c r="I726" s="16" t="n">
        <v>57.2388629010717</v>
      </c>
      <c r="J726" s="15" t="n">
        <v>16.5219970670577</v>
      </c>
      <c r="K726" s="15" t="n">
        <v>5971.692111069</v>
      </c>
      <c r="L726" s="15" t="n">
        <v>121.081339763294</v>
      </c>
      <c r="M726" s="15" t="n">
        <v>-21.6903002629356</v>
      </c>
      <c r="N726" s="17" t="n">
        <v>2.27103580078101</v>
      </c>
      <c r="O726" s="18" t="n">
        <v>0.038030021617683</v>
      </c>
    </row>
    <row r="727" ht="15" customHeight="1" s="12">
      <c r="A727" s="14" t="inlineStr">
        <is>
          <t>Kharmang</t>
        </is>
      </c>
      <c r="B727" s="14" t="inlineStr">
        <is>
          <t>Gilgit Baltistan</t>
        </is>
      </c>
      <c r="C727" s="14" t="n">
        <v>2025</v>
      </c>
      <c r="D727" s="15" t="n">
        <v>120.137260040874</v>
      </c>
      <c r="E727" s="15" t="n">
        <v>7067.83990248313</v>
      </c>
      <c r="F727" s="15" t="n">
        <v>359.547627210617</v>
      </c>
      <c r="G727" s="15" t="n">
        <v>4.73586699799125</v>
      </c>
      <c r="H727" s="15" t="n">
        <v>63.5366031436909</v>
      </c>
      <c r="I727" s="16" t="n">
        <v>52.8866757258104</v>
      </c>
      <c r="J727" s="15" t="n">
        <v>17.1588454872684</v>
      </c>
      <c r="K727" s="15" t="n">
        <v>5971.692111069</v>
      </c>
      <c r="L727" s="15" t="n">
        <v>121.081339763294</v>
      </c>
      <c r="M727" s="15" t="n">
        <v>-0.94407972241973</v>
      </c>
      <c r="N727" s="17" t="n">
        <v>1.89920945174992</v>
      </c>
      <c r="O727" s="18" t="n">
        <v>0.031803539372527</v>
      </c>
    </row>
    <row r="728" ht="15" customHeight="1" s="12">
      <c r="A728" s="14" t="inlineStr">
        <is>
          <t>Khushab</t>
        </is>
      </c>
      <c r="B728" s="14" t="inlineStr">
        <is>
          <t>Punjab</t>
        </is>
      </c>
      <c r="C728" s="14" t="n">
        <v>2015</v>
      </c>
      <c r="D728" s="15" t="n">
        <v>356.525167598122</v>
      </c>
      <c r="E728" s="15" t="n">
        <v>22452.6967312088</v>
      </c>
      <c r="F728" s="15" t="n">
        <v>546.726361989975</v>
      </c>
      <c r="G728" s="15" t="n">
        <v>223.07398724556</v>
      </c>
      <c r="H728" s="15" t="n">
        <v>88.1845087663543</v>
      </c>
      <c r="I728" s="16" t="n">
        <v>24.7344414310062</v>
      </c>
      <c r="J728" s="15" t="n">
        <v>25.8661186873404</v>
      </c>
      <c r="K728" s="15" t="n">
        <v>6604.06605202545</v>
      </c>
      <c r="L728" s="15" t="n">
        <v>345.360675321802</v>
      </c>
      <c r="M728" s="15" t="n">
        <v>11.1644922763206</v>
      </c>
      <c r="N728" s="17" t="n">
        <v>11.3645788088534</v>
      </c>
      <c r="O728" s="18" t="n">
        <v>0.172084572130649</v>
      </c>
    </row>
    <row r="729" ht="15" customHeight="1" s="12">
      <c r="A729" s="14" t="inlineStr">
        <is>
          <t>Khushab</t>
        </is>
      </c>
      <c r="B729" s="14" t="inlineStr">
        <is>
          <t>Punjab</t>
        </is>
      </c>
      <c r="C729" s="14" t="n">
        <v>2016</v>
      </c>
      <c r="D729" s="15" t="n">
        <v>405.907894143021</v>
      </c>
      <c r="E729" s="15" t="n">
        <v>25562.6465570305</v>
      </c>
      <c r="F729" s="15" t="n">
        <v>498.668589770794</v>
      </c>
      <c r="G729" s="15" t="n">
        <v>243.087888002396</v>
      </c>
      <c r="H729" s="15" t="n">
        <v>75.1419133905587</v>
      </c>
      <c r="I729" s="16" t="n">
        <v>18.5120601187625</v>
      </c>
      <c r="J729" s="15" t="n">
        <v>31.360919110779</v>
      </c>
      <c r="K729" s="15" t="n">
        <v>6604.06605202545</v>
      </c>
      <c r="L729" s="15" t="n">
        <v>345.360675321802</v>
      </c>
      <c r="M729" s="15" t="n">
        <v>60.5472188212191</v>
      </c>
      <c r="N729" s="17" t="n">
        <v>16.4189282851726</v>
      </c>
      <c r="O729" s="18" t="n">
        <v>0.248618474676475</v>
      </c>
    </row>
    <row r="730" ht="15" customHeight="1" s="12">
      <c r="A730" s="14" t="inlineStr">
        <is>
          <t>Khushab</t>
        </is>
      </c>
      <c r="B730" s="14" t="inlineStr">
        <is>
          <t>Punjab</t>
        </is>
      </c>
      <c r="C730" s="14" t="n">
        <v>2017</v>
      </c>
      <c r="D730" s="15" t="n">
        <v>313.905716772748</v>
      </c>
      <c r="E730" s="15" t="n">
        <v>19768.6741398179</v>
      </c>
      <c r="F730" s="15" t="n">
        <v>447.559828519821</v>
      </c>
      <c r="G730" s="15" t="n">
        <v>205.060177505016</v>
      </c>
      <c r="H730" s="15" t="n">
        <v>65.1992892456627</v>
      </c>
      <c r="I730" s="16" t="n">
        <v>20.7703414630271</v>
      </c>
      <c r="J730" s="15" t="n">
        <v>24.7037798119435</v>
      </c>
      <c r="K730" s="15" t="n">
        <v>6604.06605202545</v>
      </c>
      <c r="L730" s="15" t="n">
        <v>345.360675321802</v>
      </c>
      <c r="M730" s="15" t="n">
        <v>-31.4549585490535</v>
      </c>
      <c r="N730" s="17" t="n">
        <v>4.75220210018046</v>
      </c>
      <c r="O730" s="18" t="n">
        <v>0.07195873061752581</v>
      </c>
    </row>
    <row r="731" ht="15" customHeight="1" s="12">
      <c r="A731" s="14" t="inlineStr">
        <is>
          <t>Khushab</t>
        </is>
      </c>
      <c r="B731" s="14" t="inlineStr">
        <is>
          <t>Punjab</t>
        </is>
      </c>
      <c r="C731" s="14" t="n">
        <v>2018</v>
      </c>
      <c r="D731" s="15" t="n">
        <v>257.55622363144</v>
      </c>
      <c r="E731" s="15" t="n">
        <v>16219.9819423423</v>
      </c>
      <c r="F731" s="15" t="n">
        <v>374.117963552475</v>
      </c>
      <c r="G731" s="15" t="n">
        <v>152.728721499443</v>
      </c>
      <c r="H731" s="15" t="n">
        <v>57.7695501521381</v>
      </c>
      <c r="I731" s="16" t="n">
        <v>22.42987932406</v>
      </c>
      <c r="J731" s="15" t="n">
        <v>22.1392365651659</v>
      </c>
      <c r="K731" s="15" t="n">
        <v>6604.06605202545</v>
      </c>
      <c r="L731" s="15" t="n">
        <v>345.360675321802</v>
      </c>
      <c r="M731" s="15" t="n">
        <v>-87.8044516903618</v>
      </c>
      <c r="N731" s="17" t="n">
        <v>5.21060139047588</v>
      </c>
      <c r="O731" s="18" t="n">
        <v>0.0788998981752735</v>
      </c>
    </row>
    <row r="732" ht="15" customHeight="1" s="12">
      <c r="A732" s="14" t="inlineStr">
        <is>
          <t>Khushab</t>
        </is>
      </c>
      <c r="B732" s="14" t="inlineStr">
        <is>
          <t>Punjab</t>
        </is>
      </c>
      <c r="C732" s="14" t="n">
        <v>2019</v>
      </c>
      <c r="D732" s="15" t="n">
        <v>349.256282518041</v>
      </c>
      <c r="E732" s="15" t="n">
        <v>21994.9280037538</v>
      </c>
      <c r="F732" s="15" t="n">
        <v>471.523463431762</v>
      </c>
      <c r="G732" s="15" t="n">
        <v>222.522606381215</v>
      </c>
      <c r="H732" s="15" t="n">
        <v>69.9134210677216</v>
      </c>
      <c r="I732" s="16" t="n">
        <v>20.0177991255204</v>
      </c>
      <c r="J732" s="15" t="n">
        <v>25.2974655956162</v>
      </c>
      <c r="K732" s="15" t="n">
        <v>6604.06605202545</v>
      </c>
      <c r="L732" s="15" t="n">
        <v>345.360675321802</v>
      </c>
      <c r="M732" s="15" t="n">
        <v>3.89560719623955</v>
      </c>
      <c r="N732" s="17" t="n">
        <v>9.41341839103381</v>
      </c>
      <c r="O732" s="18" t="n">
        <v>0.142539737138861</v>
      </c>
    </row>
    <row r="733" ht="15" customHeight="1" s="12">
      <c r="A733" s="14" t="inlineStr">
        <is>
          <t>Khushab</t>
        </is>
      </c>
      <c r="B733" s="14" t="inlineStr">
        <is>
          <t>Punjab</t>
        </is>
      </c>
      <c r="C733" s="14" t="n">
        <v>2020</v>
      </c>
      <c r="D733" s="15" t="n">
        <v>355.796329215588</v>
      </c>
      <c r="E733" s="15" t="n">
        <v>22406.7970622476</v>
      </c>
      <c r="F733" s="15" t="n">
        <v>485.927918930801</v>
      </c>
      <c r="G733" s="15" t="n">
        <v>238.425594465135</v>
      </c>
      <c r="H733" s="15" t="n">
        <v>60.4973289994109</v>
      </c>
      <c r="I733" s="16" t="n">
        <v>17.003359515481</v>
      </c>
      <c r="J733" s="15" t="n">
        <v>25.5921290242232</v>
      </c>
      <c r="K733" s="15" t="n">
        <v>6604.06605202545</v>
      </c>
      <c r="L733" s="15" t="n">
        <v>345.360675321802</v>
      </c>
      <c r="M733" s="15" t="n">
        <v>10.4356538937864</v>
      </c>
      <c r="N733" s="17" t="n">
        <v>10.8136470605765</v>
      </c>
      <c r="O733" s="18" t="n">
        <v>0.163742260834293</v>
      </c>
    </row>
    <row r="734" ht="15" customHeight="1" s="12">
      <c r="A734" s="14" t="inlineStr">
        <is>
          <t>Khushab</t>
        </is>
      </c>
      <c r="B734" s="14" t="inlineStr">
        <is>
          <t>Punjab</t>
        </is>
      </c>
      <c r="C734" s="14" t="n">
        <v>2021</v>
      </c>
      <c r="D734" s="15" t="n">
        <v>347.991945026175</v>
      </c>
      <c r="E734" s="15" t="n">
        <v>21915.3044908837</v>
      </c>
      <c r="F734" s="15" t="n">
        <v>528.151382923126</v>
      </c>
      <c r="G734" s="15" t="n">
        <v>167.452862560749</v>
      </c>
      <c r="H734" s="15" t="n">
        <v>94.0425628370735</v>
      </c>
      <c r="I734" s="16" t="n">
        <v>27.0243504716754</v>
      </c>
      <c r="J734" s="15" t="n">
        <v>18.9113892521328</v>
      </c>
      <c r="K734" s="15" t="n">
        <v>6604.06605202545</v>
      </c>
      <c r="L734" s="15" t="n">
        <v>345.360675321802</v>
      </c>
      <c r="M734" s="15" t="n">
        <v>2.63126970437264</v>
      </c>
      <c r="N734" s="17" t="n">
        <v>3.57835935996932</v>
      </c>
      <c r="O734" s="18" t="n">
        <v>0.0541841848912435</v>
      </c>
    </row>
    <row r="735" ht="15" customHeight="1" s="12">
      <c r="A735" s="14" t="inlineStr">
        <is>
          <t>Khushab</t>
        </is>
      </c>
      <c r="B735" s="14" t="inlineStr">
        <is>
          <t>Punjab</t>
        </is>
      </c>
      <c r="C735" s="14" t="n">
        <v>2022</v>
      </c>
      <c r="D735" s="15" t="n">
        <v>344.755070012539</v>
      </c>
      <c r="E735" s="15" t="n">
        <v>21711.4575267897</v>
      </c>
      <c r="F735" s="15" t="n">
        <v>425.723161523474</v>
      </c>
      <c r="G735" s="15" t="n">
        <v>245.948147174087</v>
      </c>
      <c r="H735" s="15" t="n">
        <v>48.3781609616612</v>
      </c>
      <c r="I735" s="16" t="n">
        <v>14.0326176957751</v>
      </c>
      <c r="J735" s="15" t="n">
        <v>27.8573385640451</v>
      </c>
      <c r="K735" s="15" t="n">
        <v>6604.06605202545</v>
      </c>
      <c r="L735" s="15" t="n">
        <v>345.360675321802</v>
      </c>
      <c r="M735" s="15" t="n">
        <v>-0.605605309263183</v>
      </c>
      <c r="N735" s="17" t="n">
        <v>7.52451827079168</v>
      </c>
      <c r="O735" s="18" t="n">
        <v>0.113937659186251</v>
      </c>
    </row>
    <row r="736" ht="15" customHeight="1" s="12">
      <c r="A736" s="14" t="inlineStr">
        <is>
          <t>Khushab</t>
        </is>
      </c>
      <c r="B736" s="14" t="inlineStr">
        <is>
          <t>Punjab</t>
        </is>
      </c>
      <c r="C736" s="14" t="n">
        <v>2023</v>
      </c>
      <c r="D736" s="15" t="n">
        <v>305.880964398473</v>
      </c>
      <c r="E736" s="15" t="n">
        <v>19263.3035579415</v>
      </c>
      <c r="F736" s="15" t="n">
        <v>471.936609387398</v>
      </c>
      <c r="G736" s="15" t="n">
        <v>165.139542460442</v>
      </c>
      <c r="H736" s="15" t="n">
        <v>79.068358330655</v>
      </c>
      <c r="I736" s="16" t="n">
        <v>25.8493883351473</v>
      </c>
      <c r="J736" s="15" t="n">
        <v>15.9247151130207</v>
      </c>
      <c r="K736" s="15" t="n">
        <v>6604.06605202545</v>
      </c>
      <c r="L736" s="15" t="n">
        <v>345.360675321802</v>
      </c>
      <c r="M736" s="15" t="n">
        <v>-39.4797109233288</v>
      </c>
      <c r="N736" s="17" t="n">
        <v>7.91140573246662</v>
      </c>
      <c r="O736" s="18" t="n">
        <v>0.119795981296102</v>
      </c>
    </row>
    <row r="737" ht="15" customHeight="1" s="12">
      <c r="A737" s="14" t="inlineStr">
        <is>
          <t>Khushab</t>
        </is>
      </c>
      <c r="B737" s="14" t="inlineStr">
        <is>
          <t>Punjab</t>
        </is>
      </c>
      <c r="C737" s="14" t="n">
        <v>2024</v>
      </c>
      <c r="D737" s="15" t="n">
        <v>333.978723170813</v>
      </c>
      <c r="E737" s="15" t="n">
        <v>21032.8012368631</v>
      </c>
      <c r="F737" s="15" t="n">
        <v>478.232109710574</v>
      </c>
      <c r="G737" s="15" t="n">
        <v>193.910602021846</v>
      </c>
      <c r="H737" s="15" t="n">
        <v>70.1957009934211</v>
      </c>
      <c r="I737" s="16" t="n">
        <v>21.018015856513</v>
      </c>
      <c r="J737" s="15" t="n">
        <v>31.9044772401768</v>
      </c>
      <c r="K737" s="15" t="n">
        <v>6604.06605202545</v>
      </c>
      <c r="L737" s="15" t="n">
        <v>345.360675321802</v>
      </c>
      <c r="M737" s="15" t="n">
        <v>-11.3819521509889</v>
      </c>
      <c r="N737" s="17" t="n">
        <v>7.54007413099699</v>
      </c>
      <c r="O737" s="18" t="n">
        <v>0.114173208923077</v>
      </c>
    </row>
    <row r="738" ht="15" customHeight="1" s="12">
      <c r="A738" s="14" t="inlineStr">
        <is>
          <t>Khushab</t>
        </is>
      </c>
      <c r="B738" s="14" t="inlineStr">
        <is>
          <t>Punjab</t>
        </is>
      </c>
      <c r="C738" s="14" t="n">
        <v>2025</v>
      </c>
      <c r="D738" s="15" t="n">
        <v>427.41311205286</v>
      </c>
      <c r="E738" s="15" t="n">
        <v>26916.9692802231</v>
      </c>
      <c r="F738" s="15" t="n">
        <v>574.886172954452</v>
      </c>
      <c r="G738" s="15" t="n">
        <v>256.938094521943</v>
      </c>
      <c r="H738" s="15" t="n">
        <v>80.672536016485</v>
      </c>
      <c r="I738" s="16" t="n">
        <v>18.8746048592229</v>
      </c>
      <c r="J738" s="15" t="n">
        <v>27.1102808394047</v>
      </c>
      <c r="K738" s="15" t="n">
        <v>6604.06605202545</v>
      </c>
      <c r="L738" s="15" t="n">
        <v>345.360675321802</v>
      </c>
      <c r="M738" s="15" t="n">
        <v>82.05243673105841</v>
      </c>
      <c r="N738" s="17" t="n">
        <v>3.96391350280068</v>
      </c>
      <c r="O738" s="18" t="n">
        <v>0.0600223176384639</v>
      </c>
    </row>
    <row r="739" ht="15" customHeight="1" s="12">
      <c r="A739" s="14" t="inlineStr">
        <is>
          <t>Khuzdar</t>
        </is>
      </c>
      <c r="B739" s="14" t="inlineStr">
        <is>
          <t>Balochistan</t>
        </is>
      </c>
      <c r="C739" s="14" t="n">
        <v>2015</v>
      </c>
      <c r="D739" s="15" t="n">
        <v>71.32611941736489</v>
      </c>
      <c r="E739" s="15" t="n">
        <v>20148.3700391806</v>
      </c>
      <c r="F739" s="15" t="n">
        <v>140.586593031883</v>
      </c>
      <c r="G739" s="15" t="n">
        <v>10.0687353014946</v>
      </c>
      <c r="H739" s="15" t="n">
        <v>32.933862605508</v>
      </c>
      <c r="I739" s="16" t="n">
        <v>46.173635793636</v>
      </c>
      <c r="J739" s="15" t="n">
        <v>14.8791109630308</v>
      </c>
      <c r="K739" s="15" t="n">
        <v>31005.4174458779</v>
      </c>
      <c r="L739" s="15" t="n">
        <v>137.720198321215</v>
      </c>
      <c r="M739" s="15" t="n">
        <v>-66.39407890385</v>
      </c>
      <c r="N739" s="17" t="n">
        <v>3.73915073911731</v>
      </c>
      <c r="O739" s="18" t="n">
        <v>0.0120596690744263</v>
      </c>
    </row>
    <row r="740" ht="15" customHeight="1" s="12">
      <c r="A740" s="14" t="inlineStr">
        <is>
          <t>Khuzdar</t>
        </is>
      </c>
      <c r="B740" s="14" t="inlineStr">
        <is>
          <t>Balochistan</t>
        </is>
      </c>
      <c r="C740" s="14" t="n">
        <v>2016</v>
      </c>
      <c r="D740" s="15" t="n">
        <v>131.329715339927</v>
      </c>
      <c r="E740" s="15" t="n">
        <v>37098.3270003173</v>
      </c>
      <c r="F740" s="15" t="n">
        <v>273.299988269806</v>
      </c>
      <c r="G740" s="15" t="n">
        <v>28.3429670631886</v>
      </c>
      <c r="H740" s="15" t="n">
        <v>59.915293367012</v>
      </c>
      <c r="I740" s="16" t="n">
        <v>45.6220385553495</v>
      </c>
      <c r="J740" s="15" t="n">
        <v>19.9171213193953</v>
      </c>
      <c r="K740" s="15" t="n">
        <v>31005.4174458779</v>
      </c>
      <c r="L740" s="15" t="n">
        <v>137.720198321215</v>
      </c>
      <c r="M740" s="15" t="n">
        <v>-6.39048298128842</v>
      </c>
      <c r="N740" s="17" t="n">
        <v>2.83963870366355</v>
      </c>
      <c r="O740" s="18" t="n">
        <v>0.00915852434052963</v>
      </c>
    </row>
    <row r="741" ht="15" customHeight="1" s="12">
      <c r="A741" s="14" t="inlineStr">
        <is>
          <t>Khuzdar</t>
        </is>
      </c>
      <c r="B741" s="14" t="inlineStr">
        <is>
          <t>Balochistan</t>
        </is>
      </c>
      <c r="C741" s="14" t="n">
        <v>2017</v>
      </c>
      <c r="D741" s="15" t="n">
        <v>103.19582610181</v>
      </c>
      <c r="E741" s="15" t="n">
        <v>29150.9997709477</v>
      </c>
      <c r="F741" s="15" t="n">
        <v>241.100407838821</v>
      </c>
      <c r="G741" s="15" t="n">
        <v>25.1321559250355</v>
      </c>
      <c r="H741" s="15" t="n">
        <v>57.7715164942654</v>
      </c>
      <c r="I741" s="16" t="n">
        <v>55.9824158365376</v>
      </c>
      <c r="J741" s="15" t="n">
        <v>18.4532783585301</v>
      </c>
      <c r="K741" s="15" t="n">
        <v>31005.4174458779</v>
      </c>
      <c r="L741" s="15" t="n">
        <v>137.720198321215</v>
      </c>
      <c r="M741" s="15" t="n">
        <v>-34.5243722194051</v>
      </c>
      <c r="N741" s="17" t="n">
        <v>2.31666760645178</v>
      </c>
      <c r="O741" s="18" t="n">
        <v>0.00747181556415319</v>
      </c>
    </row>
    <row r="742" ht="15" customHeight="1" s="12">
      <c r="A742" s="14" t="inlineStr">
        <is>
          <t>Khuzdar</t>
        </is>
      </c>
      <c r="B742" s="14" t="inlineStr">
        <is>
          <t>Balochistan</t>
        </is>
      </c>
      <c r="C742" s="14" t="n">
        <v>2018</v>
      </c>
      <c r="D742" s="15" t="n">
        <v>46.202798119537</v>
      </c>
      <c r="E742" s="15" t="n">
        <v>13051.475125273</v>
      </c>
      <c r="F742" s="15" t="n">
        <v>91.48856317251921</v>
      </c>
      <c r="G742" s="15" t="n">
        <v>17.5162354682107</v>
      </c>
      <c r="H742" s="15" t="n">
        <v>17.7933522871903</v>
      </c>
      <c r="I742" s="16" t="n">
        <v>38.5114170816126</v>
      </c>
      <c r="J742" s="15" t="n">
        <v>12.7627892771369</v>
      </c>
      <c r="K742" s="15" t="n">
        <v>31005.4174458779</v>
      </c>
      <c r="L742" s="15" t="n">
        <v>137.720198321215</v>
      </c>
      <c r="M742" s="15" t="n">
        <v>-91.5174002016779</v>
      </c>
      <c r="N742" s="17" t="n">
        <v>2.54607224102783</v>
      </c>
      <c r="O742" s="18" t="n">
        <v>0.008211701214706031</v>
      </c>
    </row>
    <row r="743" ht="15" customHeight="1" s="12">
      <c r="A743" s="14" t="inlineStr">
        <is>
          <t>Khuzdar</t>
        </is>
      </c>
      <c r="B743" s="14" t="inlineStr">
        <is>
          <t>Balochistan</t>
        </is>
      </c>
      <c r="C743" s="14" t="n">
        <v>2019</v>
      </c>
      <c r="D743" s="15" t="n">
        <v>135.895489745285</v>
      </c>
      <c r="E743" s="15" t="n">
        <v>38388.0776973415</v>
      </c>
      <c r="F743" s="15" t="n">
        <v>283.514197188546</v>
      </c>
      <c r="G743" s="15" t="n">
        <v>33.2044859435409</v>
      </c>
      <c r="H743" s="15" t="n">
        <v>62.0788537615796</v>
      </c>
      <c r="I743" s="16" t="n">
        <v>45.6813201659135</v>
      </c>
      <c r="J743" s="15" t="n">
        <v>22.4025932558689</v>
      </c>
      <c r="K743" s="15" t="n">
        <v>31005.4174458779</v>
      </c>
      <c r="L743" s="15" t="n">
        <v>137.720198321215</v>
      </c>
      <c r="M743" s="15" t="n">
        <v>-1.82470857593029</v>
      </c>
      <c r="N743" s="17" t="n">
        <v>3.360914464456</v>
      </c>
      <c r="O743" s="18" t="n">
        <v>0.0108397652452921</v>
      </c>
    </row>
    <row r="744" ht="15" customHeight="1" s="12">
      <c r="A744" s="14" t="inlineStr">
        <is>
          <t>Khuzdar</t>
        </is>
      </c>
      <c r="B744" s="14" t="inlineStr">
        <is>
          <t>Balochistan</t>
        </is>
      </c>
      <c r="C744" s="14" t="n">
        <v>2020</v>
      </c>
      <c r="D744" s="15" t="n">
        <v>148.811416039349</v>
      </c>
      <c r="E744" s="15" t="n">
        <v>42036.5989473035</v>
      </c>
      <c r="F744" s="15" t="n">
        <v>312.643997881263</v>
      </c>
      <c r="G744" s="15" t="n">
        <v>36.890652439557</v>
      </c>
      <c r="H744" s="15" t="n">
        <v>61.1770693830983</v>
      </c>
      <c r="I744" s="16" t="n">
        <v>41.1104678735951</v>
      </c>
      <c r="J744" s="15" t="n">
        <v>23.7844460177974</v>
      </c>
      <c r="K744" s="15" t="n">
        <v>31005.4174458779</v>
      </c>
      <c r="L744" s="15" t="n">
        <v>137.720198321215</v>
      </c>
      <c r="M744" s="15" t="n">
        <v>11.0912177181336</v>
      </c>
      <c r="N744" s="17" t="n">
        <v>6.40856851736245</v>
      </c>
      <c r="O744" s="18" t="n">
        <v>0.0206691895974277</v>
      </c>
    </row>
    <row r="745" ht="15" customHeight="1" s="12">
      <c r="A745" s="14" t="inlineStr">
        <is>
          <t>Khuzdar</t>
        </is>
      </c>
      <c r="B745" s="14" t="inlineStr">
        <is>
          <t>Balochistan</t>
        </is>
      </c>
      <c r="C745" s="14" t="n">
        <v>2021</v>
      </c>
      <c r="D745" s="15" t="n">
        <v>97.72533057439991</v>
      </c>
      <c r="E745" s="15" t="n">
        <v>27605.6813226108</v>
      </c>
      <c r="F745" s="15" t="n">
        <v>173.311471402645</v>
      </c>
      <c r="G745" s="15" t="n">
        <v>26.3608776293695</v>
      </c>
      <c r="H745" s="15" t="n">
        <v>35.8643328929422</v>
      </c>
      <c r="I745" s="16" t="n">
        <v>36.6991164748612</v>
      </c>
      <c r="J745" s="15" t="n">
        <v>14.0212541474047</v>
      </c>
      <c r="K745" s="15" t="n">
        <v>31005.4174458779</v>
      </c>
      <c r="L745" s="15" t="n">
        <v>137.720198321215</v>
      </c>
      <c r="M745" s="15" t="n">
        <v>-39.9948677468149</v>
      </c>
      <c r="N745" s="17" t="n">
        <v>2.92339959272126</v>
      </c>
      <c r="O745" s="18" t="n">
        <v>0.009428673546564081</v>
      </c>
    </row>
    <row r="746" ht="15" customHeight="1" s="12">
      <c r="A746" s="14" t="inlineStr">
        <is>
          <t>Khuzdar</t>
        </is>
      </c>
      <c r="B746" s="14" t="inlineStr">
        <is>
          <t>Balochistan</t>
        </is>
      </c>
      <c r="C746" s="14" t="n">
        <v>2022</v>
      </c>
      <c r="D746" s="15" t="n">
        <v>325.151911797685</v>
      </c>
      <c r="E746" s="15" t="n">
        <v>91849.6771079318</v>
      </c>
      <c r="F746" s="15" t="n">
        <v>530.911451499909</v>
      </c>
      <c r="G746" s="15" t="n">
        <v>81.0607204642147</v>
      </c>
      <c r="H746" s="15" t="n">
        <v>101.403410178215</v>
      </c>
      <c r="I746" s="16" t="n">
        <v>31.1864720762613</v>
      </c>
      <c r="J746" s="15" t="n">
        <v>34.7773659295046</v>
      </c>
      <c r="K746" s="15" t="n">
        <v>31005.4174458779</v>
      </c>
      <c r="L746" s="15" t="n">
        <v>137.720198321215</v>
      </c>
      <c r="M746" s="15" t="n">
        <v>187.43171347647</v>
      </c>
      <c r="N746" s="17" t="n">
        <v>8.36755438563517</v>
      </c>
      <c r="O746" s="18" t="n">
        <v>0.0269873947036556</v>
      </c>
    </row>
    <row r="747" ht="15" customHeight="1" s="12">
      <c r="A747" s="14" t="inlineStr">
        <is>
          <t>Khuzdar</t>
        </is>
      </c>
      <c r="B747" s="14" t="inlineStr">
        <is>
          <t>Balochistan</t>
        </is>
      </c>
      <c r="C747" s="14" t="n">
        <v>2023</v>
      </c>
      <c r="D747" s="15" t="n">
        <v>132.066953843684</v>
      </c>
      <c r="E747" s="15" t="n">
        <v>37306.5838675375</v>
      </c>
      <c r="F747" s="15" t="n">
        <v>217.228847622871</v>
      </c>
      <c r="G747" s="15" t="n">
        <v>47.562260389328</v>
      </c>
      <c r="H747" s="15" t="n">
        <v>37.0180554196652</v>
      </c>
      <c r="I747" s="16" t="n">
        <v>28.0297639510035</v>
      </c>
      <c r="J747" s="15" t="n">
        <v>22.8759735121403</v>
      </c>
      <c r="K747" s="15" t="n">
        <v>31005.4174458779</v>
      </c>
      <c r="L747" s="15" t="n">
        <v>137.720198321215</v>
      </c>
      <c r="M747" s="15" t="n">
        <v>-5.65324447753139</v>
      </c>
      <c r="N747" s="17" t="n">
        <v>2.53216636695269</v>
      </c>
      <c r="O747" s="18" t="n">
        <v>0.00816685139418866</v>
      </c>
    </row>
    <row r="748" ht="15" customHeight="1" s="12">
      <c r="A748" s="14" t="inlineStr">
        <is>
          <t>Khuzdar</t>
        </is>
      </c>
      <c r="B748" s="14" t="inlineStr">
        <is>
          <t>Balochistan</t>
        </is>
      </c>
      <c r="C748" s="14" t="n">
        <v>2024</v>
      </c>
      <c r="D748" s="15" t="n">
        <v>178.137660568638</v>
      </c>
      <c r="E748" s="15" t="n">
        <v>50320.7455048654</v>
      </c>
      <c r="F748" s="15" t="n">
        <v>285.693556137225</v>
      </c>
      <c r="G748" s="15" t="n">
        <v>43.9053596461308</v>
      </c>
      <c r="H748" s="15" t="n">
        <v>48.8985107522891</v>
      </c>
      <c r="I748" s="16" t="n">
        <v>27.4498444608506</v>
      </c>
      <c r="J748" s="15" t="n">
        <v>30.0846834089931</v>
      </c>
      <c r="K748" s="15" t="n">
        <v>31005.4174458779</v>
      </c>
      <c r="L748" s="15" t="n">
        <v>137.720198321215</v>
      </c>
      <c r="M748" s="15" t="n">
        <v>40.417462247423</v>
      </c>
      <c r="N748" s="17" t="n">
        <v>5.46936306335759</v>
      </c>
      <c r="O748" s="18" t="n">
        <v>0.0176400239503459</v>
      </c>
    </row>
    <row r="749" ht="15" customHeight="1" s="12">
      <c r="A749" s="14" t="inlineStr">
        <is>
          <t>Khuzdar</t>
        </is>
      </c>
      <c r="B749" s="14" t="inlineStr">
        <is>
          <t>Balochistan</t>
        </is>
      </c>
      <c r="C749" s="14" t="n">
        <v>2025</v>
      </c>
      <c r="D749" s="15" t="n">
        <v>145.078959985687</v>
      </c>
      <c r="E749" s="15" t="n">
        <v>40982.2459790155</v>
      </c>
      <c r="F749" s="15" t="n">
        <v>242.305097995636</v>
      </c>
      <c r="G749" s="15" t="n">
        <v>45.5602073595819</v>
      </c>
      <c r="H749" s="15" t="n">
        <v>40.0257320459677</v>
      </c>
      <c r="I749" s="16" t="n">
        <v>27.5889295387261</v>
      </c>
      <c r="J749" s="15" t="n">
        <v>22.0568489442339</v>
      </c>
      <c r="K749" s="15" t="n">
        <v>31005.4174458779</v>
      </c>
      <c r="L749" s="15" t="n">
        <v>137.720198321215</v>
      </c>
      <c r="M749" s="15" t="n">
        <v>7.35876166447164</v>
      </c>
      <c r="N749" s="17" t="n">
        <v>3.37433790306037</v>
      </c>
      <c r="O749" s="18" t="n">
        <v>0.0108830590942712</v>
      </c>
    </row>
    <row r="750" ht="15" customHeight="1" s="12">
      <c r="A750" s="14" t="inlineStr">
        <is>
          <t>Khyber</t>
        </is>
      </c>
      <c r="B750" s="14" t="inlineStr">
        <is>
          <t>Khyber Pakhtunkhwa</t>
        </is>
      </c>
      <c r="C750" s="14" t="n">
        <v>2015</v>
      </c>
      <c r="D750" s="15" t="n">
        <v>249.538504208148</v>
      </c>
      <c r="E750" s="15" t="n">
        <v>6685.67474803948</v>
      </c>
      <c r="F750" s="15" t="n">
        <v>416.15626001358</v>
      </c>
      <c r="G750" s="15" t="n">
        <v>80.76133590936659</v>
      </c>
      <c r="H750" s="15" t="n">
        <v>107.525441112223</v>
      </c>
      <c r="I750" s="16" t="n">
        <v>43.089719341482</v>
      </c>
      <c r="J750" s="15" t="n">
        <v>20.2448770491803</v>
      </c>
      <c r="K750" s="15" t="n">
        <v>2748.24493863249</v>
      </c>
      <c r="L750" s="15" t="n">
        <v>211.633282890968</v>
      </c>
      <c r="M750" s="15" t="n">
        <v>37.9052213171796</v>
      </c>
      <c r="N750" s="17" t="n">
        <v>0.349867087387265</v>
      </c>
      <c r="O750" s="18" t="n">
        <v>0.0127305642400767</v>
      </c>
    </row>
    <row r="751" ht="15" customHeight="1" s="12">
      <c r="A751" s="14" t="inlineStr">
        <is>
          <t>Khyber</t>
        </is>
      </c>
      <c r="B751" s="14" t="inlineStr">
        <is>
          <t>Khyber Pakhtunkhwa</t>
        </is>
      </c>
      <c r="C751" s="14" t="n">
        <v>2016</v>
      </c>
      <c r="D751" s="15" t="n">
        <v>259.560023508477</v>
      </c>
      <c r="E751" s="15" t="n">
        <v>6954.17286513693</v>
      </c>
      <c r="F751" s="15" t="n">
        <v>417.016660451889</v>
      </c>
      <c r="G751" s="15" t="n">
        <v>86.7931746244431</v>
      </c>
      <c r="H751" s="15" t="n">
        <v>103.999485720397</v>
      </c>
      <c r="I751" s="16" t="n">
        <v>40.0676052940025</v>
      </c>
      <c r="J751" s="15" t="n">
        <v>14.9055913348946</v>
      </c>
      <c r="K751" s="15" t="n">
        <v>2748.24493863249</v>
      </c>
      <c r="L751" s="15" t="n">
        <v>211.633282890968</v>
      </c>
      <c r="M751" s="15" t="n">
        <v>47.926740617509</v>
      </c>
      <c r="N751" s="17" t="n">
        <v>0.23763324268009</v>
      </c>
      <c r="O751" s="18" t="n">
        <v>0.008646727201773161</v>
      </c>
    </row>
    <row r="752" ht="15" customHeight="1" s="12">
      <c r="A752" s="14" t="inlineStr">
        <is>
          <t>Khyber</t>
        </is>
      </c>
      <c r="B752" s="14" t="inlineStr">
        <is>
          <t>Khyber Pakhtunkhwa</t>
        </is>
      </c>
      <c r="C752" s="14" t="n">
        <v>2017</v>
      </c>
      <c r="D752" s="15" t="n">
        <v>298.89082008554</v>
      </c>
      <c r="E752" s="15" t="n">
        <v>8007.92973656631</v>
      </c>
      <c r="F752" s="15" t="n">
        <v>532.34788697958</v>
      </c>
      <c r="G752" s="15" t="n">
        <v>86.3598960638046</v>
      </c>
      <c r="H752" s="15" t="n">
        <v>135.313171429563</v>
      </c>
      <c r="I752" s="16" t="n">
        <v>45.2717722781975</v>
      </c>
      <c r="J752" s="15" t="n">
        <v>20.8754391100703</v>
      </c>
      <c r="K752" s="15" t="n">
        <v>2748.24493863249</v>
      </c>
      <c r="L752" s="15" t="n">
        <v>211.633282890968</v>
      </c>
      <c r="M752" s="15" t="n">
        <v>87.2575371945716</v>
      </c>
      <c r="N752" s="17" t="n">
        <v>0.151215634613396</v>
      </c>
      <c r="O752" s="18" t="n">
        <v>0.00550226191587712</v>
      </c>
    </row>
    <row r="753" ht="15" customHeight="1" s="12">
      <c r="A753" s="14" t="inlineStr">
        <is>
          <t>Khyber</t>
        </is>
      </c>
      <c r="B753" s="14" t="inlineStr">
        <is>
          <t>Khyber Pakhtunkhwa</t>
        </is>
      </c>
      <c r="C753" s="14" t="n">
        <v>2018</v>
      </c>
      <c r="D753" s="15" t="n">
        <v>233.765418622475</v>
      </c>
      <c r="E753" s="15" t="n">
        <v>6263.07976481862</v>
      </c>
      <c r="F753" s="15" t="n">
        <v>416.129715204239</v>
      </c>
      <c r="G753" s="15" t="n">
        <v>82.7916365861893</v>
      </c>
      <c r="H753" s="15" t="n">
        <v>102.721704307569</v>
      </c>
      <c r="I753" s="16" t="n">
        <v>43.9422156249134</v>
      </c>
      <c r="J753" s="15" t="n">
        <v>18.9331088992974</v>
      </c>
      <c r="K753" s="15" t="n">
        <v>2748.24493863249</v>
      </c>
      <c r="L753" s="15" t="n">
        <v>211.633282890968</v>
      </c>
      <c r="M753" s="15" t="n">
        <v>22.1321357315064</v>
      </c>
      <c r="N753" s="17" t="n">
        <v>0.413682011659869</v>
      </c>
      <c r="O753" s="18" t="n">
        <v>0.0150525888666137</v>
      </c>
    </row>
    <row r="754" ht="15" customHeight="1" s="12">
      <c r="A754" s="14" t="inlineStr">
        <is>
          <t>Khyber</t>
        </is>
      </c>
      <c r="B754" s="14" t="inlineStr">
        <is>
          <t>Khyber Pakhtunkhwa</t>
        </is>
      </c>
      <c r="C754" s="14" t="n">
        <v>2019</v>
      </c>
      <c r="D754" s="15" t="n">
        <v>202.221813059412</v>
      </c>
      <c r="E754" s="15" t="n">
        <v>5417.95853655649</v>
      </c>
      <c r="F754" s="15" t="n">
        <v>366.16335075169</v>
      </c>
      <c r="G754" s="15" t="n">
        <v>55.9812324529139</v>
      </c>
      <c r="H754" s="15" t="n">
        <v>98.9430159954083</v>
      </c>
      <c r="I754" s="16" t="n">
        <v>48.927964050218</v>
      </c>
      <c r="J754" s="15" t="n">
        <v>16.2899590163934</v>
      </c>
      <c r="K754" s="15" t="n">
        <v>2748.24493863249</v>
      </c>
      <c r="L754" s="15" t="n">
        <v>211.633282890968</v>
      </c>
      <c r="M754" s="15" t="n">
        <v>-9.41146983155625</v>
      </c>
      <c r="N754" s="17" t="n">
        <v>0.0761515118824678</v>
      </c>
      <c r="O754" s="18" t="n">
        <v>0.0027709142955926</v>
      </c>
    </row>
    <row r="755" ht="15" customHeight="1" s="12">
      <c r="A755" s="14" t="inlineStr">
        <is>
          <t>Khyber</t>
        </is>
      </c>
      <c r="B755" s="14" t="inlineStr">
        <is>
          <t>Khyber Pakhtunkhwa</t>
        </is>
      </c>
      <c r="C755" s="14" t="n">
        <v>2020</v>
      </c>
      <c r="D755" s="15" t="n">
        <v>143.661219786494</v>
      </c>
      <c r="E755" s="15" t="n">
        <v>3848.99393561306</v>
      </c>
      <c r="F755" s="15" t="n">
        <v>255.980991913586</v>
      </c>
      <c r="G755" s="15" t="n">
        <v>38.8396983593321</v>
      </c>
      <c r="H755" s="15" t="n">
        <v>67.2254169027384</v>
      </c>
      <c r="I755" s="16" t="n">
        <v>46.7944077063017</v>
      </c>
      <c r="J755" s="15" t="n">
        <v>17.5008782201405</v>
      </c>
      <c r="K755" s="15" t="n">
        <v>2748.24493863249</v>
      </c>
      <c r="L755" s="15" t="n">
        <v>211.633282890968</v>
      </c>
      <c r="M755" s="15" t="n">
        <v>-67.972063104474</v>
      </c>
      <c r="N755" s="17" t="n">
        <v>0.214572832967841</v>
      </c>
      <c r="O755" s="18" t="n">
        <v>0.00780763133414923</v>
      </c>
    </row>
    <row r="756" ht="15" customHeight="1" s="12">
      <c r="A756" s="14" t="inlineStr">
        <is>
          <t>Khyber</t>
        </is>
      </c>
      <c r="B756" s="14" t="inlineStr">
        <is>
          <t>Khyber Pakhtunkhwa</t>
        </is>
      </c>
      <c r="C756" s="14" t="n">
        <v>2021</v>
      </c>
      <c r="D756" s="15" t="n">
        <v>190.391049852302</v>
      </c>
      <c r="E756" s="15" t="n">
        <v>5100.98687290561</v>
      </c>
      <c r="F756" s="15" t="n">
        <v>367.797533512116</v>
      </c>
      <c r="G756" s="15" t="n">
        <v>52.1523132324219</v>
      </c>
      <c r="H756" s="15" t="n">
        <v>98.9903285374419</v>
      </c>
      <c r="I756" s="16" t="n">
        <v>51.9931628163375</v>
      </c>
      <c r="J756" s="15" t="n">
        <v>21.7833723653396</v>
      </c>
      <c r="K756" s="15" t="n">
        <v>2748.24493863249</v>
      </c>
      <c r="L756" s="15" t="n">
        <v>211.633282890968</v>
      </c>
      <c r="M756" s="15" t="n">
        <v>-21.242233038666</v>
      </c>
      <c r="N756" s="17" t="n">
        <v>0.246785455008474</v>
      </c>
      <c r="O756" s="18" t="n">
        <v>0.00897974745770923</v>
      </c>
    </row>
    <row r="757" ht="15" customHeight="1" s="12">
      <c r="A757" s="14" t="inlineStr">
        <is>
          <t>Khyber</t>
        </is>
      </c>
      <c r="B757" s="14" t="inlineStr">
        <is>
          <t>Khyber Pakhtunkhwa</t>
        </is>
      </c>
      <c r="C757" s="14" t="n">
        <v>2022</v>
      </c>
      <c r="D757" s="15" t="n">
        <v>219.588271710416</v>
      </c>
      <c r="E757" s="15" t="n">
        <v>5883.24342088455</v>
      </c>
      <c r="F757" s="15" t="n">
        <v>374.038059740793</v>
      </c>
      <c r="G757" s="15" t="n">
        <v>77.98787106529019</v>
      </c>
      <c r="H757" s="15" t="n">
        <v>95.8881464711347</v>
      </c>
      <c r="I757" s="16" t="n">
        <v>43.6672440309509</v>
      </c>
      <c r="J757" s="15" t="n">
        <v>22.7942037470726</v>
      </c>
      <c r="K757" s="15" t="n">
        <v>2748.24493863249</v>
      </c>
      <c r="L757" s="15" t="n">
        <v>211.633282890968</v>
      </c>
      <c r="M757" s="15" t="n">
        <v>7.95498881944712</v>
      </c>
      <c r="N757" s="17" t="n">
        <v>0.381169400326479</v>
      </c>
      <c r="O757" s="18" t="n">
        <v>0.0138695570750745</v>
      </c>
    </row>
    <row r="758" ht="15" customHeight="1" s="12">
      <c r="A758" s="14" t="inlineStr">
        <is>
          <t>Khyber</t>
        </is>
      </c>
      <c r="B758" s="14" t="inlineStr">
        <is>
          <t>Khyber Pakhtunkhwa</t>
        </is>
      </c>
      <c r="C758" s="14" t="n">
        <v>2023</v>
      </c>
      <c r="D758" s="15" t="n">
        <v>153.661836447827</v>
      </c>
      <c r="E758" s="15" t="n">
        <v>4116.93202592766</v>
      </c>
      <c r="F758" s="15" t="n">
        <v>275.48477268219</v>
      </c>
      <c r="G758" s="15" t="n">
        <v>53.2878754138947</v>
      </c>
      <c r="H758" s="15" t="n">
        <v>67.6705091363123</v>
      </c>
      <c r="I758" s="16" t="n">
        <v>44.0385919501155</v>
      </c>
      <c r="J758" s="15" t="n">
        <v>17.6987704918033</v>
      </c>
      <c r="K758" s="15" t="n">
        <v>2748.24493863249</v>
      </c>
      <c r="L758" s="15" t="n">
        <v>211.633282890968</v>
      </c>
      <c r="M758" s="15" t="n">
        <v>-57.9714464431417</v>
      </c>
      <c r="N758" s="17" t="n">
        <v>0.113169167867743</v>
      </c>
      <c r="O758" s="18" t="n">
        <v>0.00411787050989913</v>
      </c>
    </row>
    <row r="759" ht="15" customHeight="1" s="12">
      <c r="A759" s="14" t="inlineStr">
        <is>
          <t>Khyber</t>
        </is>
      </c>
      <c r="B759" s="14" t="inlineStr">
        <is>
          <t>Khyber Pakhtunkhwa</t>
        </is>
      </c>
      <c r="C759" s="14" t="n">
        <v>2024</v>
      </c>
      <c r="D759" s="15" t="n">
        <v>184.2466359441</v>
      </c>
      <c r="E759" s="15" t="n">
        <v>4936.36477164742</v>
      </c>
      <c r="F759" s="15" t="n">
        <v>316.342180036008</v>
      </c>
      <c r="G759" s="15" t="n">
        <v>55.4208929809669</v>
      </c>
      <c r="H759" s="15" t="n">
        <v>88.43530403945689</v>
      </c>
      <c r="I759" s="16" t="n">
        <v>47.9983276689448</v>
      </c>
      <c r="J759" s="15" t="n">
        <v>24.778981264637</v>
      </c>
      <c r="K759" s="15" t="n">
        <v>2748.24493863249</v>
      </c>
      <c r="L759" s="15" t="n">
        <v>211.633282890968</v>
      </c>
      <c r="M759" s="15" t="n">
        <v>-27.3866469468685</v>
      </c>
      <c r="N759" s="17" t="n">
        <v>0.164440279205442</v>
      </c>
      <c r="O759" s="18" t="n">
        <v>0.00598346518877849</v>
      </c>
    </row>
    <row r="760" ht="15" customHeight="1" s="12">
      <c r="A760" s="14" t="inlineStr">
        <is>
          <t>Khyber</t>
        </is>
      </c>
      <c r="B760" s="14" t="inlineStr">
        <is>
          <t>Khyber Pakhtunkhwa</t>
        </is>
      </c>
      <c r="C760" s="14" t="n">
        <v>2025</v>
      </c>
      <c r="D760" s="15" t="n">
        <v>192.440518575461</v>
      </c>
      <c r="E760" s="15" t="n">
        <v>5155.89656042176</v>
      </c>
      <c r="F760" s="15" t="n">
        <v>338.597365041976</v>
      </c>
      <c r="G760" s="15" t="n">
        <v>50.7723533082753</v>
      </c>
      <c r="H760" s="15" t="n">
        <v>93.86634441331189</v>
      </c>
      <c r="I760" s="16" t="n">
        <v>48.7768091190757</v>
      </c>
      <c r="J760" s="15" t="n">
        <v>22.894906323185</v>
      </c>
      <c r="K760" s="15" t="n">
        <v>2748.24493863249</v>
      </c>
      <c r="L760" s="15" t="n">
        <v>211.633282890968</v>
      </c>
      <c r="M760" s="15" t="n">
        <v>-19.1927643155077</v>
      </c>
      <c r="N760" s="17" t="n">
        <v>0.07382605762364999</v>
      </c>
      <c r="O760" s="18" t="n">
        <v>0.00268629832027947</v>
      </c>
    </row>
    <row r="761" ht="15" customHeight="1" s="12">
      <c r="A761" s="14" t="inlineStr">
        <is>
          <t>Killa Abdullah</t>
        </is>
      </c>
      <c r="B761" s="14" t="inlineStr">
        <is>
          <t>Balochistan</t>
        </is>
      </c>
      <c r="C761" s="14" t="n">
        <v>2015</v>
      </c>
      <c r="D761" s="15" t="n">
        <v>3.89191819547841</v>
      </c>
      <c r="E761" s="15" t="n">
        <v>109.294220383611</v>
      </c>
      <c r="F761" s="15" t="n">
        <v>14.309514939785</v>
      </c>
      <c r="G761" s="15" t="n">
        <v>0</v>
      </c>
      <c r="H761" s="15" t="n">
        <v>3.77555489664629</v>
      </c>
      <c r="I761" s="16" t="n">
        <v>97.0101298900036</v>
      </c>
      <c r="J761" s="15" t="n">
        <v>1.31881022203603</v>
      </c>
      <c r="K761" s="15" t="n">
        <v>2995.87039523098</v>
      </c>
      <c r="L761" s="15" t="n">
        <v>11.7751727770899</v>
      </c>
      <c r="M761" s="15" t="n">
        <v>-7.88325458161147</v>
      </c>
      <c r="N761" s="17" t="n">
        <v>0.0331908397609336</v>
      </c>
      <c r="O761" s="18" t="n">
        <v>0.00110788636964299</v>
      </c>
    </row>
    <row r="762" ht="15" customHeight="1" s="12">
      <c r="A762" s="14" t="inlineStr">
        <is>
          <t>Killa Abdullah</t>
        </is>
      </c>
      <c r="B762" s="14" t="inlineStr">
        <is>
          <t>Balochistan</t>
        </is>
      </c>
      <c r="C762" s="14" t="n">
        <v>2016</v>
      </c>
      <c r="D762" s="15" t="n">
        <v>2.59294209715342</v>
      </c>
      <c r="E762" s="15" t="n">
        <v>72.8159151282965</v>
      </c>
      <c r="F762" s="15" t="n">
        <v>11.7816488742828</v>
      </c>
      <c r="G762" s="15" t="n">
        <v>0</v>
      </c>
      <c r="H762" s="15" t="n">
        <v>3.04650290491849</v>
      </c>
      <c r="I762" s="16" t="n">
        <v>117.492130204643</v>
      </c>
      <c r="J762" s="15" t="n">
        <v>0.996788158078481</v>
      </c>
      <c r="K762" s="15" t="n">
        <v>2995.87039523098</v>
      </c>
      <c r="L762" s="15" t="n">
        <v>11.7751727770899</v>
      </c>
      <c r="M762" s="15" t="n">
        <v>-9.18223067993647</v>
      </c>
      <c r="N762" s="17" t="n">
        <v>0.0238264057617187</v>
      </c>
      <c r="O762" s="18" t="n">
        <v>0.000795308295033294</v>
      </c>
    </row>
    <row r="763" ht="15" customHeight="1" s="12">
      <c r="A763" s="14" t="inlineStr">
        <is>
          <t>Killa Abdullah</t>
        </is>
      </c>
      <c r="B763" s="14" t="inlineStr">
        <is>
          <t>Balochistan</t>
        </is>
      </c>
      <c r="C763" s="14" t="n">
        <v>2017</v>
      </c>
      <c r="D763" s="15" t="n">
        <v>4.37124836308349</v>
      </c>
      <c r="E763" s="15" t="n">
        <v>122.754939325651</v>
      </c>
      <c r="F763" s="15" t="n">
        <v>9.64295494556427</v>
      </c>
      <c r="G763" s="15" t="n">
        <v>1.79010987281799</v>
      </c>
      <c r="H763" s="15" t="n">
        <v>1.80169589063678</v>
      </c>
      <c r="I763" s="16" t="n">
        <v>41.2169646056409</v>
      </c>
      <c r="J763" s="15" t="n">
        <v>1.18740399385561</v>
      </c>
      <c r="K763" s="15" t="n">
        <v>2995.87039523098</v>
      </c>
      <c r="L763" s="15" t="n">
        <v>11.7751727770899</v>
      </c>
      <c r="M763" s="15" t="n">
        <v>-7.40392441400639</v>
      </c>
      <c r="N763" s="17" t="n">
        <v>0.0076912038574218</v>
      </c>
      <c r="O763" s="18" t="n">
        <v>0.000256726855396187</v>
      </c>
    </row>
    <row r="764" ht="15" customHeight="1" s="12">
      <c r="A764" s="14" t="inlineStr">
        <is>
          <t>Killa Abdullah</t>
        </is>
      </c>
      <c r="B764" s="14" t="inlineStr">
        <is>
          <t>Balochistan</t>
        </is>
      </c>
      <c r="C764" s="14" t="n">
        <v>2018</v>
      </c>
      <c r="D764" s="15" t="n">
        <v>3.39904243992479</v>
      </c>
      <c r="E764" s="15" t="n">
        <v>95.45310946000551</v>
      </c>
      <c r="F764" s="15" t="n">
        <v>10.0063011077727</v>
      </c>
      <c r="G764" s="15" t="n">
        <v>0.604904423933476</v>
      </c>
      <c r="H764" s="15" t="n">
        <v>2.9073855133223</v>
      </c>
      <c r="I764" s="16" t="n">
        <v>85.53542842456039</v>
      </c>
      <c r="J764" s="15" t="n">
        <v>1.55983801145092</v>
      </c>
      <c r="K764" s="15" t="n">
        <v>2995.87039523098</v>
      </c>
      <c r="L764" s="15" t="n">
        <v>11.7751727770899</v>
      </c>
      <c r="M764" s="15" t="n">
        <v>-8.376130337165099</v>
      </c>
      <c r="N764" s="17" t="n">
        <v>0.0207751611938476</v>
      </c>
      <c r="O764" s="18" t="n">
        <v>0.000693459944960197</v>
      </c>
    </row>
    <row r="765" ht="15" customHeight="1" s="12">
      <c r="A765" s="14" t="inlineStr">
        <is>
          <t>Killa Abdullah</t>
        </is>
      </c>
      <c r="B765" s="14" t="inlineStr">
        <is>
          <t>Balochistan</t>
        </is>
      </c>
      <c r="C765" s="14" t="n">
        <v>2019</v>
      </c>
      <c r="D765" s="15" t="n">
        <v>6.35604065819541</v>
      </c>
      <c r="E765" s="15" t="n">
        <v>178.492577071911</v>
      </c>
      <c r="F765" s="15" t="n">
        <v>13.6677498221397</v>
      </c>
      <c r="G765" s="15" t="n">
        <v>1.69168142136186</v>
      </c>
      <c r="H765" s="15" t="n">
        <v>3.46422292323191</v>
      </c>
      <c r="I765" s="16" t="n">
        <v>54.5028439798474</v>
      </c>
      <c r="J765" s="15" t="n">
        <v>2.13964530093562</v>
      </c>
      <c r="K765" s="15" t="n">
        <v>2995.87039523098</v>
      </c>
      <c r="L765" s="15" t="n">
        <v>11.7751727770899</v>
      </c>
      <c r="M765" s="15" t="n">
        <v>-5.41913211889448</v>
      </c>
      <c r="N765" s="17" t="n">
        <v>0.0899036535034179</v>
      </c>
      <c r="O765" s="18" t="n">
        <v>0.00300091932035953</v>
      </c>
    </row>
    <row r="766" ht="15" customHeight="1" s="12">
      <c r="A766" s="14" t="inlineStr">
        <is>
          <t>Killa Abdullah</t>
        </is>
      </c>
      <c r="B766" s="14" t="inlineStr">
        <is>
          <t>Balochistan</t>
        </is>
      </c>
      <c r="C766" s="14" t="n">
        <v>2020</v>
      </c>
      <c r="D766" s="15" t="n">
        <v>11.7734540920355</v>
      </c>
      <c r="E766" s="15" t="n">
        <v>330.62629314928</v>
      </c>
      <c r="F766" s="15" t="n">
        <v>21.7303193174303</v>
      </c>
      <c r="G766" s="15" t="n">
        <v>4.18956428021193</v>
      </c>
      <c r="H766" s="15" t="n">
        <v>4.54505763594024</v>
      </c>
      <c r="I766" s="16" t="n">
        <v>38.6042838440664</v>
      </c>
      <c r="J766" s="15" t="n">
        <v>4.02304147465438</v>
      </c>
      <c r="K766" s="15" t="n">
        <v>2995.87039523098</v>
      </c>
      <c r="L766" s="15" t="n">
        <v>11.7751727770899</v>
      </c>
      <c r="M766" s="15" t="n">
        <v>-0.0017186850543691</v>
      </c>
      <c r="N766" s="17" t="n">
        <v>0.0607640799560546</v>
      </c>
      <c r="O766" s="18" t="n">
        <v>0.00202826130438696</v>
      </c>
    </row>
    <row r="767" ht="15" customHeight="1" s="12">
      <c r="A767" s="14" t="inlineStr">
        <is>
          <t>Killa Abdullah</t>
        </is>
      </c>
      <c r="B767" s="14" t="inlineStr">
        <is>
          <t>Balochistan</t>
        </is>
      </c>
      <c r="C767" s="14" t="n">
        <v>2021</v>
      </c>
      <c r="D767" s="15" t="n">
        <v>10.1119517967814</v>
      </c>
      <c r="E767" s="15" t="n">
        <v>283.96739928138</v>
      </c>
      <c r="F767" s="15" t="n">
        <v>15.980743765831</v>
      </c>
      <c r="G767" s="15" t="n">
        <v>4.93603050708771</v>
      </c>
      <c r="H767" s="15" t="n">
        <v>2.68651725958331</v>
      </c>
      <c r="I767" s="16" t="n">
        <v>26.5677419510486</v>
      </c>
      <c r="J767" s="15" t="n">
        <v>2.49308755760369</v>
      </c>
      <c r="K767" s="15" t="n">
        <v>2995.87039523098</v>
      </c>
      <c r="L767" s="15" t="n">
        <v>11.7751727770899</v>
      </c>
      <c r="M767" s="15" t="n">
        <v>-1.66322098030844</v>
      </c>
      <c r="N767" s="17" t="n">
        <v>0.0792906061846564</v>
      </c>
      <c r="O767" s="18" t="n">
        <v>0.00264666343079715</v>
      </c>
    </row>
    <row r="768" ht="15" customHeight="1" s="12">
      <c r="A768" s="14" t="inlineStr">
        <is>
          <t>Killa Abdullah</t>
        </is>
      </c>
      <c r="B768" s="14" t="inlineStr">
        <is>
          <t>Balochistan</t>
        </is>
      </c>
      <c r="C768" s="14" t="n">
        <v>2022</v>
      </c>
      <c r="D768" s="15" t="n">
        <v>42.3437543910881</v>
      </c>
      <c r="E768" s="15" t="n">
        <v>1189.11225566503</v>
      </c>
      <c r="F768" s="15" t="n">
        <v>75.2093481514603</v>
      </c>
      <c r="G768" s="15" t="n">
        <v>21.5604103952646</v>
      </c>
      <c r="H768" s="15" t="n">
        <v>11.6354986134714</v>
      </c>
      <c r="I768" s="16" t="n">
        <v>27.4786654626929</v>
      </c>
      <c r="J768" s="15" t="n">
        <v>13.1487222454964</v>
      </c>
      <c r="K768" s="15" t="n">
        <v>2995.87039523098</v>
      </c>
      <c r="L768" s="15" t="n">
        <v>11.7751727770899</v>
      </c>
      <c r="M768" s="15" t="n">
        <v>30.5685816139982</v>
      </c>
      <c r="N768" s="17" t="n">
        <v>0.428173150535195</v>
      </c>
      <c r="O768" s="18" t="n">
        <v>0.0142921119423854</v>
      </c>
    </row>
    <row r="769" ht="15" customHeight="1" s="12">
      <c r="A769" s="14" t="inlineStr">
        <is>
          <t>Killa Abdullah</t>
        </is>
      </c>
      <c r="B769" s="14" t="inlineStr">
        <is>
          <t>Balochistan</t>
        </is>
      </c>
      <c r="C769" s="14" t="n">
        <v>2023</v>
      </c>
      <c r="D769" s="15" t="n">
        <v>5.99895178204624</v>
      </c>
      <c r="E769" s="15" t="n">
        <v>168.464681220522</v>
      </c>
      <c r="F769" s="15" t="n">
        <v>11.31125831604</v>
      </c>
      <c r="G769" s="15" t="n">
        <v>0</v>
      </c>
      <c r="H769" s="15" t="n">
        <v>3.02972613713859</v>
      </c>
      <c r="I769" s="16" t="n">
        <v>50.5042588641235</v>
      </c>
      <c r="J769" s="15" t="n">
        <v>1.53707582739841</v>
      </c>
      <c r="K769" s="15" t="n">
        <v>2995.87039523098</v>
      </c>
      <c r="L769" s="15" t="n">
        <v>11.7751727770899</v>
      </c>
      <c r="M769" s="15" t="n">
        <v>-5.77622099504364</v>
      </c>
      <c r="N769" s="17" t="n">
        <v>0.0184430505371093</v>
      </c>
      <c r="O769" s="18" t="n">
        <v>0.000615615767840563</v>
      </c>
    </row>
    <row r="770" ht="15" customHeight="1" s="12">
      <c r="A770" s="14" t="inlineStr">
        <is>
          <t>Killa Abdullah</t>
        </is>
      </c>
      <c r="B770" s="14" t="inlineStr">
        <is>
          <t>Balochistan</t>
        </is>
      </c>
      <c r="C770" s="14" t="n">
        <v>2024</v>
      </c>
      <c r="D770" s="15" t="n">
        <v>23.1836495502576</v>
      </c>
      <c r="E770" s="15" t="n">
        <v>651.05142913488</v>
      </c>
      <c r="F770" s="15" t="n">
        <v>43.0055212569787</v>
      </c>
      <c r="G770" s="15" t="n">
        <v>11.6476869254839</v>
      </c>
      <c r="H770" s="15" t="n">
        <v>6.93684650237535</v>
      </c>
      <c r="I770" s="16" t="n">
        <v>29.9212877909392</v>
      </c>
      <c r="J770" s="15" t="n">
        <v>6.30805753386399</v>
      </c>
      <c r="K770" s="15" t="n">
        <v>2995.87039523098</v>
      </c>
      <c r="L770" s="15" t="n">
        <v>11.7751727770899</v>
      </c>
      <c r="M770" s="15" t="n">
        <v>11.4084767731677</v>
      </c>
      <c r="N770" s="17" t="n">
        <v>0.0854608313598632</v>
      </c>
      <c r="O770" s="18" t="n">
        <v>0.00285262111124384</v>
      </c>
    </row>
    <row r="771" ht="15" customHeight="1" s="12">
      <c r="A771" s="14" t="inlineStr">
        <is>
          <t>Killa Abdullah</t>
        </is>
      </c>
      <c r="B771" s="14" t="inlineStr">
        <is>
          <t>Balochistan</t>
        </is>
      </c>
      <c r="C771" s="14" t="n">
        <v>2025</v>
      </c>
      <c r="D771" s="15" t="n">
        <v>15.5039471819444</v>
      </c>
      <c r="E771" s="15" t="n">
        <v>435.387316744722</v>
      </c>
      <c r="F771" s="15" t="n">
        <v>25.286861353904</v>
      </c>
      <c r="G771" s="15" t="n">
        <v>5.62931980937719</v>
      </c>
      <c r="H771" s="15" t="n">
        <v>5.4272506431849</v>
      </c>
      <c r="I771" s="16" t="n">
        <v>35.005605859554</v>
      </c>
      <c r="J771" s="15" t="n">
        <v>4.15598380114509</v>
      </c>
      <c r="K771" s="15" t="n">
        <v>2995.87039523098</v>
      </c>
      <c r="L771" s="15" t="n">
        <v>11.7751727770899</v>
      </c>
      <c r="M771" s="15" t="n">
        <v>3.72877440485455</v>
      </c>
      <c r="N771" s="17" t="n">
        <v>0.0300377795410156</v>
      </c>
      <c r="O771" s="18" t="n">
        <v>0.00100263948630193</v>
      </c>
    </row>
    <row r="772" ht="15" customHeight="1" s="12">
      <c r="A772" s="14" t="inlineStr">
        <is>
          <t>Killa Saifullah</t>
        </is>
      </c>
      <c r="B772" s="14" t="inlineStr">
        <is>
          <t>Balochistan</t>
        </is>
      </c>
      <c r="C772" s="14" t="n">
        <v>2015</v>
      </c>
      <c r="D772" s="15" t="n">
        <v>60.5793294415972</v>
      </c>
      <c r="E772" s="15" t="n">
        <v>7083.26779070847</v>
      </c>
      <c r="F772" s="15" t="n">
        <v>161.153393208981</v>
      </c>
      <c r="G772" s="15" t="n">
        <v>12.6739816665649</v>
      </c>
      <c r="H772" s="15" t="n">
        <v>33.1398079871497</v>
      </c>
      <c r="I772" s="16" t="n">
        <v>54.7048115134698</v>
      </c>
      <c r="J772" s="15" t="n">
        <v>8.226690367587871</v>
      </c>
      <c r="K772" s="15" t="n">
        <v>12415.4316879535</v>
      </c>
      <c r="L772" s="15" t="n">
        <v>65.84932591381239</v>
      </c>
      <c r="M772" s="15" t="n">
        <v>-5.26999647221521</v>
      </c>
      <c r="N772" s="17" t="n">
        <v>0.72510373497817</v>
      </c>
      <c r="O772" s="18" t="n">
        <v>0.00584034251246962</v>
      </c>
    </row>
    <row r="773" ht="15" customHeight="1" s="12">
      <c r="A773" s="14" t="inlineStr">
        <is>
          <t>Killa Saifullah</t>
        </is>
      </c>
      <c r="B773" s="14" t="inlineStr">
        <is>
          <t>Balochistan</t>
        </is>
      </c>
      <c r="C773" s="14" t="n">
        <v>2016</v>
      </c>
      <c r="D773" s="15" t="n">
        <v>54.1625309449069</v>
      </c>
      <c r="E773" s="15" t="n">
        <v>6332.9804809935</v>
      </c>
      <c r="F773" s="15" t="n">
        <v>136.023159444332</v>
      </c>
      <c r="G773" s="15" t="n">
        <v>7.22318720817566</v>
      </c>
      <c r="H773" s="15" t="n">
        <v>29.3589632830136</v>
      </c>
      <c r="I773" s="16" t="n">
        <v>54.2053016556354</v>
      </c>
      <c r="J773" s="15" t="n">
        <v>9.12469814864502</v>
      </c>
      <c r="K773" s="15" t="n">
        <v>12415.4316879535</v>
      </c>
      <c r="L773" s="15" t="n">
        <v>65.84932591381239</v>
      </c>
      <c r="M773" s="15" t="n">
        <v>-11.6867949689055</v>
      </c>
      <c r="N773" s="17" t="n">
        <v>0.390203666796875</v>
      </c>
      <c r="O773" s="18" t="n">
        <v>0.00314289246321966</v>
      </c>
    </row>
    <row r="774" ht="15" customHeight="1" s="12">
      <c r="A774" s="14" t="inlineStr">
        <is>
          <t>Killa Saifullah</t>
        </is>
      </c>
      <c r="B774" s="14" t="inlineStr">
        <is>
          <t>Balochistan</t>
        </is>
      </c>
      <c r="C774" s="14" t="n">
        <v>2017</v>
      </c>
      <c r="D774" s="15" t="n">
        <v>48.1732682405364</v>
      </c>
      <c r="E774" s="15" t="n">
        <v>5632.6830033719</v>
      </c>
      <c r="F774" s="15" t="n">
        <v>151.002909898758</v>
      </c>
      <c r="G774" s="15" t="n">
        <v>9.302605867385861</v>
      </c>
      <c r="H774" s="15" t="n">
        <v>30.3324614468727</v>
      </c>
      <c r="I774" s="16" t="n">
        <v>62.9653385678924</v>
      </c>
      <c r="J774" s="15" t="n">
        <v>10.9973504158841</v>
      </c>
      <c r="K774" s="15" t="n">
        <v>12415.4316879535</v>
      </c>
      <c r="L774" s="15" t="n">
        <v>65.84932591381239</v>
      </c>
      <c r="M774" s="15" t="n">
        <v>-17.676057673276</v>
      </c>
      <c r="N774" s="17" t="n">
        <v>0.492397605627442</v>
      </c>
      <c r="O774" s="18" t="n">
        <v>0.00396601276542973</v>
      </c>
    </row>
    <row r="775" ht="15" customHeight="1" s="12">
      <c r="A775" s="14" t="inlineStr">
        <is>
          <t>Killa Saifullah</t>
        </is>
      </c>
      <c r="B775" s="14" t="inlineStr">
        <is>
          <t>Balochistan</t>
        </is>
      </c>
      <c r="C775" s="14" t="n">
        <v>2018</v>
      </c>
      <c r="D775" s="15" t="n">
        <v>35.0284804450389</v>
      </c>
      <c r="E775" s="15" t="n">
        <v>4095.72224685992</v>
      </c>
      <c r="F775" s="15" t="n">
        <v>123.51918419078</v>
      </c>
      <c r="G775" s="15" t="n">
        <v>8.27219545348999</v>
      </c>
      <c r="H775" s="15" t="n">
        <v>26.8703825688237</v>
      </c>
      <c r="I775" s="16" t="n">
        <v>76.7101005451392</v>
      </c>
      <c r="J775" s="15" t="n">
        <v>7.53531660853233</v>
      </c>
      <c r="K775" s="15" t="n">
        <v>12415.4316879535</v>
      </c>
      <c r="L775" s="15" t="n">
        <v>65.84932591381239</v>
      </c>
      <c r="M775" s="15" t="n">
        <v>-30.8208454687735</v>
      </c>
      <c r="N775" s="17" t="n">
        <v>0.245799572143555</v>
      </c>
      <c r="O775" s="18" t="n">
        <v>0.00197979078232174</v>
      </c>
    </row>
    <row r="776" ht="15" customHeight="1" s="12">
      <c r="A776" s="14" t="inlineStr">
        <is>
          <t>Killa Saifullah</t>
        </is>
      </c>
      <c r="B776" s="14" t="inlineStr">
        <is>
          <t>Balochistan</t>
        </is>
      </c>
      <c r="C776" s="14" t="n">
        <v>2019</v>
      </c>
      <c r="D776" s="15" t="n">
        <v>53.8080552047026</v>
      </c>
      <c r="E776" s="15" t="n">
        <v>6291.5332313075</v>
      </c>
      <c r="F776" s="15" t="n">
        <v>168.029500424862</v>
      </c>
      <c r="G776" s="15" t="n">
        <v>11.5387044847012</v>
      </c>
      <c r="H776" s="15" t="n">
        <v>33.9684870664507</v>
      </c>
      <c r="I776" s="16" t="n">
        <v>63.1289998072296</v>
      </c>
      <c r="J776" s="15" t="n">
        <v>10.7717332975584</v>
      </c>
      <c r="K776" s="15" t="n">
        <v>12415.4316879535</v>
      </c>
      <c r="L776" s="15" t="n">
        <v>65.84932591381239</v>
      </c>
      <c r="M776" s="15" t="n">
        <v>-12.0412707091098</v>
      </c>
      <c r="N776" s="17" t="n">
        <v>0.396243689147949</v>
      </c>
      <c r="O776" s="18" t="n">
        <v>0.00319154177725789</v>
      </c>
    </row>
    <row r="777" ht="15" customHeight="1" s="12">
      <c r="A777" s="14" t="inlineStr">
        <is>
          <t>Killa Saifullah</t>
        </is>
      </c>
      <c r="B777" s="14" t="inlineStr">
        <is>
          <t>Balochistan</t>
        </is>
      </c>
      <c r="C777" s="14" t="n">
        <v>2020</v>
      </c>
      <c r="D777" s="15" t="n">
        <v>50.3243576117388</v>
      </c>
      <c r="E777" s="15" t="n">
        <v>5884.20018255531</v>
      </c>
      <c r="F777" s="15" t="n">
        <v>109.43681618711</v>
      </c>
      <c r="G777" s="15" t="n">
        <v>10.9099728800356</v>
      </c>
      <c r="H777" s="15" t="n">
        <v>22.1095456157762</v>
      </c>
      <c r="I777" s="16" t="n">
        <v>43.9340841394443</v>
      </c>
      <c r="J777" s="15" t="n">
        <v>9.06734639119936</v>
      </c>
      <c r="K777" s="15" t="n">
        <v>12415.4316879535</v>
      </c>
      <c r="L777" s="15" t="n">
        <v>65.84932591381239</v>
      </c>
      <c r="M777" s="15" t="n">
        <v>-15.5249683020736</v>
      </c>
      <c r="N777" s="17" t="n">
        <v>0.7042896614073511</v>
      </c>
      <c r="O777" s="18" t="n">
        <v>0.00567269571537102</v>
      </c>
    </row>
    <row r="778" ht="15" customHeight="1" s="12">
      <c r="A778" s="14" t="inlineStr">
        <is>
          <t>Killa Saifullah</t>
        </is>
      </c>
      <c r="B778" s="14" t="inlineStr">
        <is>
          <t>Balochistan</t>
        </is>
      </c>
      <c r="C778" s="14" t="n">
        <v>2021</v>
      </c>
      <c r="D778" s="15" t="n">
        <v>51.3022334141932</v>
      </c>
      <c r="E778" s="15" t="n">
        <v>5998.53879010817</v>
      </c>
      <c r="F778" s="15" t="n">
        <v>136.937768399715</v>
      </c>
      <c r="G778" s="15" t="n">
        <v>9.80187511444092</v>
      </c>
      <c r="H778" s="15" t="n">
        <v>26.9287497776249</v>
      </c>
      <c r="I778" s="16" t="n">
        <v>52.4904043849577</v>
      </c>
      <c r="J778" s="15" t="n">
        <v>7.86312718003757</v>
      </c>
      <c r="K778" s="15" t="n">
        <v>12415.4316879535</v>
      </c>
      <c r="L778" s="15" t="n">
        <v>65.84932591381239</v>
      </c>
      <c r="M778" s="15" t="n">
        <v>-14.5470924996192</v>
      </c>
      <c r="N778" s="17" t="n">
        <v>0.618586992099418</v>
      </c>
      <c r="O778" s="18" t="n">
        <v>0.00498240421796711</v>
      </c>
    </row>
    <row r="779" ht="15" customHeight="1" s="12">
      <c r="A779" s="14" t="inlineStr">
        <is>
          <t>Killa Saifullah</t>
        </is>
      </c>
      <c r="B779" s="14" t="inlineStr">
        <is>
          <t>Balochistan</t>
        </is>
      </c>
      <c r="C779" s="14" t="n">
        <v>2022</v>
      </c>
      <c r="D779" s="15" t="n">
        <v>139.440906438759</v>
      </c>
      <c r="E779" s="15" t="n">
        <v>16304.1963387375</v>
      </c>
      <c r="F779" s="15" t="n">
        <v>279.945347027853</v>
      </c>
      <c r="G779" s="15" t="n">
        <v>34.516585863621</v>
      </c>
      <c r="H779" s="15" t="n">
        <v>52.54434511241</v>
      </c>
      <c r="I779" s="16" t="n">
        <v>37.682159743767</v>
      </c>
      <c r="J779" s="15" t="n">
        <v>21.8696002146499</v>
      </c>
      <c r="K779" s="15" t="n">
        <v>12415.4316879535</v>
      </c>
      <c r="L779" s="15" t="n">
        <v>65.84932591381239</v>
      </c>
      <c r="M779" s="15" t="n">
        <v>73.5915805249471</v>
      </c>
      <c r="N779" s="17" t="n">
        <v>1.51157557049944</v>
      </c>
      <c r="O779" s="18" t="n">
        <v>0.0121749739235092</v>
      </c>
    </row>
    <row r="780" ht="15" customHeight="1" s="12">
      <c r="A780" s="14" t="inlineStr">
        <is>
          <t>Killa Saifullah</t>
        </is>
      </c>
      <c r="B780" s="14" t="inlineStr">
        <is>
          <t>Balochistan</t>
        </is>
      </c>
      <c r="C780" s="14" t="n">
        <v>2023</v>
      </c>
      <c r="D780" s="15" t="n">
        <v>59.8829789640862</v>
      </c>
      <c r="E780" s="15" t="n">
        <v>7001.84666977723</v>
      </c>
      <c r="F780" s="15" t="n">
        <v>204.985267162323</v>
      </c>
      <c r="G780" s="15" t="n">
        <v>7.93004870414734</v>
      </c>
      <c r="H780" s="15" t="n">
        <v>42.480989305413</v>
      </c>
      <c r="I780" s="16" t="n">
        <v>70.940006726937</v>
      </c>
      <c r="J780" s="15" t="n">
        <v>7.89512342366515</v>
      </c>
      <c r="K780" s="15" t="n">
        <v>12415.4316879535</v>
      </c>
      <c r="L780" s="15" t="n">
        <v>65.84932591381239</v>
      </c>
      <c r="M780" s="15" t="n">
        <v>-5.96634694972615</v>
      </c>
      <c r="N780" s="17" t="n">
        <v>0.267214154221479</v>
      </c>
      <c r="O780" s="18" t="n">
        <v>0.00215227437061857</v>
      </c>
    </row>
    <row r="781" ht="15" customHeight="1" s="12">
      <c r="A781" s="14" t="inlineStr">
        <is>
          <t>Killa Saifullah</t>
        </is>
      </c>
      <c r="B781" s="14" t="inlineStr">
        <is>
          <t>Balochistan</t>
        </is>
      </c>
      <c r="C781" s="14" t="n">
        <v>2024</v>
      </c>
      <c r="D781" s="15" t="n">
        <v>99.7706657614205</v>
      </c>
      <c r="E781" s="15" t="n">
        <v>11665.7340013432</v>
      </c>
      <c r="F781" s="15" t="n">
        <v>234.508959429415</v>
      </c>
      <c r="G781" s="15" t="n">
        <v>22.5339845738386</v>
      </c>
      <c r="H781" s="15" t="n">
        <v>44.4626008030104</v>
      </c>
      <c r="I781" s="16" t="n">
        <v>44.5648031550004</v>
      </c>
      <c r="J781" s="15" t="n">
        <v>15.9715924335927</v>
      </c>
      <c r="K781" s="15" t="n">
        <v>12415.4316879535</v>
      </c>
      <c r="L781" s="15" t="n">
        <v>65.84932591381239</v>
      </c>
      <c r="M781" s="15" t="n">
        <v>33.9213398476081</v>
      </c>
      <c r="N781" s="17" t="n">
        <v>0.160246727758789</v>
      </c>
      <c r="O781" s="18" t="n">
        <v>0.00129070604862072</v>
      </c>
    </row>
    <row r="782" ht="15" customHeight="1" s="12">
      <c r="A782" s="14" t="inlineStr">
        <is>
          <t>Killa Saifullah</t>
        </is>
      </c>
      <c r="B782" s="14" t="inlineStr">
        <is>
          <t>Balochistan</t>
        </is>
      </c>
      <c r="C782" s="14" t="n">
        <v>2025</v>
      </c>
      <c r="D782" s="15" t="n">
        <v>71.86977858495599</v>
      </c>
      <c r="E782" s="15" t="n">
        <v>8403.4090913296</v>
      </c>
      <c r="F782" s="15" t="n">
        <v>205.736016386785</v>
      </c>
      <c r="G782" s="15" t="n">
        <v>9.3589915560633</v>
      </c>
      <c r="H782" s="15" t="n">
        <v>40.3754517036038</v>
      </c>
      <c r="I782" s="16" t="n">
        <v>56.1786226402196</v>
      </c>
      <c r="J782" s="15" t="n">
        <v>12.1586396565602</v>
      </c>
      <c r="K782" s="15" t="n">
        <v>12415.4316879535</v>
      </c>
      <c r="L782" s="15" t="n">
        <v>65.84932591381239</v>
      </c>
      <c r="M782" s="15" t="n">
        <v>6.02045267114362</v>
      </c>
      <c r="N782" s="17" t="n">
        <v>0.585748215259747</v>
      </c>
      <c r="O782" s="18" t="n">
        <v>0.00471790453994517</v>
      </c>
    </row>
    <row r="783" ht="15" customHeight="1" s="12">
      <c r="A783" s="14" t="inlineStr">
        <is>
          <t>Kohat</t>
        </is>
      </c>
      <c r="B783" s="14" t="inlineStr">
        <is>
          <t>Khyber Pakhtunkhwa</t>
        </is>
      </c>
      <c r="C783" s="14" t="n">
        <v>2015</v>
      </c>
      <c r="D783" s="15" t="n">
        <v>398.75958761422</v>
      </c>
      <c r="E783" s="15" t="n">
        <v>13252.8921765902</v>
      </c>
      <c r="F783" s="15" t="n">
        <v>496.718710541725</v>
      </c>
      <c r="G783" s="15" t="n">
        <v>330.78787279129</v>
      </c>
      <c r="H783" s="15" t="n">
        <v>46.118754033812</v>
      </c>
      <c r="I783" s="16" t="n">
        <v>11.5655536484378</v>
      </c>
      <c r="J783" s="15" t="n">
        <v>25.8770501474926</v>
      </c>
      <c r="K783" s="15" t="n">
        <v>3439.87590604085</v>
      </c>
      <c r="L783" s="15" t="n">
        <v>357.11454321472</v>
      </c>
      <c r="M783" s="15" t="n">
        <v>41.6450443994992</v>
      </c>
      <c r="N783" s="17" t="n">
        <v>2.26924504878815</v>
      </c>
      <c r="O783" s="18" t="n">
        <v>0.06596880558403501</v>
      </c>
    </row>
    <row r="784" ht="15" customHeight="1" s="12">
      <c r="A784" s="14" t="inlineStr">
        <is>
          <t>Kohat</t>
        </is>
      </c>
      <c r="B784" s="14" t="inlineStr">
        <is>
          <t>Khyber Pakhtunkhwa</t>
        </is>
      </c>
      <c r="C784" s="14" t="n">
        <v>2016</v>
      </c>
      <c r="D784" s="15" t="n">
        <v>396.941215336105</v>
      </c>
      <c r="E784" s="15" t="n">
        <v>13192.4580391117</v>
      </c>
      <c r="F784" s="15" t="n">
        <v>501.528060555458</v>
      </c>
      <c r="G784" s="15" t="n">
        <v>342.969021439552</v>
      </c>
      <c r="H784" s="15" t="n">
        <v>39.4969189691658</v>
      </c>
      <c r="I784" s="16" t="n">
        <v>9.95031945365572</v>
      </c>
      <c r="J784" s="15" t="n">
        <v>26.6005899705015</v>
      </c>
      <c r="K784" s="15" t="n">
        <v>3439.87590604085</v>
      </c>
      <c r="L784" s="15" t="n">
        <v>357.11454321472</v>
      </c>
      <c r="M784" s="15" t="n">
        <v>39.8266721213843</v>
      </c>
      <c r="N784" s="17" t="n">
        <v>1.10086991852549</v>
      </c>
      <c r="O784" s="18" t="n">
        <v>0.0320031869926535</v>
      </c>
    </row>
    <row r="785" ht="15" customHeight="1" s="12">
      <c r="A785" s="14" t="inlineStr">
        <is>
          <t>Kohat</t>
        </is>
      </c>
      <c r="B785" s="14" t="inlineStr">
        <is>
          <t>Khyber Pakhtunkhwa</t>
        </is>
      </c>
      <c r="C785" s="14" t="n">
        <v>2017</v>
      </c>
      <c r="D785" s="15" t="n">
        <v>424.221138027825</v>
      </c>
      <c r="E785" s="15" t="n">
        <v>14099.1142932777</v>
      </c>
      <c r="F785" s="15" t="n">
        <v>544.2467873096469</v>
      </c>
      <c r="G785" s="15" t="n">
        <v>357.34254309535</v>
      </c>
      <c r="H785" s="15" t="n">
        <v>47.1090653873602</v>
      </c>
      <c r="I785" s="16" t="n">
        <v>11.1048368797385</v>
      </c>
      <c r="J785" s="15" t="n">
        <v>29.5688495575221</v>
      </c>
      <c r="K785" s="15" t="n">
        <v>3439.87590604085</v>
      </c>
      <c r="L785" s="15" t="n">
        <v>357.11454321472</v>
      </c>
      <c r="M785" s="15" t="n">
        <v>67.106594813105</v>
      </c>
      <c r="N785" s="17" t="n">
        <v>1.92234846792686</v>
      </c>
      <c r="O785" s="18" t="n">
        <v>0.0558842388631224</v>
      </c>
    </row>
    <row r="786" ht="15" customHeight="1" s="12">
      <c r="A786" s="14" t="inlineStr">
        <is>
          <t>Kohat</t>
        </is>
      </c>
      <c r="B786" s="14" t="inlineStr">
        <is>
          <t>Khyber Pakhtunkhwa</t>
        </is>
      </c>
      <c r="C786" s="14" t="n">
        <v>2018</v>
      </c>
      <c r="D786" s="15" t="n">
        <v>404.686417121824</v>
      </c>
      <c r="E786" s="15" t="n">
        <v>13449.8720984606</v>
      </c>
      <c r="F786" s="15" t="n">
        <v>542.532979369164</v>
      </c>
      <c r="G786" s="15" t="n">
        <v>313.842536568642</v>
      </c>
      <c r="H786" s="15" t="n">
        <v>56.1352214251643</v>
      </c>
      <c r="I786" s="16" t="n">
        <v>13.8712887436165</v>
      </c>
      <c r="J786" s="15" t="n">
        <v>26.326017699115</v>
      </c>
      <c r="K786" s="15" t="n">
        <v>3439.87590604085</v>
      </c>
      <c r="L786" s="15" t="n">
        <v>357.11454321472</v>
      </c>
      <c r="M786" s="15" t="n">
        <v>47.5718739071033</v>
      </c>
      <c r="N786" s="17" t="n">
        <v>3.0272934992915</v>
      </c>
      <c r="O786" s="18" t="n">
        <v>0.0880058927118622</v>
      </c>
    </row>
    <row r="787" ht="15" customHeight="1" s="12">
      <c r="A787" s="14" t="inlineStr">
        <is>
          <t>Kohat</t>
        </is>
      </c>
      <c r="B787" s="14" t="inlineStr">
        <is>
          <t>Khyber Pakhtunkhwa</t>
        </is>
      </c>
      <c r="C787" s="14" t="n">
        <v>2019</v>
      </c>
      <c r="D787" s="15" t="n">
        <v>331.403927867435</v>
      </c>
      <c r="E787" s="15" t="n">
        <v>11014.3070144177</v>
      </c>
      <c r="F787" s="15" t="n">
        <v>471.136311696208</v>
      </c>
      <c r="G787" s="15" t="n">
        <v>247.655971829378</v>
      </c>
      <c r="H787" s="15" t="n">
        <v>52.9419199971925</v>
      </c>
      <c r="I787" s="16" t="n">
        <v>15.9750430050334</v>
      </c>
      <c r="J787" s="15" t="n">
        <v>23.1001769911504</v>
      </c>
      <c r="K787" s="15" t="n">
        <v>3439.87590604085</v>
      </c>
      <c r="L787" s="15" t="n">
        <v>357.11454321472</v>
      </c>
      <c r="M787" s="15" t="n">
        <v>-25.7106153472856</v>
      </c>
      <c r="N787" s="17" t="n">
        <v>2.04799227395163</v>
      </c>
      <c r="O787" s="18" t="n">
        <v>0.059536806846872</v>
      </c>
    </row>
    <row r="788" ht="15" customHeight="1" s="12">
      <c r="A788" s="14" t="inlineStr">
        <is>
          <t>Kohat</t>
        </is>
      </c>
      <c r="B788" s="14" t="inlineStr">
        <is>
          <t>Khyber Pakhtunkhwa</t>
        </is>
      </c>
      <c r="C788" s="14" t="n">
        <v>2020</v>
      </c>
      <c r="D788" s="15" t="n">
        <v>259.048246638776</v>
      </c>
      <c r="E788" s="15" t="n">
        <v>8609.5446677005</v>
      </c>
      <c r="F788" s="15" t="n">
        <v>351.138227067888</v>
      </c>
      <c r="G788" s="15" t="n">
        <v>202.844845040061</v>
      </c>
      <c r="H788" s="15" t="n">
        <v>30.9290373723162</v>
      </c>
      <c r="I788" s="16" t="n">
        <v>11.9394891776452</v>
      </c>
      <c r="J788" s="15" t="n">
        <v>20.5668436578171</v>
      </c>
      <c r="K788" s="15" t="n">
        <v>3439.87590604085</v>
      </c>
      <c r="L788" s="15" t="n">
        <v>357.11454321472</v>
      </c>
      <c r="M788" s="15" t="n">
        <v>-98.06629657594451</v>
      </c>
      <c r="N788" s="17" t="n">
        <v>2.48514913957064</v>
      </c>
      <c r="O788" s="18" t="n">
        <v>0.0722453137104863</v>
      </c>
    </row>
    <row r="789" ht="15" customHeight="1" s="12">
      <c r="A789" s="14" t="inlineStr">
        <is>
          <t>Kohat</t>
        </is>
      </c>
      <c r="B789" s="14" t="inlineStr">
        <is>
          <t>Khyber Pakhtunkhwa</t>
        </is>
      </c>
      <c r="C789" s="14" t="n">
        <v>2021</v>
      </c>
      <c r="D789" s="15" t="n">
        <v>386.5240316203</v>
      </c>
      <c r="E789" s="15" t="n">
        <v>12846.2398744394</v>
      </c>
      <c r="F789" s="15" t="n">
        <v>484.989459037781</v>
      </c>
      <c r="G789" s="15" t="n">
        <v>278.47341966629</v>
      </c>
      <c r="H789" s="15" t="n">
        <v>43.5547214679396</v>
      </c>
      <c r="I789" s="16" t="n">
        <v>11.2683087996778</v>
      </c>
      <c r="J789" s="15" t="n">
        <v>20.5961061946903</v>
      </c>
      <c r="K789" s="15" t="n">
        <v>3439.87590604085</v>
      </c>
      <c r="L789" s="15" t="n">
        <v>357.11454321472</v>
      </c>
      <c r="M789" s="15" t="n">
        <v>29.4094884055793</v>
      </c>
      <c r="N789" s="17" t="n">
        <v>2.25667316852476</v>
      </c>
      <c r="O789" s="18" t="n">
        <v>0.0656033307643967</v>
      </c>
    </row>
    <row r="790" ht="15" customHeight="1" s="12">
      <c r="A790" s="14" t="inlineStr">
        <is>
          <t>Kohat</t>
        </is>
      </c>
      <c r="B790" s="14" t="inlineStr">
        <is>
          <t>Khyber Pakhtunkhwa</t>
        </is>
      </c>
      <c r="C790" s="14" t="n">
        <v>2022</v>
      </c>
      <c r="D790" s="15" t="n">
        <v>340.423475656876</v>
      </c>
      <c r="E790" s="15" t="n">
        <v>11314.0743380079</v>
      </c>
      <c r="F790" s="15" t="n">
        <v>430.201775832487</v>
      </c>
      <c r="G790" s="15" t="n">
        <v>278.955652565877</v>
      </c>
      <c r="H790" s="15" t="n">
        <v>41.9152035779358</v>
      </c>
      <c r="I790" s="16" t="n">
        <v>12.3126654226936</v>
      </c>
      <c r="J790" s="15" t="n">
        <v>27.1150442477876</v>
      </c>
      <c r="K790" s="15" t="n">
        <v>3439.87590604085</v>
      </c>
      <c r="L790" s="15" t="n">
        <v>357.11454321472</v>
      </c>
      <c r="M790" s="15" t="n">
        <v>-16.6910675578445</v>
      </c>
      <c r="N790" s="17" t="n">
        <v>2.54822934526127</v>
      </c>
      <c r="O790" s="18" t="n">
        <v>0.0740791067720282</v>
      </c>
    </row>
    <row r="791" ht="15" customHeight="1" s="12">
      <c r="A791" s="14" t="inlineStr">
        <is>
          <t>Kohat</t>
        </is>
      </c>
      <c r="B791" s="14" t="inlineStr">
        <is>
          <t>Khyber Pakhtunkhwa</t>
        </is>
      </c>
      <c r="C791" s="14" t="n">
        <v>2023</v>
      </c>
      <c r="D791" s="15" t="n">
        <v>289.224058515512</v>
      </c>
      <c r="E791" s="15" t="n">
        <v>9612.44665066261</v>
      </c>
      <c r="F791" s="15" t="n">
        <v>371.124747276306</v>
      </c>
      <c r="G791" s="15" t="n">
        <v>203.823624014854</v>
      </c>
      <c r="H791" s="15" t="n">
        <v>40.4531437192441</v>
      </c>
      <c r="I791" s="16" t="n">
        <v>13.9867837851651</v>
      </c>
      <c r="J791" s="15" t="n">
        <v>18.9617699115044</v>
      </c>
      <c r="K791" s="15" t="n">
        <v>3439.87590604085</v>
      </c>
      <c r="L791" s="15" t="n">
        <v>357.11454321472</v>
      </c>
      <c r="M791" s="15" t="n">
        <v>-67.8904846992082</v>
      </c>
      <c r="N791" s="17" t="n">
        <v>2.11481854526582</v>
      </c>
      <c r="O791" s="18" t="n">
        <v>0.0614795010933953</v>
      </c>
    </row>
    <row r="792" ht="15" customHeight="1" s="12">
      <c r="A792" s="14" t="inlineStr">
        <is>
          <t>Kohat</t>
        </is>
      </c>
      <c r="B792" s="14" t="inlineStr">
        <is>
          <t>Khyber Pakhtunkhwa</t>
        </is>
      </c>
      <c r="C792" s="14" t="n">
        <v>2024</v>
      </c>
      <c r="D792" s="15" t="n">
        <v>324.57899702456</v>
      </c>
      <c r="E792" s="15" t="n">
        <v>10787.4784305221</v>
      </c>
      <c r="F792" s="15" t="n">
        <v>406.788469955325</v>
      </c>
      <c r="G792" s="15" t="n">
        <v>281.329123632068</v>
      </c>
      <c r="H792" s="15" t="n">
        <v>31.0782495999669</v>
      </c>
      <c r="I792" s="16" t="n">
        <v>9.57494165822914</v>
      </c>
      <c r="J792" s="15" t="n">
        <v>30.9655457227139</v>
      </c>
      <c r="K792" s="15" t="n">
        <v>3439.87590604085</v>
      </c>
      <c r="L792" s="15" t="n">
        <v>357.11454321472</v>
      </c>
      <c r="M792" s="15" t="n">
        <v>-32.5355461901604</v>
      </c>
      <c r="N792" s="17" t="n">
        <v>2.71621437478218</v>
      </c>
      <c r="O792" s="18" t="n">
        <v>0.07896256867906699</v>
      </c>
    </row>
    <row r="793" ht="15" customHeight="1" s="12">
      <c r="A793" s="14" t="inlineStr">
        <is>
          <t>Kohat</t>
        </is>
      </c>
      <c r="B793" s="14" t="inlineStr">
        <is>
          <t>Khyber Pakhtunkhwa</t>
        </is>
      </c>
      <c r="C793" s="14" t="n">
        <v>2025</v>
      </c>
      <c r="D793" s="15" t="n">
        <v>372.448879938492</v>
      </c>
      <c r="E793" s="15" t="n">
        <v>12378.448068544</v>
      </c>
      <c r="F793" s="15" t="n">
        <v>469.965899980569</v>
      </c>
      <c r="G793" s="15" t="n">
        <v>295.253615616937</v>
      </c>
      <c r="H793" s="15" t="n">
        <v>48.5475039264226</v>
      </c>
      <c r="I793" s="16" t="n">
        <v>13.0346757746835</v>
      </c>
      <c r="J793" s="15" t="n">
        <v>30.3943362831858</v>
      </c>
      <c r="K793" s="15" t="n">
        <v>3439.87590604085</v>
      </c>
      <c r="L793" s="15" t="n">
        <v>357.11454321472</v>
      </c>
      <c r="M793" s="15" t="n">
        <v>15.3343367237717</v>
      </c>
      <c r="N793" s="17" t="n">
        <v>1.52017244899735</v>
      </c>
      <c r="O793" s="18" t="n">
        <v>0.0441926537619493</v>
      </c>
    </row>
    <row r="794" ht="15" customHeight="1" s="12">
      <c r="A794" s="14" t="inlineStr">
        <is>
          <t>Kohistan Lower</t>
        </is>
      </c>
      <c r="B794" s="14" t="inlineStr">
        <is>
          <t>Khyber Pakhtunkhwa</t>
        </is>
      </c>
      <c r="C794" s="14" t="n">
        <v>2015</v>
      </c>
      <c r="D794" s="15" t="n">
        <v>337.982821194472</v>
      </c>
      <c r="E794" s="15" t="n">
        <v>2760.85575116896</v>
      </c>
      <c r="F794" s="15" t="n">
        <v>544.440674781799</v>
      </c>
      <c r="G794" s="15" t="n">
        <v>141.736251235008</v>
      </c>
      <c r="H794" s="15" t="n">
        <v>125.302976900367</v>
      </c>
      <c r="I794" s="16" t="n">
        <v>37.0737709264428</v>
      </c>
      <c r="J794" s="15" t="n">
        <v>17.7887662025924</v>
      </c>
      <c r="K794" s="15" t="n">
        <v>823.511299715097</v>
      </c>
      <c r="L794" s="15" t="n">
        <v>317.345511798906</v>
      </c>
      <c r="M794" s="15" t="n">
        <v>20.637309395566</v>
      </c>
      <c r="N794" s="17" t="n">
        <v>0.111360988220454</v>
      </c>
      <c r="O794" s="18" t="n">
        <v>0.0135227031200399</v>
      </c>
    </row>
    <row r="795" ht="15" customHeight="1" s="12">
      <c r="A795" s="14" t="inlineStr">
        <is>
          <t>Kohistan Lower</t>
        </is>
      </c>
      <c r="B795" s="14" t="inlineStr">
        <is>
          <t>Khyber Pakhtunkhwa</t>
        </is>
      </c>
      <c r="C795" s="14" t="n">
        <v>2016</v>
      </c>
      <c r="D795" s="15" t="n">
        <v>326.909599745039</v>
      </c>
      <c r="E795" s="15" t="n">
        <v>2670.40273046634</v>
      </c>
      <c r="F795" s="15" t="n">
        <v>551.495099067688</v>
      </c>
      <c r="G795" s="15" t="n">
        <v>129.672093749046</v>
      </c>
      <c r="H795" s="15" t="n">
        <v>120.216427227909</v>
      </c>
      <c r="I795" s="16" t="n">
        <v>36.7735995888977</v>
      </c>
      <c r="J795" s="15" t="n">
        <v>13.8545367258761</v>
      </c>
      <c r="K795" s="15" t="n">
        <v>823.511299715097</v>
      </c>
      <c r="L795" s="15" t="n">
        <v>317.345511798906</v>
      </c>
      <c r="M795" s="15" t="n">
        <v>9.56408794613305</v>
      </c>
      <c r="N795" s="17" t="n">
        <v>0.566914686104808</v>
      </c>
      <c r="O795" s="18" t="n">
        <v>0.068841154493076</v>
      </c>
    </row>
    <row r="796" ht="15" customHeight="1" s="12">
      <c r="A796" s="14" t="inlineStr">
        <is>
          <t>Kohistan Lower</t>
        </is>
      </c>
      <c r="B796" s="14" t="inlineStr">
        <is>
          <t>Khyber Pakhtunkhwa</t>
        </is>
      </c>
      <c r="C796" s="14" t="n">
        <v>2017</v>
      </c>
      <c r="D796" s="15" t="n">
        <v>323.907863533531</v>
      </c>
      <c r="E796" s="15" t="n">
        <v>2645.88266564841</v>
      </c>
      <c r="F796" s="15" t="n">
        <v>554.183787345886</v>
      </c>
      <c r="G796" s="15" t="n">
        <v>126.549331784248</v>
      </c>
      <c r="H796" s="15" t="n">
        <v>128.170055363965</v>
      </c>
      <c r="I796" s="16" t="n">
        <v>39.5699116303475</v>
      </c>
      <c r="J796" s="15" t="n">
        <v>19.5055208833413</v>
      </c>
      <c r="K796" s="15" t="n">
        <v>823.511299715097</v>
      </c>
      <c r="L796" s="15" t="n">
        <v>317.345511798906</v>
      </c>
      <c r="M796" s="15" t="n">
        <v>6.56235173462517</v>
      </c>
      <c r="N796" s="17" t="n">
        <v>0.0368603362007889</v>
      </c>
      <c r="O796" s="18" t="n">
        <v>0.00447599640873673</v>
      </c>
    </row>
    <row r="797" ht="15" customHeight="1" s="12">
      <c r="A797" s="14" t="inlineStr">
        <is>
          <t>Kohistan Lower</t>
        </is>
      </c>
      <c r="B797" s="14" t="inlineStr">
        <is>
          <t>Khyber Pakhtunkhwa</t>
        </is>
      </c>
      <c r="C797" s="14" t="n">
        <v>2018</v>
      </c>
      <c r="D797" s="15" t="n">
        <v>311.186198355313</v>
      </c>
      <c r="E797" s="15" t="n">
        <v>2541.96412225144</v>
      </c>
      <c r="F797" s="15" t="n">
        <v>523.213584423065</v>
      </c>
      <c r="G797" s="15" t="n">
        <v>126.697708725929</v>
      </c>
      <c r="H797" s="15" t="n">
        <v>121.58673302436</v>
      </c>
      <c r="I797" s="16" t="n">
        <v>39.0720197961774</v>
      </c>
      <c r="J797" s="15" t="n">
        <v>24.3960633701392</v>
      </c>
      <c r="K797" s="15" t="n">
        <v>823.511299715097</v>
      </c>
      <c r="L797" s="15" t="n">
        <v>317.345511798906</v>
      </c>
      <c r="M797" s="15" t="n">
        <v>-6.15931344359336</v>
      </c>
      <c r="N797" s="17" t="n">
        <v>0.0724789925407858</v>
      </c>
      <c r="O797" s="18" t="n">
        <v>0.00880121408969867</v>
      </c>
    </row>
    <row r="798" ht="15" customHeight="1" s="12">
      <c r="A798" s="14" t="inlineStr">
        <is>
          <t>Kohistan Lower</t>
        </is>
      </c>
      <c r="B798" s="14" t="inlineStr">
        <is>
          <t>Khyber Pakhtunkhwa</t>
        </is>
      </c>
      <c r="C798" s="14" t="n">
        <v>2019</v>
      </c>
      <c r="D798" s="15" t="n">
        <v>287.402318486948</v>
      </c>
      <c r="E798" s="15" t="n">
        <v>2347.68246826789</v>
      </c>
      <c r="F798" s="15" t="n">
        <v>486.316909279674</v>
      </c>
      <c r="G798" s="15" t="n">
        <v>129.861277272925</v>
      </c>
      <c r="H798" s="15" t="n">
        <v>103.51860599283</v>
      </c>
      <c r="I798" s="16" t="n">
        <v>36.0187094306727</v>
      </c>
      <c r="J798" s="15" t="n">
        <v>24.5184829572732</v>
      </c>
      <c r="K798" s="15" t="n">
        <v>823.511299715097</v>
      </c>
      <c r="L798" s="15" t="n">
        <v>317.345511798906</v>
      </c>
      <c r="M798" s="15" t="n">
        <v>-29.9431933119585</v>
      </c>
      <c r="N798" s="17" t="n">
        <v>0.0794500741438323</v>
      </c>
      <c r="O798" s="18" t="n">
        <v>0.00964772118747113</v>
      </c>
    </row>
    <row r="799" ht="15" customHeight="1" s="12">
      <c r="A799" s="14" t="inlineStr">
        <is>
          <t>Kohistan Lower</t>
        </is>
      </c>
      <c r="B799" s="14" t="inlineStr">
        <is>
          <t>Khyber Pakhtunkhwa</t>
        </is>
      </c>
      <c r="C799" s="14" t="n">
        <v>2020</v>
      </c>
      <c r="D799" s="15" t="n">
        <v>401.948860860227</v>
      </c>
      <c r="E799" s="15" t="n">
        <v>3283.37049871315</v>
      </c>
      <c r="F799" s="15" t="n">
        <v>627.245599031448</v>
      </c>
      <c r="G799" s="15" t="n">
        <v>171.256459349766</v>
      </c>
      <c r="H799" s="15" t="n">
        <v>143.994971032052</v>
      </c>
      <c r="I799" s="16" t="n">
        <v>35.8242017961894</v>
      </c>
      <c r="J799" s="15" t="n">
        <v>27.4008641382621</v>
      </c>
      <c r="K799" s="15" t="n">
        <v>823.511299715097</v>
      </c>
      <c r="L799" s="15" t="n">
        <v>317.345511798906</v>
      </c>
      <c r="M799" s="15" t="n">
        <v>84.6033490613207</v>
      </c>
      <c r="N799" s="17" t="n">
        <v>0.582476912250833</v>
      </c>
      <c r="O799" s="18" t="n">
        <v>0.0707308949436817</v>
      </c>
    </row>
    <row r="800" ht="15" customHeight="1" s="12">
      <c r="A800" s="14" t="inlineStr">
        <is>
          <t>Kohistan Lower</t>
        </is>
      </c>
      <c r="B800" s="14" t="inlineStr">
        <is>
          <t>Khyber Pakhtunkhwa</t>
        </is>
      </c>
      <c r="C800" s="14" t="n">
        <v>2021</v>
      </c>
      <c r="D800" s="15" t="n">
        <v>352.993584333224</v>
      </c>
      <c r="E800" s="15" t="n">
        <v>2883.47308300434</v>
      </c>
      <c r="F800" s="15" t="n">
        <v>608.1979483813921</v>
      </c>
      <c r="G800" s="15" t="n">
        <v>134.323101162911</v>
      </c>
      <c r="H800" s="15" t="n">
        <v>145.842852936109</v>
      </c>
      <c r="I800" s="16" t="n">
        <v>41.3160066950208</v>
      </c>
      <c r="J800" s="15" t="n">
        <v>31.7311569851176</v>
      </c>
      <c r="K800" s="15" t="n">
        <v>823.511299715097</v>
      </c>
      <c r="L800" s="15" t="n">
        <v>317.345511798906</v>
      </c>
      <c r="M800" s="15" t="n">
        <v>35.648072534318</v>
      </c>
      <c r="N800" s="17" t="n">
        <v>0.0772474133592792</v>
      </c>
      <c r="O800" s="18" t="n">
        <v>0.00938024935249872</v>
      </c>
    </row>
    <row r="801" ht="15" customHeight="1" s="12">
      <c r="A801" s="14" t="inlineStr">
        <is>
          <t>Kohistan Lower</t>
        </is>
      </c>
      <c r="B801" s="14" t="inlineStr">
        <is>
          <t>Khyber Pakhtunkhwa</t>
        </is>
      </c>
      <c r="C801" s="14" t="n">
        <v>2022</v>
      </c>
      <c r="D801" s="15" t="n">
        <v>338.868947419182</v>
      </c>
      <c r="E801" s="15" t="n">
        <v>2768.09418617316</v>
      </c>
      <c r="F801" s="15" t="n">
        <v>600.157560348511</v>
      </c>
      <c r="G801" s="15" t="n">
        <v>183.079459190369</v>
      </c>
      <c r="H801" s="15" t="n">
        <v>124.638096480646</v>
      </c>
      <c r="I801" s="16" t="n">
        <v>36.7806190062226</v>
      </c>
      <c r="J801" s="15" t="n">
        <v>22.6317810849736</v>
      </c>
      <c r="K801" s="15" t="n">
        <v>823.511299715097</v>
      </c>
      <c r="L801" s="15" t="n">
        <v>317.345511798906</v>
      </c>
      <c r="M801" s="15" t="n">
        <v>21.5234356202756</v>
      </c>
      <c r="N801" s="17" t="n">
        <v>0.332456875929649</v>
      </c>
      <c r="O801" s="18" t="n">
        <v>0.0403706513856782</v>
      </c>
    </row>
    <row r="802" ht="15" customHeight="1" s="12">
      <c r="A802" s="14" t="inlineStr">
        <is>
          <t>Kohistan Lower</t>
        </is>
      </c>
      <c r="B802" s="14" t="inlineStr">
        <is>
          <t>Khyber Pakhtunkhwa</t>
        </is>
      </c>
      <c r="C802" s="14" t="n">
        <v>2023</v>
      </c>
      <c r="D802" s="15" t="n">
        <v>253.786817706896</v>
      </c>
      <c r="E802" s="15" t="n">
        <v>2073.08996581751</v>
      </c>
      <c r="F802" s="15" t="n">
        <v>428.472722053528</v>
      </c>
      <c r="G802" s="15" t="n">
        <v>100.267069935799</v>
      </c>
      <c r="H802" s="15" t="n">
        <v>99.1164752914368</v>
      </c>
      <c r="I802" s="16" t="n">
        <v>39.0550132536469</v>
      </c>
      <c r="J802" s="15" t="n">
        <v>18.822851656265</v>
      </c>
      <c r="K802" s="15" t="n">
        <v>823.511299715097</v>
      </c>
      <c r="L802" s="15" t="n">
        <v>317.345511798906</v>
      </c>
      <c r="M802" s="15" t="n">
        <v>-63.5586940920099</v>
      </c>
      <c r="N802" s="17" t="n">
        <v>0.0743007580437155</v>
      </c>
      <c r="O802" s="18" t="n">
        <v>0.00902243333751713</v>
      </c>
    </row>
    <row r="803" ht="15" customHeight="1" s="12">
      <c r="A803" s="14" t="inlineStr">
        <is>
          <t>Kohistan Lower</t>
        </is>
      </c>
      <c r="B803" s="14" t="inlineStr">
        <is>
          <t>Khyber Pakhtunkhwa</t>
        </is>
      </c>
      <c r="C803" s="14" t="n">
        <v>2024</v>
      </c>
      <c r="D803" s="15" t="n">
        <v>273.027948174897</v>
      </c>
      <c r="E803" s="15" t="n">
        <v>2230.26359234632</v>
      </c>
      <c r="F803" s="15" t="n">
        <v>439.935527779162</v>
      </c>
      <c r="G803" s="15" t="n">
        <v>121.218960086815</v>
      </c>
      <c r="H803" s="15" t="n">
        <v>94.9150609902884</v>
      </c>
      <c r="I803" s="16" t="n">
        <v>34.7638626832032</v>
      </c>
      <c r="J803" s="15" t="n">
        <v>22.5991358617379</v>
      </c>
      <c r="K803" s="15" t="n">
        <v>823.511299715097</v>
      </c>
      <c r="L803" s="15" t="n">
        <v>317.345511798906</v>
      </c>
      <c r="M803" s="15" t="n">
        <v>-44.3175636240089</v>
      </c>
      <c r="N803" s="17" t="n">
        <v>0.377892381855804</v>
      </c>
      <c r="O803" s="18" t="n">
        <v>0.0458879413053033</v>
      </c>
    </row>
    <row r="804" ht="15" customHeight="1" s="12">
      <c r="A804" s="14" t="inlineStr">
        <is>
          <t>Kohistan Lower</t>
        </is>
      </c>
      <c r="B804" s="14" t="inlineStr">
        <is>
          <t>Khyber Pakhtunkhwa</t>
        </is>
      </c>
      <c r="C804" s="14" t="n">
        <v>2025</v>
      </c>
      <c r="D804" s="15" t="n">
        <v>282.785669978239</v>
      </c>
      <c r="E804" s="15" t="n">
        <v>2309.97078652812</v>
      </c>
      <c r="F804" s="15" t="n">
        <v>482.972265452147</v>
      </c>
      <c r="G804" s="15" t="n">
        <v>114.817222714424</v>
      </c>
      <c r="H804" s="15" t="n">
        <v>115.682873452733</v>
      </c>
      <c r="I804" s="16" t="n">
        <v>40.9083223565168</v>
      </c>
      <c r="J804" s="15" t="n">
        <v>29.2702832453193</v>
      </c>
      <c r="K804" s="15" t="n">
        <v>823.511299715097</v>
      </c>
      <c r="L804" s="15" t="n">
        <v>317.345511798906</v>
      </c>
      <c r="M804" s="15" t="n">
        <v>-34.5598418206674</v>
      </c>
      <c r="N804" s="17" t="n">
        <v>0.0605640756694718</v>
      </c>
      <c r="O804" s="18" t="n">
        <v>0.00735437093460947</v>
      </c>
    </row>
    <row r="805" ht="15" customHeight="1" s="12">
      <c r="A805" s="14" t="inlineStr">
        <is>
          <t>Kohistan Upper</t>
        </is>
      </c>
      <c r="B805" s="14" t="inlineStr">
        <is>
          <t>Khyber Pakhtunkhwa</t>
        </is>
      </c>
      <c r="C805" s="14" t="n">
        <v>2015</v>
      </c>
      <c r="D805" s="15" t="n">
        <v>226.299501100615</v>
      </c>
      <c r="E805" s="15" t="n">
        <v>12324.8920442563</v>
      </c>
      <c r="F805" s="15" t="n">
        <v>737.5718936920171</v>
      </c>
      <c r="G805" s="15" t="n">
        <v>79.72167682647709</v>
      </c>
      <c r="H805" s="15" t="n">
        <v>123.790783370544</v>
      </c>
      <c r="I805" s="16" t="n">
        <v>54.7021901367361</v>
      </c>
      <c r="J805" s="15" t="n">
        <v>16.9161146313364</v>
      </c>
      <c r="K805" s="15" t="n">
        <v>5484.620491656</v>
      </c>
      <c r="L805" s="15" t="n">
        <v>223.485674523031</v>
      </c>
      <c r="M805" s="15" t="n">
        <v>2.81382657758405</v>
      </c>
      <c r="N805" s="17" t="n">
        <v>2.41441220032217</v>
      </c>
      <c r="O805" s="18" t="n">
        <v>0.0440214998283896</v>
      </c>
    </row>
    <row r="806" ht="15" customHeight="1" s="12">
      <c r="A806" s="14" t="inlineStr">
        <is>
          <t>Kohistan Upper</t>
        </is>
      </c>
      <c r="B806" s="14" t="inlineStr">
        <is>
          <t>Khyber Pakhtunkhwa</t>
        </is>
      </c>
      <c r="C806" s="14" t="n">
        <v>2016</v>
      </c>
      <c r="D806" s="15" t="n">
        <v>237.898747540517</v>
      </c>
      <c r="E806" s="15" t="n">
        <v>12956.618846442</v>
      </c>
      <c r="F806" s="15" t="n">
        <v>809.555607795715</v>
      </c>
      <c r="G806" s="15" t="n">
        <v>82.5571249127388</v>
      </c>
      <c r="H806" s="15" t="n">
        <v>138.988604524161</v>
      </c>
      <c r="I806" s="16" t="n">
        <v>58.4234284379702</v>
      </c>
      <c r="J806" s="15" t="n">
        <v>17.7373991935484</v>
      </c>
      <c r="K806" s="15" t="n">
        <v>5484.620491656</v>
      </c>
      <c r="L806" s="15" t="n">
        <v>223.485674523031</v>
      </c>
      <c r="M806" s="15" t="n">
        <v>14.4130730174857</v>
      </c>
      <c r="N806" s="17" t="n">
        <v>5.43336348819413</v>
      </c>
      <c r="O806" s="18" t="n">
        <v>0.0990654411998086</v>
      </c>
    </row>
    <row r="807" ht="15" customHeight="1" s="12">
      <c r="A807" s="14" t="inlineStr">
        <is>
          <t>Kohistan Upper</t>
        </is>
      </c>
      <c r="B807" s="14" t="inlineStr">
        <is>
          <t>Khyber Pakhtunkhwa</t>
        </is>
      </c>
      <c r="C807" s="14" t="n">
        <v>2017</v>
      </c>
      <c r="D807" s="15" t="n">
        <v>209.912351047635</v>
      </c>
      <c r="E807" s="15" t="n">
        <v>11432.4028680375</v>
      </c>
      <c r="F807" s="15" t="n">
        <v>633.174737930298</v>
      </c>
      <c r="G807" s="15" t="n">
        <v>73.0248906314373</v>
      </c>
      <c r="H807" s="15" t="n">
        <v>111.846132657829</v>
      </c>
      <c r="I807" s="16" t="n">
        <v>53.2823019225047</v>
      </c>
      <c r="J807" s="15" t="n">
        <v>16.089357718894</v>
      </c>
      <c r="K807" s="15" t="n">
        <v>5484.620491656</v>
      </c>
      <c r="L807" s="15" t="n">
        <v>223.485674523031</v>
      </c>
      <c r="M807" s="15" t="n">
        <v>-13.5733234753959</v>
      </c>
      <c r="N807" s="17" t="n">
        <v>0.870515053228879</v>
      </c>
      <c r="O807" s="18" t="n">
        <v>0.0158719286877412</v>
      </c>
    </row>
    <row r="808" ht="15" customHeight="1" s="12">
      <c r="A808" s="14" t="inlineStr">
        <is>
          <t>Kohistan Upper</t>
        </is>
      </c>
      <c r="B808" s="14" t="inlineStr">
        <is>
          <t>Khyber Pakhtunkhwa</t>
        </is>
      </c>
      <c r="C808" s="14" t="n">
        <v>2018</v>
      </c>
      <c r="D808" s="15" t="n">
        <v>205.161948413036</v>
      </c>
      <c r="E808" s="15" t="n">
        <v>11173.6829002362</v>
      </c>
      <c r="F808" s="15" t="n">
        <v>647.940406024456</v>
      </c>
      <c r="G808" s="15" t="n">
        <v>67.6512926220894</v>
      </c>
      <c r="H808" s="15" t="n">
        <v>113.596473565879</v>
      </c>
      <c r="I808" s="16" t="n">
        <v>55.3691727167578</v>
      </c>
      <c r="J808" s="15" t="n">
        <v>24.0614919354839</v>
      </c>
      <c r="K808" s="15" t="n">
        <v>5484.620491656</v>
      </c>
      <c r="L808" s="15" t="n">
        <v>223.485674523031</v>
      </c>
      <c r="M808" s="15" t="n">
        <v>-18.3237261099952</v>
      </c>
      <c r="N808" s="17" t="n">
        <v>2.07097973567445</v>
      </c>
      <c r="O808" s="18" t="n">
        <v>0.0377597636668777</v>
      </c>
    </row>
    <row r="809" ht="15" customHeight="1" s="12">
      <c r="A809" s="14" t="inlineStr">
        <is>
          <t>Kohistan Upper</t>
        </is>
      </c>
      <c r="B809" s="14" t="inlineStr">
        <is>
          <t>Khyber Pakhtunkhwa</t>
        </is>
      </c>
      <c r="C809" s="14" t="n">
        <v>2019</v>
      </c>
      <c r="D809" s="15" t="n">
        <v>231.43275092936</v>
      </c>
      <c r="E809" s="15" t="n">
        <v>12604.4629212038</v>
      </c>
      <c r="F809" s="15" t="n">
        <v>634.44677978754</v>
      </c>
      <c r="G809" s="15" t="n">
        <v>93.85588204115631</v>
      </c>
      <c r="H809" s="15" t="n">
        <v>123.554843455851</v>
      </c>
      <c r="I809" s="16" t="n">
        <v>53.3869311753388</v>
      </c>
      <c r="J809" s="15" t="n">
        <v>24.9235311059908</v>
      </c>
      <c r="K809" s="15" t="n">
        <v>5484.620491656</v>
      </c>
      <c r="L809" s="15" t="n">
        <v>223.485674523031</v>
      </c>
      <c r="M809" s="15" t="n">
        <v>7.94707640632916</v>
      </c>
      <c r="N809" s="17" t="n">
        <v>2.19852638898615</v>
      </c>
      <c r="O809" s="18" t="n">
        <v>0.0400852965548093</v>
      </c>
    </row>
    <row r="810" ht="15" customHeight="1" s="12">
      <c r="A810" s="14" t="inlineStr">
        <is>
          <t>Kohistan Upper</t>
        </is>
      </c>
      <c r="B810" s="14" t="inlineStr">
        <is>
          <t>Khyber Pakhtunkhwa</t>
        </is>
      </c>
      <c r="C810" s="14" t="n">
        <v>2020</v>
      </c>
      <c r="D810" s="15" t="n">
        <v>261.001458052071</v>
      </c>
      <c r="E810" s="15" t="n">
        <v>14214.8558801065</v>
      </c>
      <c r="F810" s="15" t="n">
        <v>788.9788703322409</v>
      </c>
      <c r="G810" s="15" t="n">
        <v>87.3238051626831</v>
      </c>
      <c r="H810" s="15" t="n">
        <v>133.23231917941</v>
      </c>
      <c r="I810" s="16" t="n">
        <v>51.0465804190371</v>
      </c>
      <c r="J810" s="15" t="n">
        <v>28.4157546082949</v>
      </c>
      <c r="K810" s="15" t="n">
        <v>5484.620491656</v>
      </c>
      <c r="L810" s="15" t="n">
        <v>223.485674523031</v>
      </c>
      <c r="M810" s="15" t="n">
        <v>37.5157835290398</v>
      </c>
      <c r="N810" s="17" t="n">
        <v>3.2206988584724</v>
      </c>
      <c r="O810" s="18" t="n">
        <v>0.0587223648996716</v>
      </c>
    </row>
    <row r="811" ht="15" customHeight="1" s="12">
      <c r="A811" s="14" t="inlineStr">
        <is>
          <t>Kohistan Upper</t>
        </is>
      </c>
      <c r="B811" s="14" t="inlineStr">
        <is>
          <t>Khyber Pakhtunkhwa</t>
        </is>
      </c>
      <c r="C811" s="14" t="n">
        <v>2021</v>
      </c>
      <c r="D811" s="15" t="n">
        <v>224.395453805025</v>
      </c>
      <c r="E811" s="15" t="n">
        <v>12221.1924017419</v>
      </c>
      <c r="F811" s="15" t="n">
        <v>753.549374222755</v>
      </c>
      <c r="G811" s="15" t="n">
        <v>74.9075297117233</v>
      </c>
      <c r="H811" s="15" t="n">
        <v>127.536409296801</v>
      </c>
      <c r="I811" s="16" t="n">
        <v>56.835558445679</v>
      </c>
      <c r="J811" s="15" t="n">
        <v>24.5361463133641</v>
      </c>
      <c r="K811" s="15" t="n">
        <v>5484.620491656</v>
      </c>
      <c r="L811" s="15" t="n">
        <v>223.485674523031</v>
      </c>
      <c r="M811" s="15" t="n">
        <v>0.9097792819937069</v>
      </c>
      <c r="N811" s="17" t="n">
        <v>2.14032131754246</v>
      </c>
      <c r="O811" s="18" t="n">
        <v>0.0390240550061509</v>
      </c>
    </row>
    <row r="812" ht="15" customHeight="1" s="12">
      <c r="A812" s="14" t="inlineStr">
        <is>
          <t>Kohistan Upper</t>
        </is>
      </c>
      <c r="B812" s="14" t="inlineStr">
        <is>
          <t>Khyber Pakhtunkhwa</t>
        </is>
      </c>
      <c r="C812" s="14" t="n">
        <v>2022</v>
      </c>
      <c r="D812" s="15" t="n">
        <v>242.946707286941</v>
      </c>
      <c r="E812" s="15" t="n">
        <v>13231.5445913766</v>
      </c>
      <c r="F812" s="15" t="n">
        <v>639.953757762909</v>
      </c>
      <c r="G812" s="15" t="n">
        <v>78.8685561418533</v>
      </c>
      <c r="H812" s="15" t="n">
        <v>112.819952173303</v>
      </c>
      <c r="I812" s="16" t="n">
        <v>46.4381482808299</v>
      </c>
      <c r="J812" s="15" t="n">
        <v>22.8655673963134</v>
      </c>
      <c r="K812" s="15" t="n">
        <v>5484.620491656</v>
      </c>
      <c r="L812" s="15" t="n">
        <v>223.485674523031</v>
      </c>
      <c r="M812" s="15" t="n">
        <v>19.4610327639097</v>
      </c>
      <c r="N812" s="17" t="n">
        <v>2.38280019093424</v>
      </c>
      <c r="O812" s="18" t="n">
        <v>0.0434451243173398</v>
      </c>
    </row>
    <row r="813" ht="15" customHeight="1" s="12">
      <c r="A813" s="14" t="inlineStr">
        <is>
          <t>Kohistan Upper</t>
        </is>
      </c>
      <c r="B813" s="14" t="inlineStr">
        <is>
          <t>Khyber Pakhtunkhwa</t>
        </is>
      </c>
      <c r="C813" s="14" t="n">
        <v>2023</v>
      </c>
      <c r="D813" s="15" t="n">
        <v>205.194925235117</v>
      </c>
      <c r="E813" s="15" t="n">
        <v>11175.4789084914</v>
      </c>
      <c r="F813" s="15" t="n">
        <v>719.08442825079</v>
      </c>
      <c r="G813" s="15" t="n">
        <v>68.3155514001846</v>
      </c>
      <c r="H813" s="15" t="n">
        <v>142.707635878374</v>
      </c>
      <c r="I813" s="16" t="n">
        <v>69.5473514829166</v>
      </c>
      <c r="J813" s="15" t="n">
        <v>20.8655673963134</v>
      </c>
      <c r="K813" s="15" t="n">
        <v>5484.620491656</v>
      </c>
      <c r="L813" s="15" t="n">
        <v>223.485674523031</v>
      </c>
      <c r="M813" s="15" t="n">
        <v>-18.2907492879145</v>
      </c>
      <c r="N813" s="17" t="n">
        <v>2.07527515046722</v>
      </c>
      <c r="O813" s="18" t="n">
        <v>0.0378380811147175</v>
      </c>
    </row>
    <row r="814" ht="15" customHeight="1" s="12">
      <c r="A814" s="14" t="inlineStr">
        <is>
          <t>Kohistan Upper</t>
        </is>
      </c>
      <c r="B814" s="14" t="inlineStr">
        <is>
          <t>Khyber Pakhtunkhwa</t>
        </is>
      </c>
      <c r="C814" s="14" t="n">
        <v>2024</v>
      </c>
      <c r="D814" s="15" t="n">
        <v>224.976826394991</v>
      </c>
      <c r="E814" s="15" t="n">
        <v>12252.8555489162</v>
      </c>
      <c r="F814" s="15" t="n">
        <v>674.917771264212</v>
      </c>
      <c r="G814" s="15" t="n">
        <v>87.6133066336624</v>
      </c>
      <c r="H814" s="15" t="n">
        <v>126.409643216318</v>
      </c>
      <c r="I814" s="16" t="n">
        <v>56.1878506519518</v>
      </c>
      <c r="J814" s="15" t="n">
        <v>20.3316532258065</v>
      </c>
      <c r="K814" s="15" t="n">
        <v>5484.620491656</v>
      </c>
      <c r="L814" s="15" t="n">
        <v>223.485674523031</v>
      </c>
      <c r="M814" s="15" t="n">
        <v>1.49115187196011</v>
      </c>
      <c r="N814" s="17" t="n">
        <v>2.7127408405216</v>
      </c>
      <c r="O814" s="18" t="n">
        <v>0.0494608668849305</v>
      </c>
    </row>
    <row r="815" ht="15" customHeight="1" s="12">
      <c r="A815" s="14" t="inlineStr">
        <is>
          <t>Kohistan Upper</t>
        </is>
      </c>
      <c r="B815" s="14" t="inlineStr">
        <is>
          <t>Khyber Pakhtunkhwa</t>
        </is>
      </c>
      <c r="C815" s="14" t="n">
        <v>2025</v>
      </c>
      <c r="D815" s="15" t="n">
        <v>189.121749948034</v>
      </c>
      <c r="E815" s="15" t="n">
        <v>10300.0896599149</v>
      </c>
      <c r="F815" s="15" t="n">
        <v>676.89992326498</v>
      </c>
      <c r="G815" s="15" t="n">
        <v>65.88798819482329</v>
      </c>
      <c r="H815" s="15" t="n">
        <v>118.92845042371</v>
      </c>
      <c r="I815" s="16" t="n">
        <v>62.8845970684958</v>
      </c>
      <c r="J815" s="15" t="n">
        <v>21.7664170506912</v>
      </c>
      <c r="K815" s="15" t="n">
        <v>5484.620491656</v>
      </c>
      <c r="L815" s="15" t="n">
        <v>223.485674523031</v>
      </c>
      <c r="M815" s="15" t="n">
        <v>-34.3639245749967</v>
      </c>
      <c r="N815" s="17" t="n">
        <v>1.61048857795961</v>
      </c>
      <c r="O815" s="18" t="n">
        <v>0.0293637195209717</v>
      </c>
    </row>
    <row r="816" ht="15" customHeight="1" s="12">
      <c r="A816" s="14" t="inlineStr">
        <is>
          <t>Kohlu</t>
        </is>
      </c>
      <c r="B816" s="14" t="inlineStr">
        <is>
          <t>Balochistan</t>
        </is>
      </c>
      <c r="C816" s="14" t="n">
        <v>2015</v>
      </c>
      <c r="D816" s="15" t="n">
        <v>175.805811372019</v>
      </c>
      <c r="E816" s="15" t="n">
        <v>12633.198774827</v>
      </c>
      <c r="F816" s="15" t="n">
        <v>296.895987033844</v>
      </c>
      <c r="G816" s="15" t="n">
        <v>90.47476053237919</v>
      </c>
      <c r="H816" s="15" t="n">
        <v>51.7281515620686</v>
      </c>
      <c r="I816" s="16" t="n">
        <v>29.4234594171677</v>
      </c>
      <c r="J816" s="15" t="n">
        <v>19.1940624317835</v>
      </c>
      <c r="K816" s="15" t="n">
        <v>7737.42763468812</v>
      </c>
      <c r="L816" s="15" t="n">
        <v>204.569842305366</v>
      </c>
      <c r="M816" s="15" t="n">
        <v>-28.7640309333463</v>
      </c>
      <c r="N816" s="17" t="n">
        <v>0.875753379385675</v>
      </c>
      <c r="O816" s="18" t="n">
        <v>0.0113184047817072</v>
      </c>
    </row>
    <row r="817" ht="15" customHeight="1" s="12">
      <c r="A817" s="14" t="inlineStr">
        <is>
          <t>Kohlu</t>
        </is>
      </c>
      <c r="B817" s="14" t="inlineStr">
        <is>
          <t>Balochistan</t>
        </is>
      </c>
      <c r="C817" s="14" t="n">
        <v>2016</v>
      </c>
      <c r="D817" s="15" t="n">
        <v>215.080749450533</v>
      </c>
      <c r="E817" s="15" t="n">
        <v>15455.4496193395</v>
      </c>
      <c r="F817" s="15" t="n">
        <v>317.476636648178</v>
      </c>
      <c r="G817" s="15" t="n">
        <v>90.62624132633211</v>
      </c>
      <c r="H817" s="15" t="n">
        <v>64.36695474464319</v>
      </c>
      <c r="I817" s="16" t="n">
        <v>29.9268785835466</v>
      </c>
      <c r="J817" s="15" t="n">
        <v>22.9807902204759</v>
      </c>
      <c r="K817" s="15" t="n">
        <v>7737.42763468812</v>
      </c>
      <c r="L817" s="15" t="n">
        <v>204.569842305366</v>
      </c>
      <c r="M817" s="15" t="n">
        <v>10.5109071451677</v>
      </c>
      <c r="N817" s="17" t="n">
        <v>1.06788922372448</v>
      </c>
      <c r="O817" s="18" t="n">
        <v>0.0138016053156603</v>
      </c>
    </row>
    <row r="818" ht="15" customHeight="1" s="12">
      <c r="A818" s="14" t="inlineStr">
        <is>
          <t>Kohlu</t>
        </is>
      </c>
      <c r="B818" s="14" t="inlineStr">
        <is>
          <t>Balochistan</t>
        </is>
      </c>
      <c r="C818" s="14" t="n">
        <v>2017</v>
      </c>
      <c r="D818" s="15" t="n">
        <v>157.76380734392</v>
      </c>
      <c r="E818" s="15" t="n">
        <v>11336.7215912549</v>
      </c>
      <c r="F818" s="15" t="n">
        <v>275.315568387508</v>
      </c>
      <c r="G818" s="15" t="n">
        <v>83.3879828453064</v>
      </c>
      <c r="H818" s="15" t="n">
        <v>48.3112322769511</v>
      </c>
      <c r="I818" s="16" t="n">
        <v>30.6225065750563</v>
      </c>
      <c r="J818" s="15" t="n">
        <v>22.2662082514735</v>
      </c>
      <c r="K818" s="15" t="n">
        <v>7737.42763468812</v>
      </c>
      <c r="L818" s="15" t="n">
        <v>204.569842305366</v>
      </c>
      <c r="M818" s="15" t="n">
        <v>-46.8060349614453</v>
      </c>
      <c r="N818" s="17" t="n">
        <v>0.912761524396111</v>
      </c>
      <c r="O818" s="18" t="n">
        <v>0.011796705151775</v>
      </c>
    </row>
    <row r="819" ht="15" customHeight="1" s="12">
      <c r="A819" s="14" t="inlineStr">
        <is>
          <t>Kohlu</t>
        </is>
      </c>
      <c r="B819" s="14" t="inlineStr">
        <is>
          <t>Balochistan</t>
        </is>
      </c>
      <c r="C819" s="14" t="n">
        <v>2018</v>
      </c>
      <c r="D819" s="15" t="n">
        <v>102.294246688962</v>
      </c>
      <c r="E819" s="15" t="n">
        <v>7350.74422089624</v>
      </c>
      <c r="F819" s="15" t="n">
        <v>208.871014982462</v>
      </c>
      <c r="G819" s="15" t="n">
        <v>38.1102119009011</v>
      </c>
      <c r="H819" s="15" t="n">
        <v>39.0351978378265</v>
      </c>
      <c r="I819" s="16" t="n">
        <v>38.1597197313723</v>
      </c>
      <c r="J819" s="15" t="n">
        <v>16.1195699628902</v>
      </c>
      <c r="K819" s="15" t="n">
        <v>7737.42763468812</v>
      </c>
      <c r="L819" s="15" t="n">
        <v>204.569842305366</v>
      </c>
      <c r="M819" s="15" t="n">
        <v>-102.275595616404</v>
      </c>
      <c r="N819" s="17" t="n">
        <v>0.979911952300666</v>
      </c>
      <c r="O819" s="18" t="n">
        <v>0.0126645701719725</v>
      </c>
    </row>
    <row r="820" ht="15" customHeight="1" s="12">
      <c r="A820" s="14" t="inlineStr">
        <is>
          <t>Kohlu</t>
        </is>
      </c>
      <c r="B820" s="14" t="inlineStr">
        <is>
          <t>Balochistan</t>
        </is>
      </c>
      <c r="C820" s="14" t="n">
        <v>2019</v>
      </c>
      <c r="D820" s="15" t="n">
        <v>152.46237833902</v>
      </c>
      <c r="E820" s="15" t="n">
        <v>10955.767139938</v>
      </c>
      <c r="F820" s="15" t="n">
        <v>254.174600660801</v>
      </c>
      <c r="G820" s="15" t="n">
        <v>75.7009129524231</v>
      </c>
      <c r="H820" s="15" t="n">
        <v>44.0421925207291</v>
      </c>
      <c r="I820" s="16" t="n">
        <v>28.8872527114825</v>
      </c>
      <c r="J820" s="15" t="n">
        <v>23.9314560139708</v>
      </c>
      <c r="K820" s="15" t="n">
        <v>7737.42763468812</v>
      </c>
      <c r="L820" s="15" t="n">
        <v>204.569842305366</v>
      </c>
      <c r="M820" s="15" t="n">
        <v>-52.107463966346</v>
      </c>
      <c r="N820" s="17" t="n">
        <v>0.683067879599179</v>
      </c>
      <c r="O820" s="18" t="n">
        <v>0.00882810039523829</v>
      </c>
    </row>
    <row r="821" ht="15" customHeight="1" s="12">
      <c r="A821" s="14" t="inlineStr">
        <is>
          <t>Kohlu</t>
        </is>
      </c>
      <c r="B821" s="14" t="inlineStr">
        <is>
          <t>Balochistan</t>
        </is>
      </c>
      <c r="C821" s="14" t="n">
        <v>2020</v>
      </c>
      <c r="D821" s="15" t="n">
        <v>190.937461982557</v>
      </c>
      <c r="E821" s="15" t="n">
        <v>13720.5413857583</v>
      </c>
      <c r="F821" s="15" t="n">
        <v>260.74873373882</v>
      </c>
      <c r="G821" s="15" t="n">
        <v>107.771412786987</v>
      </c>
      <c r="H821" s="15" t="n">
        <v>35.9470138713437</v>
      </c>
      <c r="I821" s="16" t="n">
        <v>18.82659039148</v>
      </c>
      <c r="J821" s="15" t="n">
        <v>26.9775158262388</v>
      </c>
      <c r="K821" s="15" t="n">
        <v>7737.42763468812</v>
      </c>
      <c r="L821" s="15" t="n">
        <v>204.569842305366</v>
      </c>
      <c r="M821" s="15" t="n">
        <v>-13.632380322809</v>
      </c>
      <c r="N821" s="17" t="n">
        <v>1.29545151911861</v>
      </c>
      <c r="O821" s="18" t="n">
        <v>0.0167426641033887</v>
      </c>
    </row>
    <row r="822" ht="15" customHeight="1" s="12">
      <c r="A822" s="14" t="inlineStr">
        <is>
          <t>Kohlu</t>
        </is>
      </c>
      <c r="B822" s="14" t="inlineStr">
        <is>
          <t>Balochistan</t>
        </is>
      </c>
      <c r="C822" s="14" t="n">
        <v>2021</v>
      </c>
      <c r="D822" s="15" t="n">
        <v>167.670578386019</v>
      </c>
      <c r="E822" s="15" t="n">
        <v>12048.6105033153</v>
      </c>
      <c r="F822" s="15" t="n">
        <v>221.223487138748</v>
      </c>
      <c r="G822" s="15" t="n">
        <v>103.967255353928</v>
      </c>
      <c r="H822" s="15" t="n">
        <v>28.799672761536</v>
      </c>
      <c r="I822" s="16" t="n">
        <v>17.1763424679267</v>
      </c>
      <c r="J822" s="15" t="n">
        <v>22.6851124208688</v>
      </c>
      <c r="K822" s="15" t="n">
        <v>7737.42763468812</v>
      </c>
      <c r="L822" s="15" t="n">
        <v>204.569842305366</v>
      </c>
      <c r="M822" s="15" t="n">
        <v>-36.8992639193467</v>
      </c>
      <c r="N822" s="17" t="n">
        <v>1.3419616293907</v>
      </c>
      <c r="O822" s="18" t="n">
        <v>0.0173437696964619</v>
      </c>
    </row>
    <row r="823" ht="15" customHeight="1" s="12">
      <c r="A823" s="14" t="inlineStr">
        <is>
          <t>Kohlu</t>
        </is>
      </c>
      <c r="B823" s="14" t="inlineStr">
        <is>
          <t>Balochistan</t>
        </is>
      </c>
      <c r="C823" s="14" t="n">
        <v>2022</v>
      </c>
      <c r="D823" s="15" t="n">
        <v>426.121104525691</v>
      </c>
      <c r="E823" s="15" t="n">
        <v>30620.5612522696</v>
      </c>
      <c r="F823" s="15" t="n">
        <v>553.269997468797</v>
      </c>
      <c r="G823" s="15" t="n">
        <v>281.968122398779</v>
      </c>
      <c r="H823" s="15" t="n">
        <v>65.85185125422571</v>
      </c>
      <c r="I823" s="16" t="n">
        <v>15.4537877976085</v>
      </c>
      <c r="J823" s="15" t="n">
        <v>39.4241977734119</v>
      </c>
      <c r="K823" s="15" t="n">
        <v>7737.42763468812</v>
      </c>
      <c r="L823" s="15" t="n">
        <v>204.569842305366</v>
      </c>
      <c r="M823" s="15" t="n">
        <v>221.551262220325</v>
      </c>
      <c r="N823" s="17" t="n">
        <v>1.78473042800509</v>
      </c>
      <c r="O823" s="18" t="n">
        <v>0.0230661986420895</v>
      </c>
    </row>
    <row r="824" ht="15" customHeight="1" s="12">
      <c r="A824" s="14" t="inlineStr">
        <is>
          <t>Kohlu</t>
        </is>
      </c>
      <c r="B824" s="14" t="inlineStr">
        <is>
          <t>Balochistan</t>
        </is>
      </c>
      <c r="C824" s="14" t="n">
        <v>2023</v>
      </c>
      <c r="D824" s="15" t="n">
        <v>182.447689085545</v>
      </c>
      <c r="E824" s="15" t="n">
        <v>13110.4762933472</v>
      </c>
      <c r="F824" s="15" t="n">
        <v>314.80591738224</v>
      </c>
      <c r="G824" s="15" t="n">
        <v>92.46735823154449</v>
      </c>
      <c r="H824" s="15" t="n">
        <v>54.8925583950467</v>
      </c>
      <c r="I824" s="16" t="n">
        <v>30.0867381056874</v>
      </c>
      <c r="J824" s="15" t="n">
        <v>21.1516590264134</v>
      </c>
      <c r="K824" s="15" t="n">
        <v>7737.42763468812</v>
      </c>
      <c r="L824" s="15" t="n">
        <v>204.569842305366</v>
      </c>
      <c r="M824" s="15" t="n">
        <v>-22.1221532198206</v>
      </c>
      <c r="N824" s="17" t="n">
        <v>0.555586044698558</v>
      </c>
      <c r="O824" s="18" t="n">
        <v>0.00718050069001974</v>
      </c>
    </row>
    <row r="825" ht="15" customHeight="1" s="12">
      <c r="A825" s="14" t="inlineStr">
        <is>
          <t>Kohlu</t>
        </is>
      </c>
      <c r="B825" s="14" t="inlineStr">
        <is>
          <t>Balochistan</t>
        </is>
      </c>
      <c r="C825" s="14" t="n">
        <v>2024</v>
      </c>
      <c r="D825" s="15" t="n">
        <v>292.303668335321</v>
      </c>
      <c r="E825" s="15" t="n">
        <v>21004.5977199075</v>
      </c>
      <c r="F825" s="15" t="n">
        <v>365.679509311238</v>
      </c>
      <c r="G825" s="15" t="n">
        <v>197.03620382215</v>
      </c>
      <c r="H825" s="15" t="n">
        <v>39.8269490610951</v>
      </c>
      <c r="I825" s="16" t="n">
        <v>13.6251964567913</v>
      </c>
      <c r="J825" s="15" t="n">
        <v>37.523793931456</v>
      </c>
      <c r="K825" s="15" t="n">
        <v>7737.42763468812</v>
      </c>
      <c r="L825" s="15" t="n">
        <v>204.569842305366</v>
      </c>
      <c r="M825" s="15" t="n">
        <v>87.7338260299554</v>
      </c>
      <c r="N825" s="17" t="n">
        <v>1.1026970746539</v>
      </c>
      <c r="O825" s="18" t="n">
        <v>0.0142514686626642</v>
      </c>
    </row>
    <row r="826" ht="15" customHeight="1" s="12">
      <c r="A826" s="14" t="inlineStr">
        <is>
          <t>Kohlu</t>
        </is>
      </c>
      <c r="B826" s="14" t="inlineStr">
        <is>
          <t>Balochistan</t>
        </is>
      </c>
      <c r="C826" s="14" t="n">
        <v>2025</v>
      </c>
      <c r="D826" s="15" t="n">
        <v>187.380769849435</v>
      </c>
      <c r="E826" s="15" t="n">
        <v>13464.9616734159</v>
      </c>
      <c r="F826" s="15" t="n">
        <v>280.918092276959</v>
      </c>
      <c r="G826" s="15" t="n">
        <v>120.402922190493</v>
      </c>
      <c r="H826" s="15" t="n">
        <v>35.8318478795206</v>
      </c>
      <c r="I826" s="16" t="n">
        <v>19.1224787411816</v>
      </c>
      <c r="J826" s="15" t="n">
        <v>24.7304627810522</v>
      </c>
      <c r="K826" s="15" t="n">
        <v>7737.42763468812</v>
      </c>
      <c r="L826" s="15" t="n">
        <v>204.569842305366</v>
      </c>
      <c r="M826" s="15" t="n">
        <v>-17.1890724559307</v>
      </c>
      <c r="N826" s="17" t="n">
        <v>0.955507201990225</v>
      </c>
      <c r="O826" s="18" t="n">
        <v>0.0123491584943106</v>
      </c>
    </row>
    <row r="827" ht="15" customHeight="1" s="12">
      <c r="A827" s="14" t="inlineStr">
        <is>
          <t>Kolai Palas Kohistan</t>
        </is>
      </c>
      <c r="B827" s="14" t="inlineStr">
        <is>
          <t>Khyber Pakhtunkhwa</t>
        </is>
      </c>
      <c r="C827" s="14" t="n">
        <v>2015</v>
      </c>
      <c r="D827" s="15" t="n">
        <v>501.144534401958</v>
      </c>
      <c r="E827" s="15" t="n">
        <v>6098.24113823246</v>
      </c>
      <c r="F827" s="15" t="n">
        <v>737.5718936920171</v>
      </c>
      <c r="G827" s="15" t="n">
        <v>202.017939329147</v>
      </c>
      <c r="H827" s="15" t="n">
        <v>127.816522908785</v>
      </c>
      <c r="I827" s="16" t="n">
        <v>25.5049220603225</v>
      </c>
      <c r="J827" s="15" t="n">
        <v>19.9017080244924</v>
      </c>
      <c r="K827" s="15" t="n">
        <v>1229.79506042119</v>
      </c>
      <c r="L827" s="15" t="n">
        <v>472.428313391309</v>
      </c>
      <c r="M827" s="15" t="n">
        <v>28.7162210106496</v>
      </c>
      <c r="N827" s="17" t="n">
        <v>0.637925260427916</v>
      </c>
      <c r="O827" s="18" t="n">
        <v>0.051872485177281</v>
      </c>
    </row>
    <row r="828" ht="15" customHeight="1" s="12">
      <c r="A828" s="14" t="inlineStr">
        <is>
          <t>Kolai Palas Kohistan</t>
        </is>
      </c>
      <c r="B828" s="14" t="inlineStr">
        <is>
          <t>Khyber Pakhtunkhwa</t>
        </is>
      </c>
      <c r="C828" s="14" t="n">
        <v>2016</v>
      </c>
      <c r="D828" s="15" t="n">
        <v>504.336795812724</v>
      </c>
      <c r="E828" s="15" t="n">
        <v>6137.08657806621</v>
      </c>
      <c r="F828" s="15" t="n">
        <v>809.555607795715</v>
      </c>
      <c r="G828" s="15" t="n">
        <v>210.891345739365</v>
      </c>
      <c r="H828" s="15" t="n">
        <v>140.75855314044</v>
      </c>
      <c r="I828" s="16" t="n">
        <v>27.909633861557</v>
      </c>
      <c r="J828" s="15" t="n">
        <v>14.7898807605543</v>
      </c>
      <c r="K828" s="15" t="n">
        <v>1229.79506042119</v>
      </c>
      <c r="L828" s="15" t="n">
        <v>472.428313391309</v>
      </c>
      <c r="M828" s="15" t="n">
        <v>31.9084824214156</v>
      </c>
      <c r="N828" s="17" t="n">
        <v>1.75519378638964</v>
      </c>
      <c r="O828" s="18" t="n">
        <v>0.142722461886333</v>
      </c>
    </row>
    <row r="829" ht="15" customHeight="1" s="12">
      <c r="A829" s="14" t="inlineStr">
        <is>
          <t>Kolai Palas Kohistan</t>
        </is>
      </c>
      <c r="B829" s="14" t="inlineStr">
        <is>
          <t>Khyber Pakhtunkhwa</t>
        </is>
      </c>
      <c r="C829" s="14" t="n">
        <v>2017</v>
      </c>
      <c r="D829" s="15" t="n">
        <v>437.000951712761</v>
      </c>
      <c r="E829" s="15" t="n">
        <v>5317.70177711646</v>
      </c>
      <c r="F829" s="15" t="n">
        <v>633.174737930298</v>
      </c>
      <c r="G829" s="15" t="n">
        <v>173.841500759125</v>
      </c>
      <c r="H829" s="15" t="n">
        <v>116.266373628413</v>
      </c>
      <c r="I829" s="16" t="n">
        <v>26.6055195469767</v>
      </c>
      <c r="J829" s="15" t="n">
        <v>21.2929423138898</v>
      </c>
      <c r="K829" s="15" t="n">
        <v>1229.79506042119</v>
      </c>
      <c r="L829" s="15" t="n">
        <v>472.428313391309</v>
      </c>
      <c r="M829" s="15" t="n">
        <v>-35.4273616785479</v>
      </c>
      <c r="N829" s="17" t="n">
        <v>0.184490484256759</v>
      </c>
      <c r="O829" s="18" t="n">
        <v>0.0150017259130618</v>
      </c>
    </row>
    <row r="830" ht="15" customHeight="1" s="12">
      <c r="A830" s="14" t="inlineStr">
        <is>
          <t>Kolai Palas Kohistan</t>
        </is>
      </c>
      <c r="B830" s="14" t="inlineStr">
        <is>
          <t>Khyber Pakhtunkhwa</t>
        </is>
      </c>
      <c r="C830" s="14" t="n">
        <v>2018</v>
      </c>
      <c r="D830" s="15" t="n">
        <v>451.431025234665</v>
      </c>
      <c r="E830" s="15" t="n">
        <v>5493.29596589477</v>
      </c>
      <c r="F830" s="15" t="n">
        <v>647.940406024456</v>
      </c>
      <c r="G830" s="15" t="n">
        <v>170.640670776367</v>
      </c>
      <c r="H830" s="15" t="n">
        <v>122.961097015222</v>
      </c>
      <c r="I830" s="16" t="n">
        <v>27.23806963673</v>
      </c>
      <c r="J830" s="15" t="n">
        <v>35.6377699000967</v>
      </c>
      <c r="K830" s="15" t="n">
        <v>1229.79506042119</v>
      </c>
      <c r="L830" s="15" t="n">
        <v>472.428313391309</v>
      </c>
      <c r="M830" s="15" t="n">
        <v>-20.9972881566437</v>
      </c>
      <c r="N830" s="17" t="n">
        <v>0.418286539174278</v>
      </c>
      <c r="O830" s="18" t="n">
        <v>0.0340127028182257</v>
      </c>
    </row>
    <row r="831" ht="15" customHeight="1" s="12">
      <c r="A831" s="14" t="inlineStr">
        <is>
          <t>Kolai Palas Kohistan</t>
        </is>
      </c>
      <c r="B831" s="14" t="inlineStr">
        <is>
          <t>Khyber Pakhtunkhwa</t>
        </is>
      </c>
      <c r="C831" s="14" t="n">
        <v>2019</v>
      </c>
      <c r="D831" s="15" t="n">
        <v>431.177460972033</v>
      </c>
      <c r="E831" s="15" t="n">
        <v>5246.8378878283</v>
      </c>
      <c r="F831" s="15" t="n">
        <v>634.44677978754</v>
      </c>
      <c r="G831" s="15" t="n">
        <v>172.080365233123</v>
      </c>
      <c r="H831" s="15" t="n">
        <v>127.870967295404</v>
      </c>
      <c r="I831" s="16" t="n">
        <v>29.6562271615812</v>
      </c>
      <c r="J831" s="15" t="n">
        <v>24.3493393490171</v>
      </c>
      <c r="K831" s="15" t="n">
        <v>1229.79506042119</v>
      </c>
      <c r="L831" s="15" t="n">
        <v>472.428313391309</v>
      </c>
      <c r="M831" s="15" t="n">
        <v>-41.2508524192762</v>
      </c>
      <c r="N831" s="17" t="n">
        <v>0.395501338867427</v>
      </c>
      <c r="O831" s="18" t="n">
        <v>0.0321599388057367</v>
      </c>
    </row>
    <row r="832" ht="15" customHeight="1" s="12">
      <c r="A832" s="14" t="inlineStr">
        <is>
          <t>Kolai Palas Kohistan</t>
        </is>
      </c>
      <c r="B832" s="14" t="inlineStr">
        <is>
          <t>Khyber Pakhtunkhwa</t>
        </is>
      </c>
      <c r="C832" s="14" t="n">
        <v>2020</v>
      </c>
      <c r="D832" s="15" t="n">
        <v>533.716836839138</v>
      </c>
      <c r="E832" s="15" t="n">
        <v>6494.60135181116</v>
      </c>
      <c r="F832" s="15" t="n">
        <v>788.9788703322409</v>
      </c>
      <c r="G832" s="15" t="n">
        <v>218.183597285766</v>
      </c>
      <c r="H832" s="15" t="n">
        <v>143.159344665519</v>
      </c>
      <c r="I832" s="16" t="n">
        <v>26.8230894706938</v>
      </c>
      <c r="J832" s="15" t="n">
        <v>29.5581695133742</v>
      </c>
      <c r="K832" s="15" t="n">
        <v>1229.79506042119</v>
      </c>
      <c r="L832" s="15" t="n">
        <v>472.428313391309</v>
      </c>
      <c r="M832" s="15" t="n">
        <v>61.2885234478292</v>
      </c>
      <c r="N832" s="17" t="n">
        <v>1.17234804271408</v>
      </c>
      <c r="O832" s="18" t="n">
        <v>0.0953287324403925</v>
      </c>
    </row>
    <row r="833" ht="15" customHeight="1" s="12">
      <c r="A833" s="14" t="inlineStr">
        <is>
          <t>Kolai Palas Kohistan</t>
        </is>
      </c>
      <c r="B833" s="14" t="inlineStr">
        <is>
          <t>Khyber Pakhtunkhwa</t>
        </is>
      </c>
      <c r="C833" s="14" t="n">
        <v>2021</v>
      </c>
      <c r="D833" s="15" t="n">
        <v>526.8135858418869</v>
      </c>
      <c r="E833" s="15" t="n">
        <v>6410.598262225</v>
      </c>
      <c r="F833" s="15" t="n">
        <v>753.549374222755</v>
      </c>
      <c r="G833" s="15" t="n">
        <v>196.216821551323</v>
      </c>
      <c r="H833" s="15" t="n">
        <v>138.647839618436</v>
      </c>
      <c r="I833" s="16" t="n">
        <v>26.3181974316146</v>
      </c>
      <c r="J833" s="15" t="n">
        <v>33.4431195617145</v>
      </c>
      <c r="K833" s="15" t="n">
        <v>1229.79506042119</v>
      </c>
      <c r="L833" s="15" t="n">
        <v>472.428313391309</v>
      </c>
      <c r="M833" s="15" t="n">
        <v>54.3852724505786</v>
      </c>
      <c r="N833" s="17" t="n">
        <v>0.402181435214891</v>
      </c>
      <c r="O833" s="18" t="n">
        <v>0.03270312657437</v>
      </c>
    </row>
    <row r="834" ht="15" customHeight="1" s="12">
      <c r="A834" s="14" t="inlineStr">
        <is>
          <t>Kolai Palas Kohistan</t>
        </is>
      </c>
      <c r="B834" s="14" t="inlineStr">
        <is>
          <t>Khyber Pakhtunkhwa</t>
        </is>
      </c>
      <c r="C834" s="14" t="n">
        <v>2022</v>
      </c>
      <c r="D834" s="15" t="n">
        <v>441.483159856588</v>
      </c>
      <c r="E834" s="15" t="n">
        <v>5372.24409817644</v>
      </c>
      <c r="F834" s="15" t="n">
        <v>639.953757762909</v>
      </c>
      <c r="G834" s="15" t="n">
        <v>198.932425379753</v>
      </c>
      <c r="H834" s="15" t="n">
        <v>115.571208655355</v>
      </c>
      <c r="I834" s="16" t="n">
        <v>26.1779427085956</v>
      </c>
      <c r="J834" s="15" t="n">
        <v>24.3335481791815</v>
      </c>
      <c r="K834" s="15" t="n">
        <v>1229.79506042119</v>
      </c>
      <c r="L834" s="15" t="n">
        <v>472.428313391309</v>
      </c>
      <c r="M834" s="15" t="n">
        <v>-30.9451535347205</v>
      </c>
      <c r="N834" s="17" t="n">
        <v>0.969201405095839</v>
      </c>
      <c r="O834" s="18" t="n">
        <v>0.07880999333042529</v>
      </c>
    </row>
    <row r="835" ht="15" customHeight="1" s="12">
      <c r="A835" s="14" t="inlineStr">
        <is>
          <t>Kolai Palas Kohistan</t>
        </is>
      </c>
      <c r="B835" s="14" t="inlineStr">
        <is>
          <t>Khyber Pakhtunkhwa</t>
        </is>
      </c>
      <c r="C835" s="14" t="n">
        <v>2023</v>
      </c>
      <c r="D835" s="15" t="n">
        <v>466.163572922008</v>
      </c>
      <c r="E835" s="15" t="n">
        <v>5672.57085010585</v>
      </c>
      <c r="F835" s="15" t="n">
        <v>719.08442825079</v>
      </c>
      <c r="G835" s="15" t="n">
        <v>159.190106272697</v>
      </c>
      <c r="H835" s="15" t="n">
        <v>153.116170788412</v>
      </c>
      <c r="I835" s="16" t="n">
        <v>32.846017939293</v>
      </c>
      <c r="J835" s="15" t="n">
        <v>20.7089912987432</v>
      </c>
      <c r="K835" s="15" t="n">
        <v>1229.79506042119</v>
      </c>
      <c r="L835" s="15" t="n">
        <v>472.428313391309</v>
      </c>
      <c r="M835" s="15" t="n">
        <v>-6.26474046930053</v>
      </c>
      <c r="N835" s="17" t="n">
        <v>0.370058337467927</v>
      </c>
      <c r="O835" s="18" t="n">
        <v>0.0300910573946513</v>
      </c>
    </row>
    <row r="836" ht="15" customHeight="1" s="12">
      <c r="A836" s="14" t="inlineStr">
        <is>
          <t>Kolai Palas Kohistan</t>
        </is>
      </c>
      <c r="B836" s="14" t="inlineStr">
        <is>
          <t>Khyber Pakhtunkhwa</t>
        </is>
      </c>
      <c r="C836" s="14" t="n">
        <v>2024</v>
      </c>
      <c r="D836" s="15" t="n">
        <v>441.516350608796</v>
      </c>
      <c r="E836" s="15" t="n">
        <v>5372.64798407487</v>
      </c>
      <c r="F836" s="15" t="n">
        <v>674.917771264212</v>
      </c>
      <c r="G836" s="15" t="n">
        <v>169.213241941296</v>
      </c>
      <c r="H836" s="15" t="n">
        <v>137.17456937253</v>
      </c>
      <c r="I836" s="16" t="n">
        <v>31.0689670231653</v>
      </c>
      <c r="J836" s="15" t="n">
        <v>23.603287141476</v>
      </c>
      <c r="K836" s="15" t="n">
        <v>1229.79506042119</v>
      </c>
      <c r="L836" s="15" t="n">
        <v>472.428313391309</v>
      </c>
      <c r="M836" s="15" t="n">
        <v>-30.9119627825129</v>
      </c>
      <c r="N836" s="17" t="n">
        <v>0.9629699453560639</v>
      </c>
      <c r="O836" s="18" t="n">
        <v>0.0783032861610502</v>
      </c>
    </row>
    <row r="837" ht="15" customHeight="1" s="12">
      <c r="A837" s="14" t="inlineStr">
        <is>
          <t>Kolai Palas Kohistan</t>
        </is>
      </c>
      <c r="B837" s="14" t="inlineStr">
        <is>
          <t>Khyber Pakhtunkhwa</t>
        </is>
      </c>
      <c r="C837" s="14" t="n">
        <v>2025</v>
      </c>
      <c r="D837" s="15" t="n">
        <v>461.927173101838</v>
      </c>
      <c r="E837" s="15" t="n">
        <v>5621.0196789608</v>
      </c>
      <c r="F837" s="15" t="n">
        <v>676.89992326498</v>
      </c>
      <c r="G837" s="15" t="n">
        <v>161.136930137873</v>
      </c>
      <c r="H837" s="15" t="n">
        <v>133.733124861358</v>
      </c>
      <c r="I837" s="16" t="n">
        <v>28.9511275042214</v>
      </c>
      <c r="J837" s="15" t="n">
        <v>31.8340315823397</v>
      </c>
      <c r="K837" s="15" t="n">
        <v>1229.79506042119</v>
      </c>
      <c r="L837" s="15" t="n">
        <v>472.428313391309</v>
      </c>
      <c r="M837" s="15" t="n">
        <v>-10.5011402894705</v>
      </c>
      <c r="N837" s="17" t="n">
        <v>0.245626021176806</v>
      </c>
      <c r="O837" s="18" t="n">
        <v>0.0199729230570077</v>
      </c>
    </row>
    <row r="838" ht="15" customHeight="1" s="12">
      <c r="A838" s="14" t="inlineStr">
        <is>
          <t>Korangi Karachi</t>
        </is>
      </c>
      <c r="B838" s="14" t="inlineStr">
        <is>
          <t>Sindh</t>
        </is>
      </c>
      <c r="C838" s="14" t="n">
        <v>2015</v>
      </c>
      <c r="D838" s="15" t="n">
        <v>132.222405421734</v>
      </c>
      <c r="E838" s="15" t="n">
        <v>124.444616867514</v>
      </c>
      <c r="F838" s="15" t="n">
        <v>134.139736413956</v>
      </c>
      <c r="G838" s="15" t="n">
        <v>125.811366975308</v>
      </c>
      <c r="H838" s="15" t="n">
        <v>3.07824700690377</v>
      </c>
      <c r="I838" s="16" t="n">
        <v>2.32808274595024</v>
      </c>
      <c r="J838" s="15" t="n">
        <v>9.4</v>
      </c>
      <c r="K838" s="15" t="n">
        <v>104.511700207578</v>
      </c>
      <c r="L838" s="15" t="n">
        <v>241.355700025776</v>
      </c>
      <c r="M838" s="15" t="n">
        <v>-109.133294604042</v>
      </c>
      <c r="N838" s="17" t="n">
        <v>0.154931476668773</v>
      </c>
      <c r="O838" s="18" t="n">
        <v>0.148243188428714</v>
      </c>
    </row>
    <row r="839" ht="15" customHeight="1" s="12">
      <c r="A839" s="14" t="inlineStr">
        <is>
          <t>Korangi Karachi</t>
        </is>
      </c>
      <c r="B839" s="14" t="inlineStr">
        <is>
          <t>Sindh</t>
        </is>
      </c>
      <c r="C839" s="14" t="n">
        <v>2016</v>
      </c>
      <c r="D839" s="15" t="n">
        <v>160.837144379069</v>
      </c>
      <c r="E839" s="15" t="n">
        <v>151.376135886183</v>
      </c>
      <c r="F839" s="15" t="n">
        <v>162.94664812088</v>
      </c>
      <c r="G839" s="15" t="n">
        <v>148.204771220684</v>
      </c>
      <c r="H839" s="15" t="n">
        <v>5.00150007013918</v>
      </c>
      <c r="I839" s="16" t="n">
        <v>3.10966729075429</v>
      </c>
      <c r="J839" s="15" t="n">
        <v>14.2625</v>
      </c>
      <c r="K839" s="15" t="n">
        <v>104.511700207578</v>
      </c>
      <c r="L839" s="15" t="n">
        <v>241.355700025776</v>
      </c>
      <c r="M839" s="15" t="n">
        <v>-80.5185556467068</v>
      </c>
      <c r="N839" s="17" t="n">
        <v>0.189815125047392</v>
      </c>
      <c r="O839" s="18" t="n">
        <v>0.181620933034662</v>
      </c>
    </row>
    <row r="840" ht="15" customHeight="1" s="12">
      <c r="A840" s="14" t="inlineStr">
        <is>
          <t>Korangi Karachi</t>
        </is>
      </c>
      <c r="B840" s="14" t="inlineStr">
        <is>
          <t>Sindh</t>
        </is>
      </c>
      <c r="C840" s="14" t="n">
        <v>2017</v>
      </c>
      <c r="D840" s="15" t="n">
        <v>241.57801263382</v>
      </c>
      <c r="E840" s="15" t="n">
        <v>227.367541302419</v>
      </c>
      <c r="F840" s="15" t="n">
        <v>243.790352940559</v>
      </c>
      <c r="G840" s="15" t="n">
        <v>227.515570878983</v>
      </c>
      <c r="H840" s="15" t="n">
        <v>5.92328386253776</v>
      </c>
      <c r="I840" s="16" t="n">
        <v>2.45191348250562</v>
      </c>
      <c r="J840" s="15" t="n">
        <v>23.7666666666667</v>
      </c>
      <c r="K840" s="15" t="n">
        <v>104.511700207578</v>
      </c>
      <c r="L840" s="15" t="n">
        <v>241.355700025776</v>
      </c>
      <c r="M840" s="15" t="n">
        <v>0.222312608044177</v>
      </c>
      <c r="N840" s="17" t="n">
        <v>0.218882110608867</v>
      </c>
      <c r="O840" s="18" t="n">
        <v>0.20943311626749</v>
      </c>
    </row>
    <row r="841" ht="15" customHeight="1" s="12">
      <c r="A841" s="14" t="inlineStr">
        <is>
          <t>Korangi Karachi</t>
        </is>
      </c>
      <c r="B841" s="14" t="inlineStr">
        <is>
          <t>Sindh</t>
        </is>
      </c>
      <c r="C841" s="14" t="n">
        <v>2018</v>
      </c>
      <c r="D841" s="15" t="n">
        <v>42.9158716820433</v>
      </c>
      <c r="E841" s="15" t="n">
        <v>40.3914086419231</v>
      </c>
      <c r="F841" s="15" t="n">
        <v>43.7483608331531</v>
      </c>
      <c r="G841" s="15" t="n">
        <v>38.1593769555911</v>
      </c>
      <c r="H841" s="15" t="n">
        <v>1.93398318641769</v>
      </c>
      <c r="I841" s="16" t="n">
        <v>4.50645206683965</v>
      </c>
      <c r="J841" s="15" t="n">
        <v>8.1</v>
      </c>
      <c r="K841" s="15" t="n">
        <v>104.511700207578</v>
      </c>
      <c r="L841" s="15" t="n">
        <v>241.355700025776</v>
      </c>
      <c r="M841" s="15" t="n">
        <v>-198.439828343733</v>
      </c>
      <c r="N841" s="17" t="n">
        <v>0.0536809427490234</v>
      </c>
      <c r="O841" s="18" t="n">
        <v>0.0513635723487455</v>
      </c>
    </row>
    <row r="842" ht="15" customHeight="1" s="12">
      <c r="A842" s="14" t="inlineStr">
        <is>
          <t>Korangi Karachi</t>
        </is>
      </c>
      <c r="B842" s="14" t="inlineStr">
        <is>
          <t>Sindh</t>
        </is>
      </c>
      <c r="C842" s="14" t="n">
        <v>2019</v>
      </c>
      <c r="D842" s="15" t="n">
        <v>357.564070911299</v>
      </c>
      <c r="E842" s="15" t="n">
        <v>336.530890269458</v>
      </c>
      <c r="F842" s="15" t="n">
        <v>360.605284746795</v>
      </c>
      <c r="G842" s="15" t="n">
        <v>338.747099672444</v>
      </c>
      <c r="H842" s="15" t="n">
        <v>7.72471362438911</v>
      </c>
      <c r="I842" s="16" t="n">
        <v>2.16037187536814</v>
      </c>
      <c r="J842" s="15" t="n">
        <v>23.2875</v>
      </c>
      <c r="K842" s="15" t="n">
        <v>104.511700207578</v>
      </c>
      <c r="L842" s="15" t="n">
        <v>241.355700025776</v>
      </c>
      <c r="M842" s="15" t="n">
        <v>116.208370885523</v>
      </c>
      <c r="N842" s="17" t="n">
        <v>0.252258473276654</v>
      </c>
      <c r="O842" s="18" t="n">
        <v>0.241368643678771</v>
      </c>
    </row>
    <row r="843" ht="15" customHeight="1" s="12">
      <c r="A843" s="14" t="inlineStr">
        <is>
          <t>Korangi Karachi</t>
        </is>
      </c>
      <c r="B843" s="14" t="inlineStr">
        <is>
          <t>Sindh</t>
        </is>
      </c>
      <c r="C843" s="14" t="n">
        <v>2020</v>
      </c>
      <c r="D843" s="15" t="n">
        <v>415.426285732117</v>
      </c>
      <c r="E843" s="15" t="n">
        <v>390.989445394934</v>
      </c>
      <c r="F843" s="15" t="n">
        <v>420.374977114691</v>
      </c>
      <c r="G843" s="15" t="n">
        <v>382.281982053643</v>
      </c>
      <c r="H843" s="15" t="n">
        <v>13.5902965190659</v>
      </c>
      <c r="I843" s="16" t="n">
        <v>3.27140987121587</v>
      </c>
      <c r="J843" s="15" t="n">
        <v>29.3</v>
      </c>
      <c r="K843" s="15" t="n">
        <v>104.511700207578</v>
      </c>
      <c r="L843" s="15" t="n">
        <v>241.355700025776</v>
      </c>
      <c r="M843" s="15" t="n">
        <v>174.070585706341</v>
      </c>
      <c r="N843" s="17" t="n">
        <v>0.278722731739717</v>
      </c>
      <c r="O843" s="18" t="n">
        <v>0.266690457801496</v>
      </c>
    </row>
    <row r="844" ht="15" customHeight="1" s="12">
      <c r="A844" s="14" t="inlineStr">
        <is>
          <t>Korangi Karachi</t>
        </is>
      </c>
      <c r="B844" s="14" t="inlineStr">
        <is>
          <t>Sindh</t>
        </is>
      </c>
      <c r="C844" s="14" t="n">
        <v>2021</v>
      </c>
      <c r="D844" s="15" t="n">
        <v>148.688123678106</v>
      </c>
      <c r="E844" s="15" t="n">
        <v>139.941763461746</v>
      </c>
      <c r="F844" s="15" t="n">
        <v>156.46763920784</v>
      </c>
      <c r="G844" s="15" t="n">
        <v>142.255717217922</v>
      </c>
      <c r="H844" s="15" t="n">
        <v>5.05285150766696</v>
      </c>
      <c r="I844" s="16" t="n">
        <v>3.39828856715272</v>
      </c>
      <c r="J844" s="15" t="n">
        <v>20.2833333333333</v>
      </c>
      <c r="K844" s="15" t="n">
        <v>104.511700207578</v>
      </c>
      <c r="L844" s="15" t="n">
        <v>241.355700025776</v>
      </c>
      <c r="M844" s="15" t="n">
        <v>-92.6675763476707</v>
      </c>
      <c r="N844" s="17" t="n">
        <v>0.0602662545448452</v>
      </c>
      <c r="O844" s="18" t="n">
        <v>0.0576646006381545</v>
      </c>
    </row>
    <row r="845" ht="15" customHeight="1" s="12">
      <c r="A845" s="14" t="inlineStr">
        <is>
          <t>Korangi Karachi</t>
        </is>
      </c>
      <c r="B845" s="14" t="inlineStr">
        <is>
          <t>Sindh</t>
        </is>
      </c>
      <c r="C845" s="14" t="n">
        <v>2022</v>
      </c>
      <c r="D845" s="15" t="n">
        <v>559.964925570085</v>
      </c>
      <c r="E845" s="15" t="n">
        <v>527.025812301256</v>
      </c>
      <c r="F845" s="15" t="n">
        <v>565.432972433239</v>
      </c>
      <c r="G845" s="15" t="n">
        <v>526.935204304755</v>
      </c>
      <c r="H845" s="15" t="n">
        <v>12.764422531599</v>
      </c>
      <c r="I845" s="16" t="n">
        <v>2.27950393832326</v>
      </c>
      <c r="J845" s="15" t="n">
        <v>33.3333333333333</v>
      </c>
      <c r="K845" s="15" t="n">
        <v>104.511700207578</v>
      </c>
      <c r="L845" s="15" t="n">
        <v>241.355700025776</v>
      </c>
      <c r="M845" s="15" t="n">
        <v>318.609225544309</v>
      </c>
      <c r="N845" s="17" t="n">
        <v>0.230690057848403</v>
      </c>
      <c r="O845" s="18" t="n">
        <v>0.220731322321054</v>
      </c>
    </row>
    <row r="846" ht="15" customHeight="1" s="12">
      <c r="A846" s="14" t="inlineStr">
        <is>
          <t>Korangi Karachi</t>
        </is>
      </c>
      <c r="B846" s="14" t="inlineStr">
        <is>
          <t>Sindh</t>
        </is>
      </c>
      <c r="C846" s="14" t="n">
        <v>2023</v>
      </c>
      <c r="D846" s="15" t="n">
        <v>137.049047820829</v>
      </c>
      <c r="E846" s="15" t="n">
        <v>128.987339125486</v>
      </c>
      <c r="F846" s="15" t="n">
        <v>141.827812552452</v>
      </c>
      <c r="G846" s="15" t="n">
        <v>125.373757556081</v>
      </c>
      <c r="H846" s="15" t="n">
        <v>5.7801902286964</v>
      </c>
      <c r="I846" s="16" t="n">
        <v>4.21760699589327</v>
      </c>
      <c r="J846" s="15" t="n">
        <v>17.2958333333333</v>
      </c>
      <c r="K846" s="15" t="n">
        <v>104.511700207578</v>
      </c>
      <c r="L846" s="15" t="n">
        <v>241.355700025776</v>
      </c>
      <c r="M846" s="15" t="n">
        <v>-104.306652204947</v>
      </c>
      <c r="N846" s="17" t="n">
        <v>0.205201637263279</v>
      </c>
      <c r="O846" s="18" t="n">
        <v>0.196343219807652</v>
      </c>
    </row>
    <row r="847" ht="15" customHeight="1" s="12">
      <c r="A847" s="14" t="inlineStr">
        <is>
          <t>Korangi Karachi</t>
        </is>
      </c>
      <c r="B847" s="14" t="inlineStr">
        <is>
          <t>Sindh</t>
        </is>
      </c>
      <c r="C847" s="14" t="n">
        <v>2024</v>
      </c>
      <c r="D847" s="15" t="n">
        <v>244.158251344584</v>
      </c>
      <c r="E847" s="15" t="n">
        <v>229.796001265491</v>
      </c>
      <c r="F847" s="15" t="n">
        <v>247.120842015938</v>
      </c>
      <c r="G847" s="15" t="n">
        <v>227.159131612629</v>
      </c>
      <c r="H847" s="15" t="n">
        <v>6.78865713153366</v>
      </c>
      <c r="I847" s="16" t="n">
        <v>2.78043322072811</v>
      </c>
      <c r="J847" s="15" t="n">
        <v>28.5083333333333</v>
      </c>
      <c r="K847" s="15" t="n">
        <v>104.511700207578</v>
      </c>
      <c r="L847" s="15" t="n">
        <v>241.355700025776</v>
      </c>
      <c r="M847" s="15" t="n">
        <v>2.80255131880799</v>
      </c>
      <c r="N847" s="17" t="n">
        <v>0.132330450820025</v>
      </c>
      <c r="O847" s="18" t="n">
        <v>0.126617833751814</v>
      </c>
    </row>
    <row r="848" ht="15" customHeight="1" s="12">
      <c r="A848" s="14" t="inlineStr">
        <is>
          <t>Korangi Karachi</t>
        </is>
      </c>
      <c r="B848" s="14" t="inlineStr">
        <is>
          <t>Sindh</t>
        </is>
      </c>
      <c r="C848" s="14" t="n">
        <v>2025</v>
      </c>
      <c r="D848" s="15" t="n">
        <v>214.508561109852</v>
      </c>
      <c r="E848" s="15" t="n">
        <v>201.890410456331</v>
      </c>
      <c r="F848" s="15" t="n">
        <v>217.382824593035</v>
      </c>
      <c r="G848" s="15" t="n">
        <v>190.606746830408</v>
      </c>
      <c r="H848" s="15" t="n">
        <v>10.7018473675486</v>
      </c>
      <c r="I848" s="16" t="n">
        <v>4.98900711103466</v>
      </c>
      <c r="J848" s="15" t="n">
        <v>17.9416666666667</v>
      </c>
      <c r="K848" s="15" t="n">
        <v>104.511700207578</v>
      </c>
      <c r="L848" s="15" t="n">
        <v>241.355700025776</v>
      </c>
      <c r="M848" s="15" t="n">
        <v>-26.8471389159245</v>
      </c>
      <c r="N848" s="17" t="n">
        <v>0.111185292703068</v>
      </c>
      <c r="O848" s="18" t="n">
        <v>0.106385497970308</v>
      </c>
    </row>
    <row r="849" ht="15" customHeight="1" s="12">
      <c r="A849" s="14" t="inlineStr">
        <is>
          <t>Kotli</t>
        </is>
      </c>
      <c r="B849" s="14" t="inlineStr">
        <is>
          <t>Azad Kashmir</t>
        </is>
      </c>
      <c r="C849" s="14" t="n">
        <v>2015</v>
      </c>
      <c r="D849" s="15" t="n">
        <v>895.920989665059</v>
      </c>
      <c r="E849" s="15" t="n">
        <v>13867.4515537568</v>
      </c>
      <c r="F849" s="15" t="n">
        <v>953.098935604096</v>
      </c>
      <c r="G849" s="15" t="n">
        <v>782.555027961731</v>
      </c>
      <c r="H849" s="15" t="n">
        <v>36.3022972160797</v>
      </c>
      <c r="I849" s="16" t="n">
        <v>4.05195297742175</v>
      </c>
      <c r="J849" s="15" t="n">
        <v>35.9204459082848</v>
      </c>
      <c r="K849" s="15" t="n">
        <v>1599.76872394813</v>
      </c>
      <c r="L849" s="15" t="n">
        <v>900.278008716713</v>
      </c>
      <c r="M849" s="15" t="n">
        <v>-4.35701905165422</v>
      </c>
      <c r="N849" s="17" t="n">
        <v>0.615847429019703</v>
      </c>
      <c r="O849" s="18" t="n">
        <v>0.0384960288197053</v>
      </c>
    </row>
    <row r="850" ht="15" customHeight="1" s="12">
      <c r="A850" s="14" t="inlineStr">
        <is>
          <t>Kotli</t>
        </is>
      </c>
      <c r="B850" s="14" t="inlineStr">
        <is>
          <t>Azad Kashmir</t>
        </is>
      </c>
      <c r="C850" s="14" t="n">
        <v>2016</v>
      </c>
      <c r="D850" s="15" t="n">
        <v>813.829203347179</v>
      </c>
      <c r="E850" s="15" t="n">
        <v>12596.7994729856</v>
      </c>
      <c r="F850" s="15" t="n">
        <v>873.609111309052</v>
      </c>
      <c r="G850" s="15" t="n">
        <v>710.778913140297</v>
      </c>
      <c r="H850" s="15" t="n">
        <v>37.2044874977433</v>
      </c>
      <c r="I850" s="16" t="n">
        <v>4.57153507698247</v>
      </c>
      <c r="J850" s="15" t="n">
        <v>33.0929820116544</v>
      </c>
      <c r="K850" s="15" t="n">
        <v>1599.76872394813</v>
      </c>
      <c r="L850" s="15" t="n">
        <v>900.278008716713</v>
      </c>
      <c r="M850" s="15" t="n">
        <v>-86.4488053695343</v>
      </c>
      <c r="N850" s="17" t="n">
        <v>1.64846761616354</v>
      </c>
      <c r="O850" s="18" t="n">
        <v>0.103044120783611</v>
      </c>
    </row>
    <row r="851" ht="15" customHeight="1" s="12">
      <c r="A851" s="14" t="inlineStr">
        <is>
          <t>Kotli</t>
        </is>
      </c>
      <c r="B851" s="14" t="inlineStr">
        <is>
          <t>Azad Kashmir</t>
        </is>
      </c>
      <c r="C851" s="14" t="n">
        <v>2017</v>
      </c>
      <c r="D851" s="15" t="n">
        <v>715.8584875664531</v>
      </c>
      <c r="E851" s="15" t="n">
        <v>11080.3664722541</v>
      </c>
      <c r="F851" s="15" t="n">
        <v>761.388587474823</v>
      </c>
      <c r="G851" s="15" t="n">
        <v>583.52016222477</v>
      </c>
      <c r="H851" s="15" t="n">
        <v>43.0114955908497</v>
      </c>
      <c r="I851" s="16" t="n">
        <v>6.00837963618569</v>
      </c>
      <c r="J851" s="15" t="n">
        <v>41.6914111983785</v>
      </c>
      <c r="K851" s="15" t="n">
        <v>1599.76872394813</v>
      </c>
      <c r="L851" s="15" t="n">
        <v>900.278008716713</v>
      </c>
      <c r="M851" s="15" t="n">
        <v>-184.41952115026</v>
      </c>
      <c r="N851" s="17" t="n">
        <v>0.306388082733753</v>
      </c>
      <c r="O851" s="18" t="n">
        <v>0.0191520235486044</v>
      </c>
    </row>
    <row r="852" ht="15" customHeight="1" s="12">
      <c r="A852" s="14" t="inlineStr">
        <is>
          <t>Kotli</t>
        </is>
      </c>
      <c r="B852" s="14" t="inlineStr">
        <is>
          <t>Azad Kashmir</t>
        </is>
      </c>
      <c r="C852" s="14" t="n">
        <v>2018</v>
      </c>
      <c r="D852" s="15" t="n">
        <v>762.19197288074</v>
      </c>
      <c r="E852" s="15" t="n">
        <v>11797.5361449423</v>
      </c>
      <c r="F852" s="15" t="n">
        <v>811.60857847333</v>
      </c>
      <c r="G852" s="15" t="n">
        <v>681.92425775528</v>
      </c>
      <c r="H852" s="15" t="n">
        <v>33.7048752058731</v>
      </c>
      <c r="I852" s="16" t="n">
        <v>4.42209789726386</v>
      </c>
      <c r="J852" s="15" t="n">
        <v>36.0790473777553</v>
      </c>
      <c r="K852" s="15" t="n">
        <v>1599.76872394813</v>
      </c>
      <c r="L852" s="15" t="n">
        <v>900.278008716713</v>
      </c>
      <c r="M852" s="15" t="n">
        <v>-138.086035835973</v>
      </c>
      <c r="N852" s="17" t="n">
        <v>0.230975388065114</v>
      </c>
      <c r="O852" s="18" t="n">
        <v>0.0144380487383877</v>
      </c>
    </row>
    <row r="853" ht="15" customHeight="1" s="12">
      <c r="A853" s="14" t="inlineStr">
        <is>
          <t>Kotli</t>
        </is>
      </c>
      <c r="B853" s="14" t="inlineStr">
        <is>
          <t>Azad Kashmir</t>
        </is>
      </c>
      <c r="C853" s="14" t="n">
        <v>2019</v>
      </c>
      <c r="D853" s="15" t="n">
        <v>868.897277684423</v>
      </c>
      <c r="E853" s="15" t="n">
        <v>13449.166882433</v>
      </c>
      <c r="F853" s="15" t="n">
        <v>969.687590361802</v>
      </c>
      <c r="G853" s="15" t="n">
        <v>770.935948272498</v>
      </c>
      <c r="H853" s="15" t="n">
        <v>54.284390662052</v>
      </c>
      <c r="I853" s="16" t="n">
        <v>6.24750382539093</v>
      </c>
      <c r="J853" s="15" t="n">
        <v>33.4953128958703</v>
      </c>
      <c r="K853" s="15" t="n">
        <v>1599.76872394813</v>
      </c>
      <c r="L853" s="15" t="n">
        <v>900.278008716713</v>
      </c>
      <c r="M853" s="15" t="n">
        <v>-31.3807310322903</v>
      </c>
      <c r="N853" s="17" t="n">
        <v>0.283148029838771</v>
      </c>
      <c r="O853" s="18" t="n">
        <v>0.0176993102565463</v>
      </c>
    </row>
    <row r="854" ht="15" customHeight="1" s="12">
      <c r="A854" s="14" t="inlineStr">
        <is>
          <t>Kotli</t>
        </is>
      </c>
      <c r="B854" s="14" t="inlineStr">
        <is>
          <t>Azad Kashmir</t>
        </is>
      </c>
      <c r="C854" s="14" t="n">
        <v>2020</v>
      </c>
      <c r="D854" s="15" t="n">
        <v>829.148576942134</v>
      </c>
      <c r="E854" s="15" t="n">
        <v>12833.9193458455</v>
      </c>
      <c r="F854" s="15" t="n">
        <v>872.435666312988</v>
      </c>
      <c r="G854" s="15" t="n">
        <v>767.864903355803</v>
      </c>
      <c r="H854" s="15" t="n">
        <v>30.9618345661475</v>
      </c>
      <c r="I854" s="16" t="n">
        <v>3.73417206845286</v>
      </c>
      <c r="J854" s="15" t="n">
        <v>39.8725614390677</v>
      </c>
      <c r="K854" s="15" t="n">
        <v>1599.76872394813</v>
      </c>
      <c r="L854" s="15" t="n">
        <v>900.278008716713</v>
      </c>
      <c r="M854" s="15" t="n">
        <v>-71.1294317745792</v>
      </c>
      <c r="N854" s="17" t="n">
        <v>0.231389030105411</v>
      </c>
      <c r="O854" s="18" t="n">
        <v>0.0144639051033801</v>
      </c>
    </row>
    <row r="855" ht="15" customHeight="1" s="12">
      <c r="A855" s="14" t="inlineStr">
        <is>
          <t>Kotli</t>
        </is>
      </c>
      <c r="B855" s="14" t="inlineStr">
        <is>
          <t>Azad Kashmir</t>
        </is>
      </c>
      <c r="C855" s="14" t="n">
        <v>2021</v>
      </c>
      <c r="D855" s="15" t="n">
        <v>1113.17166286482</v>
      </c>
      <c r="E855" s="15" t="n">
        <v>17230.1511895194</v>
      </c>
      <c r="F855" s="15" t="n">
        <v>1193.427942276</v>
      </c>
      <c r="G855" s="15" t="n">
        <v>983.68772816658</v>
      </c>
      <c r="H855" s="15" t="n">
        <v>51.0287831774109</v>
      </c>
      <c r="I855" s="16" t="n">
        <v>4.58408930803044</v>
      </c>
      <c r="J855" s="15" t="n">
        <v>24.3035216620218</v>
      </c>
      <c r="K855" s="15" t="n">
        <v>1599.76872394813</v>
      </c>
      <c r="L855" s="15" t="n">
        <v>900.278008716713</v>
      </c>
      <c r="M855" s="15" t="n">
        <v>212.893654148106</v>
      </c>
      <c r="N855" s="17" t="n">
        <v>0.216451588322898</v>
      </c>
      <c r="O855" s="18" t="n">
        <v>0.0135301800243168</v>
      </c>
    </row>
    <row r="856" ht="15" customHeight="1" s="12">
      <c r="A856" s="14" t="inlineStr">
        <is>
          <t>Kotli</t>
        </is>
      </c>
      <c r="B856" s="14" t="inlineStr">
        <is>
          <t>Azad Kashmir</t>
        </is>
      </c>
      <c r="C856" s="14" t="n">
        <v>2022</v>
      </c>
      <c r="D856" s="15" t="n">
        <v>886.9646257195579</v>
      </c>
      <c r="E856" s="15" t="n">
        <v>13728.8210890788</v>
      </c>
      <c r="F856" s="15" t="n">
        <v>933.359451279044</v>
      </c>
      <c r="G856" s="15" t="n">
        <v>761.742333054543</v>
      </c>
      <c r="H856" s="15" t="n">
        <v>38.5381244840865</v>
      </c>
      <c r="I856" s="16" t="n">
        <v>4.3449449241363</v>
      </c>
      <c r="J856" s="15" t="n">
        <v>39.5804408411452</v>
      </c>
      <c r="K856" s="15" t="n">
        <v>1599.76872394813</v>
      </c>
      <c r="L856" s="15" t="n">
        <v>900.278008716713</v>
      </c>
      <c r="M856" s="15" t="n">
        <v>-13.3133829971554</v>
      </c>
      <c r="N856" s="17" t="n">
        <v>0.416907147849169</v>
      </c>
      <c r="O856" s="18" t="n">
        <v>0.026060463716297</v>
      </c>
    </row>
    <row r="857" ht="15" customHeight="1" s="12">
      <c r="A857" s="14" t="inlineStr">
        <is>
          <t>Kotli</t>
        </is>
      </c>
      <c r="B857" s="14" t="inlineStr">
        <is>
          <t>Azad Kashmir</t>
        </is>
      </c>
      <c r="C857" s="14" t="n">
        <v>2023</v>
      </c>
      <c r="D857" s="15" t="n">
        <v>985.5453448204991</v>
      </c>
      <c r="E857" s="15" t="n">
        <v>15254.6959843393</v>
      </c>
      <c r="F857" s="15" t="n">
        <v>1026.42416381836</v>
      </c>
      <c r="G857" s="15" t="n">
        <v>901.204335689545</v>
      </c>
      <c r="H857" s="15" t="n">
        <v>33.3506079976822</v>
      </c>
      <c r="I857" s="16" t="n">
        <v>3.38397499140504</v>
      </c>
      <c r="J857" s="15" t="n">
        <v>28.8196098302508</v>
      </c>
      <c r="K857" s="15" t="n">
        <v>1599.76872394813</v>
      </c>
      <c r="L857" s="15" t="n">
        <v>900.278008716713</v>
      </c>
      <c r="M857" s="15" t="n">
        <v>85.2673361037855</v>
      </c>
      <c r="N857" s="17" t="n">
        <v>0.523661703608494</v>
      </c>
      <c r="O857" s="18" t="n">
        <v>0.0327335880349086</v>
      </c>
    </row>
    <row r="858" ht="15" customHeight="1" s="12">
      <c r="A858" s="14" t="inlineStr">
        <is>
          <t>Kotli</t>
        </is>
      </c>
      <c r="B858" s="14" t="inlineStr">
        <is>
          <t>Azad Kashmir</t>
        </is>
      </c>
      <c r="C858" s="14" t="n">
        <v>2024</v>
      </c>
      <c r="D858" s="15" t="n">
        <v>893.264941111421</v>
      </c>
      <c r="E858" s="15" t="n">
        <v>13826.3400884972</v>
      </c>
      <c r="F858" s="15" t="n">
        <v>1009.10411746986</v>
      </c>
      <c r="G858" s="15" t="n">
        <v>717.366134732962</v>
      </c>
      <c r="H858" s="15" t="n">
        <v>73.2803944266972</v>
      </c>
      <c r="I858" s="16" t="n">
        <v>8.20365728621567</v>
      </c>
      <c r="J858" s="15" t="n">
        <v>44.0635926019762</v>
      </c>
      <c r="K858" s="15" t="n">
        <v>1599.76872394813</v>
      </c>
      <c r="L858" s="15" t="n">
        <v>900.278008716713</v>
      </c>
      <c r="M858" s="15" t="n">
        <v>-7.01306760529246</v>
      </c>
      <c r="N858" s="17" t="n">
        <v>0.190400271834789</v>
      </c>
      <c r="O858" s="18" t="n">
        <v>0.0119017373564407</v>
      </c>
    </row>
    <row r="859" ht="15" customHeight="1" s="12">
      <c r="A859" s="14" t="inlineStr">
        <is>
          <t>Kotli</t>
        </is>
      </c>
      <c r="B859" s="14" t="inlineStr">
        <is>
          <t>Azad Kashmir</t>
        </is>
      </c>
      <c r="C859" s="14" t="n">
        <v>2025</v>
      </c>
      <c r="D859" s="15" t="n">
        <v>1138.26501328156</v>
      </c>
      <c r="E859" s="15" t="n">
        <v>17618.5568918522</v>
      </c>
      <c r="F859" s="15" t="n">
        <v>1216.1204150684</v>
      </c>
      <c r="G859" s="15" t="n">
        <v>1000.41937756062</v>
      </c>
      <c r="H859" s="15" t="n">
        <v>52.4088834428103</v>
      </c>
      <c r="I859" s="16" t="n">
        <v>4.60427781151932</v>
      </c>
      <c r="J859" s="15" t="n">
        <v>50.4299467950342</v>
      </c>
      <c r="K859" s="15" t="n">
        <v>1599.76872394813</v>
      </c>
      <c r="L859" s="15" t="n">
        <v>900.278008716713</v>
      </c>
      <c r="M859" s="15" t="n">
        <v>237.987004564847</v>
      </c>
      <c r="N859" s="17" t="n">
        <v>0.445005950650563</v>
      </c>
      <c r="O859" s="18" t="n">
        <v>0.027816892778871</v>
      </c>
    </row>
    <row r="860" ht="15" customHeight="1" s="12">
      <c r="A860" s="14" t="inlineStr">
        <is>
          <t>Kurram</t>
        </is>
      </c>
      <c r="B860" s="14" t="inlineStr">
        <is>
          <t>Khyber Pakhtunkhwa</t>
        </is>
      </c>
      <c r="C860" s="14" t="n">
        <v>2015</v>
      </c>
      <c r="D860" s="15" t="n">
        <v>296.957681306932</v>
      </c>
      <c r="E860" s="15" t="n">
        <v>9800.76802305544</v>
      </c>
      <c r="F860" s="15" t="n">
        <v>395.205466628075</v>
      </c>
      <c r="G860" s="15" t="n">
        <v>165.292986631393</v>
      </c>
      <c r="H860" s="15" t="n">
        <v>57.5582449541376</v>
      </c>
      <c r="I860" s="16" t="n">
        <v>19.3826422340111</v>
      </c>
      <c r="J860" s="15" t="n">
        <v>21.4616207224335</v>
      </c>
      <c r="K860" s="15" t="n">
        <v>3399.57649697783</v>
      </c>
      <c r="L860" s="15" t="n">
        <v>277.15253631657</v>
      </c>
      <c r="M860" s="15" t="n">
        <v>19.8051449903613</v>
      </c>
      <c r="N860" s="17" t="n">
        <v>1.03155484554276</v>
      </c>
      <c r="O860" s="18" t="n">
        <v>0.0303436279918923</v>
      </c>
    </row>
    <row r="861" ht="15" customHeight="1" s="12">
      <c r="A861" s="14" t="inlineStr">
        <is>
          <t>Kurram</t>
        </is>
      </c>
      <c r="B861" s="14" t="inlineStr">
        <is>
          <t>Khyber Pakhtunkhwa</t>
        </is>
      </c>
      <c r="C861" s="14" t="n">
        <v>2016</v>
      </c>
      <c r="D861" s="15" t="n">
        <v>304.771385068003</v>
      </c>
      <c r="E861" s="15" t="n">
        <v>10058.6508891463</v>
      </c>
      <c r="F861" s="15" t="n">
        <v>388.0874812603</v>
      </c>
      <c r="G861" s="15" t="n">
        <v>181.644460320473</v>
      </c>
      <c r="H861" s="15" t="n">
        <v>52.7653641187472</v>
      </c>
      <c r="I861" s="16" t="n">
        <v>17.3130965385657</v>
      </c>
      <c r="J861" s="15" t="n">
        <v>21.2883792775665</v>
      </c>
      <c r="K861" s="15" t="n">
        <v>3399.57649697783</v>
      </c>
      <c r="L861" s="15" t="n">
        <v>277.15253631657</v>
      </c>
      <c r="M861" s="15" t="n">
        <v>27.6188487514326</v>
      </c>
      <c r="N861" s="17" t="n">
        <v>0.263617436821433</v>
      </c>
      <c r="O861" s="18" t="n">
        <v>0.00775441991247393</v>
      </c>
    </row>
    <row r="862" ht="15" customHeight="1" s="12">
      <c r="A862" s="14" t="inlineStr">
        <is>
          <t>Kurram</t>
        </is>
      </c>
      <c r="B862" s="14" t="inlineStr">
        <is>
          <t>Khyber Pakhtunkhwa</t>
        </is>
      </c>
      <c r="C862" s="14" t="n">
        <v>2017</v>
      </c>
      <c r="D862" s="15" t="n">
        <v>383.446394529215</v>
      </c>
      <c r="E862" s="15" t="n">
        <v>12655.2347308152</v>
      </c>
      <c r="F862" s="15" t="n">
        <v>514.244742155075</v>
      </c>
      <c r="G862" s="15" t="n">
        <v>236.928628861904</v>
      </c>
      <c r="H862" s="15" t="n">
        <v>64.5789043054333</v>
      </c>
      <c r="I862" s="16" t="n">
        <v>16.8417033584894</v>
      </c>
      <c r="J862" s="15" t="n">
        <v>25.2814876425856</v>
      </c>
      <c r="K862" s="15" t="n">
        <v>3399.57649697783</v>
      </c>
      <c r="L862" s="15" t="n">
        <v>277.15253631657</v>
      </c>
      <c r="M862" s="15" t="n">
        <v>106.293858212644</v>
      </c>
      <c r="N862" s="17" t="n">
        <v>0.197369039350203</v>
      </c>
      <c r="O862" s="18" t="n">
        <v>0.0058056949012814</v>
      </c>
    </row>
    <row r="863" ht="15" customHeight="1" s="12">
      <c r="A863" s="14" t="inlineStr">
        <is>
          <t>Kurram</t>
        </is>
      </c>
      <c r="B863" s="14" t="inlineStr">
        <is>
          <t>Khyber Pakhtunkhwa</t>
        </is>
      </c>
      <c r="C863" s="14" t="n">
        <v>2018</v>
      </c>
      <c r="D863" s="15" t="n">
        <v>302.859884480928</v>
      </c>
      <c r="E863" s="15" t="n">
        <v>9995.563873692119</v>
      </c>
      <c r="F863" s="15" t="n">
        <v>401.23839879036</v>
      </c>
      <c r="G863" s="15" t="n">
        <v>189.16532677412</v>
      </c>
      <c r="H863" s="15" t="n">
        <v>53.4089084902966</v>
      </c>
      <c r="I863" s="16" t="n">
        <v>17.6348573142442</v>
      </c>
      <c r="J863" s="15" t="n">
        <v>26.412072243346</v>
      </c>
      <c r="K863" s="15" t="n">
        <v>3399.57649697783</v>
      </c>
      <c r="L863" s="15" t="n">
        <v>277.15253631657</v>
      </c>
      <c r="M863" s="15" t="n">
        <v>25.7073481643577</v>
      </c>
      <c r="N863" s="17" t="n">
        <v>0.134356178623095</v>
      </c>
      <c r="O863" s="18" t="n">
        <v>0.00395214459043752</v>
      </c>
    </row>
    <row r="864" ht="15" customHeight="1" s="12">
      <c r="A864" s="14" t="inlineStr">
        <is>
          <t>Kurram</t>
        </is>
      </c>
      <c r="B864" s="14" t="inlineStr">
        <is>
          <t>Khyber Pakhtunkhwa</t>
        </is>
      </c>
      <c r="C864" s="14" t="n">
        <v>2019</v>
      </c>
      <c r="D864" s="15" t="n">
        <v>277.550028937838</v>
      </c>
      <c r="E864" s="15" t="n">
        <v>9160.23938643469</v>
      </c>
      <c r="F864" s="15" t="n">
        <v>357.630844442379</v>
      </c>
      <c r="G864" s="15" t="n">
        <v>155.43069424687</v>
      </c>
      <c r="H864" s="15" t="n">
        <v>56.0179072085136</v>
      </c>
      <c r="I864" s="16" t="n">
        <v>20.1829945480062</v>
      </c>
      <c r="J864" s="15" t="n">
        <v>19.959244296578</v>
      </c>
      <c r="K864" s="15" t="n">
        <v>3399.57649697783</v>
      </c>
      <c r="L864" s="15" t="n">
        <v>277.15253631657</v>
      </c>
      <c r="M864" s="15" t="n">
        <v>0.397492621267645</v>
      </c>
      <c r="N864" s="17" t="n">
        <v>0.152205361076804</v>
      </c>
      <c r="O864" s="18" t="n">
        <v>0.00447718594395836</v>
      </c>
    </row>
    <row r="865" ht="15" customHeight="1" s="12">
      <c r="A865" s="14" t="inlineStr">
        <is>
          <t>Kurram</t>
        </is>
      </c>
      <c r="B865" s="14" t="inlineStr">
        <is>
          <t>Khyber Pakhtunkhwa</t>
        </is>
      </c>
      <c r="C865" s="14" t="n">
        <v>2020</v>
      </c>
      <c r="D865" s="15" t="n">
        <v>182.21118836377</v>
      </c>
      <c r="E865" s="15" t="n">
        <v>6013.68376968427</v>
      </c>
      <c r="F865" s="15" t="n">
        <v>247.574150080389</v>
      </c>
      <c r="G865" s="15" t="n">
        <v>105.868185918705</v>
      </c>
      <c r="H865" s="15" t="n">
        <v>38.2273014694077</v>
      </c>
      <c r="I865" s="16" t="n">
        <v>20.9796675015861</v>
      </c>
      <c r="J865" s="15" t="n">
        <v>23.4409458174905</v>
      </c>
      <c r="K865" s="15" t="n">
        <v>3399.57649697783</v>
      </c>
      <c r="L865" s="15" t="n">
        <v>277.15253631657</v>
      </c>
      <c r="M865" s="15" t="n">
        <v>-94.9413479528004</v>
      </c>
      <c r="N865" s="17" t="n">
        <v>0.356540693124091</v>
      </c>
      <c r="O865" s="18" t="n">
        <v>0.0104877973312573</v>
      </c>
    </row>
    <row r="866" ht="15" customHeight="1" s="12">
      <c r="A866" s="14" t="inlineStr">
        <is>
          <t>Kurram</t>
        </is>
      </c>
      <c r="B866" s="14" t="inlineStr">
        <is>
          <t>Khyber Pakhtunkhwa</t>
        </is>
      </c>
      <c r="C866" s="14" t="n">
        <v>2021</v>
      </c>
      <c r="D866" s="15" t="n">
        <v>292.422236860995</v>
      </c>
      <c r="E866" s="15" t="n">
        <v>9651.080570282889</v>
      </c>
      <c r="F866" s="15" t="n">
        <v>363.085450351238</v>
      </c>
      <c r="G866" s="15" t="n">
        <v>183.375007867813</v>
      </c>
      <c r="H866" s="15" t="n">
        <v>44.8926581010389</v>
      </c>
      <c r="I866" s="16" t="n">
        <v>15.3519987340699</v>
      </c>
      <c r="J866" s="15" t="n">
        <v>29.4626901140684</v>
      </c>
      <c r="K866" s="15" t="n">
        <v>3399.57649697783</v>
      </c>
      <c r="L866" s="15" t="n">
        <v>277.15253631657</v>
      </c>
      <c r="M866" s="15" t="n">
        <v>15.269700544425</v>
      </c>
      <c r="N866" s="17" t="n">
        <v>0.24655738186466</v>
      </c>
      <c r="O866" s="18" t="n">
        <v>0.00725259108256117</v>
      </c>
    </row>
    <row r="867" ht="15" customHeight="1" s="12">
      <c r="A867" s="14" t="inlineStr">
        <is>
          <t>Kurram</t>
        </is>
      </c>
      <c r="B867" s="14" t="inlineStr">
        <is>
          <t>Khyber Pakhtunkhwa</t>
        </is>
      </c>
      <c r="C867" s="14" t="n">
        <v>2022</v>
      </c>
      <c r="D867" s="15" t="n">
        <v>304.563583186366</v>
      </c>
      <c r="E867" s="15" t="n">
        <v>10051.792612143</v>
      </c>
      <c r="F867" s="15" t="n">
        <v>366.651980591007</v>
      </c>
      <c r="G867" s="15" t="n">
        <v>203.134163022041</v>
      </c>
      <c r="H867" s="15" t="n">
        <v>37.2120316618182</v>
      </c>
      <c r="I867" s="16" t="n">
        <v>12.2181487597773</v>
      </c>
      <c r="J867" s="15" t="n">
        <v>24.3477899239544</v>
      </c>
      <c r="K867" s="15" t="n">
        <v>3399.57649697783</v>
      </c>
      <c r="L867" s="15" t="n">
        <v>277.15253631657</v>
      </c>
      <c r="M867" s="15" t="n">
        <v>27.4110468697958</v>
      </c>
      <c r="N867" s="17" t="n">
        <v>0.325518738098145</v>
      </c>
      <c r="O867" s="18" t="n">
        <v>0.009575273225577521</v>
      </c>
    </row>
    <row r="868" ht="15" customHeight="1" s="12">
      <c r="A868" s="14" t="inlineStr">
        <is>
          <t>Kurram</t>
        </is>
      </c>
      <c r="B868" s="14" t="inlineStr">
        <is>
          <t>Khyber Pakhtunkhwa</t>
        </is>
      </c>
      <c r="C868" s="14" t="n">
        <v>2023</v>
      </c>
      <c r="D868" s="15" t="n">
        <v>188.517194445043</v>
      </c>
      <c r="E868" s="15" t="n">
        <v>6221.8066998019</v>
      </c>
      <c r="F868" s="15" t="n">
        <v>263.668037176132</v>
      </c>
      <c r="G868" s="15" t="n">
        <v>96.7800492048264</v>
      </c>
      <c r="H868" s="15" t="n">
        <v>46.2477811504433</v>
      </c>
      <c r="I868" s="16" t="n">
        <v>24.5323941333773</v>
      </c>
      <c r="J868" s="15" t="n">
        <v>20.4409458174905</v>
      </c>
      <c r="K868" s="15" t="n">
        <v>3399.57649697783</v>
      </c>
      <c r="L868" s="15" t="n">
        <v>277.15253631657</v>
      </c>
      <c r="M868" s="15" t="n">
        <v>-88.6353418715273</v>
      </c>
      <c r="N868" s="17" t="n">
        <v>0.181626186218262</v>
      </c>
      <c r="O868" s="18" t="n">
        <v>0.00534261212770839</v>
      </c>
    </row>
    <row r="869" ht="15" customHeight="1" s="12">
      <c r="A869" s="14" t="inlineStr">
        <is>
          <t>Kurram</t>
        </is>
      </c>
      <c r="B869" s="14" t="inlineStr">
        <is>
          <t>Khyber Pakhtunkhwa</t>
        </is>
      </c>
      <c r="C869" s="14" t="n">
        <v>2024</v>
      </c>
      <c r="D869" s="15" t="n">
        <v>250.014751502312</v>
      </c>
      <c r="E869" s="15" t="n">
        <v>8251.46724958218</v>
      </c>
      <c r="F869" s="15" t="n">
        <v>315.522814209329</v>
      </c>
      <c r="G869" s="15" t="n">
        <v>161.783923506737</v>
      </c>
      <c r="H869" s="15" t="n">
        <v>37.8346015904997</v>
      </c>
      <c r="I869" s="16" t="n">
        <v>15.1329477013479</v>
      </c>
      <c r="J869" s="15" t="n">
        <v>28.9323906844107</v>
      </c>
      <c r="K869" s="15" t="n">
        <v>3399.57649697783</v>
      </c>
      <c r="L869" s="15" t="n">
        <v>277.15253631657</v>
      </c>
      <c r="M869" s="15" t="n">
        <v>-27.1377848142587</v>
      </c>
      <c r="N869" s="17" t="n">
        <v>0.207067762594545</v>
      </c>
      <c r="O869" s="18" t="n">
        <v>0.00609098700319362</v>
      </c>
    </row>
    <row r="870" ht="15" customHeight="1" s="12">
      <c r="A870" s="14" t="inlineStr">
        <is>
          <t>Kurram</t>
        </is>
      </c>
      <c r="B870" s="14" t="inlineStr">
        <is>
          <t>Khyber Pakhtunkhwa</t>
        </is>
      </c>
      <c r="C870" s="14" t="n">
        <v>2025</v>
      </c>
      <c r="D870" s="15" t="n">
        <v>265.363570800873</v>
      </c>
      <c r="E870" s="15" t="n">
        <v>8758.038477882919</v>
      </c>
      <c r="F870" s="15" t="n">
        <v>345.559294057144</v>
      </c>
      <c r="G870" s="15" t="n">
        <v>152.558608771243</v>
      </c>
      <c r="H870" s="15" t="n">
        <v>48.8230281016273</v>
      </c>
      <c r="I870" s="16" t="n">
        <v>18.3985420283117</v>
      </c>
      <c r="J870" s="15" t="n">
        <v>27.5540636882129</v>
      </c>
      <c r="K870" s="15" t="n">
        <v>3399.57649697783</v>
      </c>
      <c r="L870" s="15" t="n">
        <v>277.15253631657</v>
      </c>
      <c r="M870" s="15" t="n">
        <v>-11.7889655156978</v>
      </c>
      <c r="N870" s="17" t="n">
        <v>0.158453382019043</v>
      </c>
      <c r="O870" s="18" t="n">
        <v>0.00466097415839606</v>
      </c>
    </row>
    <row r="871" ht="15" customHeight="1" s="12">
      <c r="A871" s="14" t="inlineStr">
        <is>
          <t>Lahore</t>
        </is>
      </c>
      <c r="B871" s="14" t="inlineStr">
        <is>
          <t>Punjab</t>
        </is>
      </c>
      <c r="C871" s="14" t="n">
        <v>2015</v>
      </c>
      <c r="D871" s="15" t="n">
        <v>536.469596426178</v>
      </c>
      <c r="E871" s="15" t="n">
        <v>8779.16716033898</v>
      </c>
      <c r="F871" s="15" t="n">
        <v>597.639949798584</v>
      </c>
      <c r="G871" s="15" t="n">
        <v>421.642613768578</v>
      </c>
      <c r="H871" s="15" t="n">
        <v>47.6589766089354</v>
      </c>
      <c r="I871" s="16" t="n">
        <v>8.883816888492319</v>
      </c>
      <c r="J871" s="15" t="n">
        <v>25.339803498682</v>
      </c>
      <c r="K871" s="15" t="n">
        <v>1731.32768381017</v>
      </c>
      <c r="L871" s="15" t="n">
        <v>615.062048700363</v>
      </c>
      <c r="M871" s="15" t="n">
        <v>-78.5924522741856</v>
      </c>
      <c r="N871" s="17" t="n">
        <v>7.49102627293487</v>
      </c>
      <c r="O871" s="18" t="n">
        <v>0.43267524357083</v>
      </c>
    </row>
    <row r="872" ht="15" customHeight="1" s="12">
      <c r="A872" s="14" t="inlineStr">
        <is>
          <t>Lahore</t>
        </is>
      </c>
      <c r="B872" s="14" t="inlineStr">
        <is>
          <t>Punjab</t>
        </is>
      </c>
      <c r="C872" s="14" t="n">
        <v>2016</v>
      </c>
      <c r="D872" s="15" t="n">
        <v>513.828860072089</v>
      </c>
      <c r="E872" s="15" t="n">
        <v>8408.658168944419</v>
      </c>
      <c r="F872" s="15" t="n">
        <v>658.882470607758</v>
      </c>
      <c r="G872" s="15" t="n">
        <v>377.248779773712</v>
      </c>
      <c r="H872" s="15" t="n">
        <v>76.6458013434287</v>
      </c>
      <c r="I872" s="16" t="n">
        <v>14.9166010902298</v>
      </c>
      <c r="J872" s="15" t="n">
        <v>27.7991852384376</v>
      </c>
      <c r="K872" s="15" t="n">
        <v>1731.32768381017</v>
      </c>
      <c r="L872" s="15" t="n">
        <v>615.062048700363</v>
      </c>
      <c r="M872" s="15" t="n">
        <v>-101.233188628274</v>
      </c>
      <c r="N872" s="17" t="n">
        <v>7.19168938406982</v>
      </c>
      <c r="O872" s="18" t="n">
        <v>0.4153858019669</v>
      </c>
    </row>
    <row r="873" ht="15" customHeight="1" s="12">
      <c r="A873" s="14" t="inlineStr">
        <is>
          <t>Lahore</t>
        </is>
      </c>
      <c r="B873" s="14" t="inlineStr">
        <is>
          <t>Punjab</t>
        </is>
      </c>
      <c r="C873" s="14" t="n">
        <v>2017</v>
      </c>
      <c r="D873" s="15" t="n">
        <v>474.085255531464</v>
      </c>
      <c r="E873" s="15" t="n">
        <v>7758.26576993255</v>
      </c>
      <c r="F873" s="15" t="n">
        <v>530.578113913536</v>
      </c>
      <c r="G873" s="15" t="n">
        <v>367.169159889221</v>
      </c>
      <c r="H873" s="15" t="n">
        <v>41.56829536274</v>
      </c>
      <c r="I873" s="16" t="n">
        <v>8.768105499535229</v>
      </c>
      <c r="J873" s="15" t="n">
        <v>30.6472561706207</v>
      </c>
      <c r="K873" s="15" t="n">
        <v>1731.32768381017</v>
      </c>
      <c r="L873" s="15" t="n">
        <v>615.062048700363</v>
      </c>
      <c r="M873" s="15" t="n">
        <v>-140.976793168899</v>
      </c>
      <c r="N873" s="17" t="n">
        <v>6.45385556301437</v>
      </c>
      <c r="O873" s="18" t="n">
        <v>0.372769154179481</v>
      </c>
    </row>
    <row r="874" ht="15" customHeight="1" s="12">
      <c r="A874" s="14" t="inlineStr">
        <is>
          <t>Lahore</t>
        </is>
      </c>
      <c r="B874" s="14" t="inlineStr">
        <is>
          <t>Punjab</t>
        </is>
      </c>
      <c r="C874" s="14" t="n">
        <v>2018</v>
      </c>
      <c r="D874" s="15" t="n">
        <v>582.011965632531</v>
      </c>
      <c r="E874" s="15" t="n">
        <v>9524.454637586479</v>
      </c>
      <c r="F874" s="15" t="n">
        <v>654.060049891472</v>
      </c>
      <c r="G874" s="15" t="n">
        <v>431.122532919049</v>
      </c>
      <c r="H874" s="15" t="n">
        <v>62.3203710410469</v>
      </c>
      <c r="I874" s="16" t="n">
        <v>10.7077473868286</v>
      </c>
      <c r="J874" s="15" t="n">
        <v>31.8068535825545</v>
      </c>
      <c r="K874" s="15" t="n">
        <v>1731.32768381017</v>
      </c>
      <c r="L874" s="15" t="n">
        <v>615.062048700363</v>
      </c>
      <c r="M874" s="15" t="n">
        <v>-33.0500830678324</v>
      </c>
      <c r="N874" s="17" t="n">
        <v>10.8265993946716</v>
      </c>
      <c r="O874" s="18" t="n">
        <v>0.62533508219803</v>
      </c>
    </row>
    <row r="875" ht="15" customHeight="1" s="12">
      <c r="A875" s="14" t="inlineStr">
        <is>
          <t>Lahore</t>
        </is>
      </c>
      <c r="B875" s="14" t="inlineStr">
        <is>
          <t>Punjab</t>
        </is>
      </c>
      <c r="C875" s="14" t="n">
        <v>2019</v>
      </c>
      <c r="D875" s="15" t="n">
        <v>488.148504946928</v>
      </c>
      <c r="E875" s="15" t="n">
        <v>7988.40671036679</v>
      </c>
      <c r="F875" s="15" t="n">
        <v>557.833136439323</v>
      </c>
      <c r="G875" s="15" t="n">
        <v>354.3311201334</v>
      </c>
      <c r="H875" s="15" t="n">
        <v>66.27960035738479</v>
      </c>
      <c r="I875" s="16" t="n">
        <v>13.5777534266116</v>
      </c>
      <c r="J875" s="15" t="n">
        <v>26.7651569614186</v>
      </c>
      <c r="K875" s="15" t="n">
        <v>1731.32768381017</v>
      </c>
      <c r="L875" s="15" t="n">
        <v>615.062048700363</v>
      </c>
      <c r="M875" s="15" t="n">
        <v>-126.913543753435</v>
      </c>
      <c r="N875" s="17" t="n">
        <v>5.83901088481159</v>
      </c>
      <c r="O875" s="18" t="n">
        <v>0.337256253649312</v>
      </c>
    </row>
    <row r="876" ht="15" customHeight="1" s="12">
      <c r="A876" s="14" t="inlineStr">
        <is>
          <t>Lahore</t>
        </is>
      </c>
      <c r="B876" s="14" t="inlineStr">
        <is>
          <t>Punjab</t>
        </is>
      </c>
      <c r="C876" s="14" t="n">
        <v>2020</v>
      </c>
      <c r="D876" s="15" t="n">
        <v>627.479602604733</v>
      </c>
      <c r="E876" s="15" t="n">
        <v>10268.5191438022</v>
      </c>
      <c r="F876" s="15" t="n">
        <v>666.86403838452</v>
      </c>
      <c r="G876" s="15" t="n">
        <v>526.375896839029</v>
      </c>
      <c r="H876" s="15" t="n">
        <v>44.8614077909161</v>
      </c>
      <c r="I876" s="16" t="n">
        <v>7.1494607322201</v>
      </c>
      <c r="J876" s="15" t="n">
        <v>26.4550682961898</v>
      </c>
      <c r="K876" s="15" t="n">
        <v>1731.32768381017</v>
      </c>
      <c r="L876" s="15" t="n">
        <v>615.062048700363</v>
      </c>
      <c r="M876" s="15" t="n">
        <v>12.4175539043691</v>
      </c>
      <c r="N876" s="17" t="n">
        <v>6.98527080725577</v>
      </c>
      <c r="O876" s="18" t="n">
        <v>0.403463242260595</v>
      </c>
    </row>
    <row r="877" ht="15" customHeight="1" s="12">
      <c r="A877" s="14" t="inlineStr">
        <is>
          <t>Lahore</t>
        </is>
      </c>
      <c r="B877" s="14" t="inlineStr">
        <is>
          <t>Punjab</t>
        </is>
      </c>
      <c r="C877" s="14" t="n">
        <v>2021</v>
      </c>
      <c r="D877" s="15" t="n">
        <v>712.548660079981</v>
      </c>
      <c r="E877" s="15" t="n">
        <v>11660.6492490736</v>
      </c>
      <c r="F877" s="15" t="n">
        <v>808.696588993073</v>
      </c>
      <c r="G877" s="15" t="n">
        <v>470.523069381714</v>
      </c>
      <c r="H877" s="15" t="n">
        <v>100.861456340378</v>
      </c>
      <c r="I877" s="16" t="n">
        <v>14.1550271568901</v>
      </c>
      <c r="J877" s="15" t="n">
        <v>21.0198897675533</v>
      </c>
      <c r="K877" s="15" t="n">
        <v>1731.32768381017</v>
      </c>
      <c r="L877" s="15" t="n">
        <v>615.062048700363</v>
      </c>
      <c r="M877" s="15" t="n">
        <v>97.4866113796174</v>
      </c>
      <c r="N877" s="17" t="n">
        <v>8.853287108151431</v>
      </c>
      <c r="O877" s="18" t="n">
        <v>0.511358259383216</v>
      </c>
    </row>
    <row r="878" ht="15" customHeight="1" s="12">
      <c r="A878" s="14" t="inlineStr">
        <is>
          <t>Lahore</t>
        </is>
      </c>
      <c r="B878" s="14" t="inlineStr">
        <is>
          <t>Punjab</t>
        </is>
      </c>
      <c r="C878" s="14" t="n">
        <v>2022</v>
      </c>
      <c r="D878" s="15" t="n">
        <v>602.063673979998</v>
      </c>
      <c r="E878" s="15" t="n">
        <v>9852.594947131491</v>
      </c>
      <c r="F878" s="15" t="n">
        <v>652.0084485411639</v>
      </c>
      <c r="G878" s="15" t="n">
        <v>509.35442436859</v>
      </c>
      <c r="H878" s="15" t="n">
        <v>36.6868865929047</v>
      </c>
      <c r="I878" s="16" t="n">
        <v>6.09352269177488</v>
      </c>
      <c r="J878" s="15" t="n">
        <v>33.1996165827942</v>
      </c>
      <c r="K878" s="15" t="n">
        <v>1731.32768381017</v>
      </c>
      <c r="L878" s="15" t="n">
        <v>615.062048700363</v>
      </c>
      <c r="M878" s="15" t="n">
        <v>-12.9983747203656</v>
      </c>
      <c r="N878" s="17" t="n">
        <v>10.4216935936758</v>
      </c>
      <c r="O878" s="18" t="n">
        <v>0.60194807090132</v>
      </c>
    </row>
    <row r="879" ht="15" customHeight="1" s="12">
      <c r="A879" s="14" t="inlineStr">
        <is>
          <t>Lahore</t>
        </is>
      </c>
      <c r="B879" s="14" t="inlineStr">
        <is>
          <t>Punjab</t>
        </is>
      </c>
      <c r="C879" s="14" t="n">
        <v>2023</v>
      </c>
      <c r="D879" s="15" t="n">
        <v>685.505961360847</v>
      </c>
      <c r="E879" s="15" t="n">
        <v>11218.1034382699</v>
      </c>
      <c r="F879" s="15" t="n">
        <v>762.066183567047</v>
      </c>
      <c r="G879" s="15" t="n">
        <v>525.101242542267</v>
      </c>
      <c r="H879" s="15" t="n">
        <v>62.4904980677007</v>
      </c>
      <c r="I879" s="16" t="n">
        <v>9.11596712356028</v>
      </c>
      <c r="J879" s="15" t="n">
        <v>28.6743350107836</v>
      </c>
      <c r="K879" s="15" t="n">
        <v>1731.32768381017</v>
      </c>
      <c r="L879" s="15" t="n">
        <v>615.062048700363</v>
      </c>
      <c r="M879" s="15" t="n">
        <v>70.44391266048351</v>
      </c>
      <c r="N879" s="17" t="n">
        <v>10.7509521896915</v>
      </c>
      <c r="O879" s="18" t="n">
        <v>0.6209657646108721</v>
      </c>
    </row>
    <row r="880" ht="15" customHeight="1" s="12">
      <c r="A880" s="14" t="inlineStr">
        <is>
          <t>Lahore</t>
        </is>
      </c>
      <c r="B880" s="14" t="inlineStr">
        <is>
          <t>Punjab</t>
        </is>
      </c>
      <c r="C880" s="14" t="n">
        <v>2024</v>
      </c>
      <c r="D880" s="15" t="n">
        <v>629.5404086555041</v>
      </c>
      <c r="E880" s="15" t="n">
        <v>10302.2436287036</v>
      </c>
      <c r="F880" s="15" t="n">
        <v>689.183947745711</v>
      </c>
      <c r="G880" s="15" t="n">
        <v>484.947336159647</v>
      </c>
      <c r="H880" s="15" t="n">
        <v>66.7149851801467</v>
      </c>
      <c r="I880" s="16" t="n">
        <v>10.5974111054489</v>
      </c>
      <c r="J880" s="15" t="n">
        <v>41.595734483585</v>
      </c>
      <c r="K880" s="15" t="n">
        <v>1731.32768381017</v>
      </c>
      <c r="L880" s="15" t="n">
        <v>615.062048700363</v>
      </c>
      <c r="M880" s="15" t="n">
        <v>14.4783599551405</v>
      </c>
      <c r="N880" s="17" t="n">
        <v>8.39189579721943</v>
      </c>
      <c r="O880" s="18" t="n">
        <v>0.484708693547325</v>
      </c>
    </row>
    <row r="881" ht="15" customHeight="1" s="12">
      <c r="A881" s="14" t="inlineStr">
        <is>
          <t>Lahore</t>
        </is>
      </c>
      <c r="B881" s="14" t="inlineStr">
        <is>
          <t>Punjab</t>
        </is>
      </c>
      <c r="C881" s="14" t="n">
        <v>2025</v>
      </c>
      <c r="D881" s="15" t="n">
        <v>914.000046413746</v>
      </c>
      <c r="E881" s="15" t="n">
        <v>14957.3419360179</v>
      </c>
      <c r="F881" s="15" t="n">
        <v>1011.61330212633</v>
      </c>
      <c r="G881" s="15" t="n">
        <v>713.073298387528</v>
      </c>
      <c r="H881" s="15" t="n">
        <v>87.4161664498761</v>
      </c>
      <c r="I881" s="16" t="n">
        <v>9.56413151102892</v>
      </c>
      <c r="J881" s="15" t="n">
        <v>36.51737359214</v>
      </c>
      <c r="K881" s="15" t="n">
        <v>1731.32768381017</v>
      </c>
      <c r="L881" s="15" t="n">
        <v>615.062048700363</v>
      </c>
      <c r="M881" s="15" t="n">
        <v>298.937997713383</v>
      </c>
      <c r="N881" s="17" t="n">
        <v>13.2770492781415</v>
      </c>
      <c r="O881" s="18" t="n">
        <v>0.766870962804822</v>
      </c>
    </row>
    <row r="882" ht="15" customHeight="1" s="12">
      <c r="A882" s="14" t="inlineStr">
        <is>
          <t>Lakki Marwat</t>
        </is>
      </c>
      <c r="B882" s="14" t="inlineStr">
        <is>
          <t>Khyber Pakhtunkhwa</t>
        </is>
      </c>
      <c r="C882" s="14" t="n">
        <v>2015</v>
      </c>
      <c r="D882" s="15" t="n">
        <v>339.914124589586</v>
      </c>
      <c r="E882" s="15" t="n">
        <v>10897.246935372</v>
      </c>
      <c r="F882" s="15" t="n">
        <v>447.43341255188</v>
      </c>
      <c r="G882" s="15" t="n">
        <v>213.722930073738</v>
      </c>
      <c r="H882" s="15" t="n">
        <v>63.9791060674703</v>
      </c>
      <c r="I882" s="16" t="n">
        <v>18.822138134071</v>
      </c>
      <c r="J882" s="15" t="n">
        <v>22.9245259938838</v>
      </c>
      <c r="K882" s="15" t="n">
        <v>3341.79786898043</v>
      </c>
      <c r="L882" s="15" t="n">
        <v>288.282027596867</v>
      </c>
      <c r="M882" s="15" t="n">
        <v>51.6320969927197</v>
      </c>
      <c r="N882" s="17" t="n">
        <v>4.39217543231656</v>
      </c>
      <c r="O882" s="18" t="n">
        <v>0.131431510956603</v>
      </c>
    </row>
    <row r="883" ht="15" customHeight="1" s="12">
      <c r="A883" s="14" t="inlineStr">
        <is>
          <t>Lakki Marwat</t>
        </is>
      </c>
      <c r="B883" s="14" t="inlineStr">
        <is>
          <t>Khyber Pakhtunkhwa</t>
        </is>
      </c>
      <c r="C883" s="14" t="n">
        <v>2016</v>
      </c>
      <c r="D883" s="15" t="n">
        <v>337.18435754694</v>
      </c>
      <c r="E883" s="15" t="n">
        <v>10809.7338154754</v>
      </c>
      <c r="F883" s="15" t="n">
        <v>508.238225400448</v>
      </c>
      <c r="G883" s="15" t="n">
        <v>205.225640296936</v>
      </c>
      <c r="H883" s="15" t="n">
        <v>66.31183692611469</v>
      </c>
      <c r="I883" s="16" t="n">
        <v>19.6663443727171</v>
      </c>
      <c r="J883" s="15" t="n">
        <v>23.4979816513762</v>
      </c>
      <c r="K883" s="15" t="n">
        <v>3341.79786898043</v>
      </c>
      <c r="L883" s="15" t="n">
        <v>288.282027596867</v>
      </c>
      <c r="M883" s="15" t="n">
        <v>48.9023299500733</v>
      </c>
      <c r="N883" s="17" t="n">
        <v>4.16470496082405</v>
      </c>
      <c r="O883" s="18" t="n">
        <v>0.124624681806224</v>
      </c>
    </row>
    <row r="884" ht="15" customHeight="1" s="12">
      <c r="A884" s="14" t="inlineStr">
        <is>
          <t>Lakki Marwat</t>
        </is>
      </c>
      <c r="B884" s="14" t="inlineStr">
        <is>
          <t>Khyber Pakhtunkhwa</t>
        </is>
      </c>
      <c r="C884" s="14" t="n">
        <v>2017</v>
      </c>
      <c r="D884" s="15" t="n">
        <v>271.523828485399</v>
      </c>
      <c r="E884" s="15" t="n">
        <v>8704.73450144366</v>
      </c>
      <c r="F884" s="15" t="n">
        <v>462.809027194977</v>
      </c>
      <c r="G884" s="15" t="n">
        <v>194.247404575348</v>
      </c>
      <c r="H884" s="15" t="n">
        <v>54.9315522022684</v>
      </c>
      <c r="I884" s="16" t="n">
        <v>20.2308403312833</v>
      </c>
      <c r="J884" s="15" t="n">
        <v>18.1261162079511</v>
      </c>
      <c r="K884" s="15" t="n">
        <v>3341.79786898043</v>
      </c>
      <c r="L884" s="15" t="n">
        <v>288.282027596867</v>
      </c>
      <c r="M884" s="15" t="n">
        <v>-16.758199111468</v>
      </c>
      <c r="N884" s="17" t="n">
        <v>4.63827057093794</v>
      </c>
      <c r="O884" s="18" t="n">
        <v>0.138795664872246</v>
      </c>
    </row>
    <row r="885" ht="15" customHeight="1" s="12">
      <c r="A885" s="14" t="inlineStr">
        <is>
          <t>Lakki Marwat</t>
        </is>
      </c>
      <c r="B885" s="14" t="inlineStr">
        <is>
          <t>Khyber Pakhtunkhwa</t>
        </is>
      </c>
      <c r="C885" s="14" t="n">
        <v>2018</v>
      </c>
      <c r="D885" s="15" t="n">
        <v>224.621581323836</v>
      </c>
      <c r="E885" s="15" t="n">
        <v>7201.10363655827</v>
      </c>
      <c r="F885" s="15" t="n">
        <v>381.769382238388</v>
      </c>
      <c r="G885" s="15" t="n">
        <v>156.263310432434</v>
      </c>
      <c r="H885" s="15" t="n">
        <v>47.0443913126082</v>
      </c>
      <c r="I885" s="16" t="n">
        <v>20.9438429893272</v>
      </c>
      <c r="J885" s="15" t="n">
        <v>20.2721712538226</v>
      </c>
      <c r="K885" s="15" t="n">
        <v>3341.79786898043</v>
      </c>
      <c r="L885" s="15" t="n">
        <v>288.282027596867</v>
      </c>
      <c r="M885" s="15" t="n">
        <v>-63.6604462730306</v>
      </c>
      <c r="N885" s="17" t="n">
        <v>3.48160249319135</v>
      </c>
      <c r="O885" s="18" t="n">
        <v>0.104183515272082</v>
      </c>
    </row>
    <row r="886" ht="15" customHeight="1" s="12">
      <c r="A886" s="14" t="inlineStr">
        <is>
          <t>Lakki Marwat</t>
        </is>
      </c>
      <c r="B886" s="14" t="inlineStr">
        <is>
          <t>Khyber Pakhtunkhwa</t>
        </is>
      </c>
      <c r="C886" s="14" t="n">
        <v>2019</v>
      </c>
      <c r="D886" s="15" t="n">
        <v>323.437943831215</v>
      </c>
      <c r="E886" s="15" t="n">
        <v>10369.0399640007</v>
      </c>
      <c r="F886" s="15" t="n">
        <v>415.460256043038</v>
      </c>
      <c r="G886" s="15" t="n">
        <v>220.375746282501</v>
      </c>
      <c r="H886" s="15" t="n">
        <v>46.6243622242776</v>
      </c>
      <c r="I886" s="16" t="n">
        <v>14.4152419694482</v>
      </c>
      <c r="J886" s="15" t="n">
        <v>23.0559021406728</v>
      </c>
      <c r="K886" s="15" t="n">
        <v>3341.79786898043</v>
      </c>
      <c r="L886" s="15" t="n">
        <v>288.282027596867</v>
      </c>
      <c r="M886" s="15" t="n">
        <v>35.1559162343485</v>
      </c>
      <c r="N886" s="17" t="n">
        <v>2.34468180561524</v>
      </c>
      <c r="O886" s="18" t="n">
        <v>0.0701622868151085</v>
      </c>
    </row>
    <row r="887" ht="15" customHeight="1" s="12">
      <c r="A887" s="14" t="inlineStr">
        <is>
          <t>Lakki Marwat</t>
        </is>
      </c>
      <c r="B887" s="14" t="inlineStr">
        <is>
          <t>Khyber Pakhtunkhwa</t>
        </is>
      </c>
      <c r="C887" s="14" t="n">
        <v>2020</v>
      </c>
      <c r="D887" s="15" t="n">
        <v>231.610255867966</v>
      </c>
      <c r="E887" s="15" t="n">
        <v>7425.15232047303</v>
      </c>
      <c r="F887" s="15" t="n">
        <v>329.91314391866</v>
      </c>
      <c r="G887" s="15" t="n">
        <v>114.310267052587</v>
      </c>
      <c r="H887" s="15" t="n">
        <v>60.4811065163633</v>
      </c>
      <c r="I887" s="16" t="n">
        <v>26.113311040441</v>
      </c>
      <c r="J887" s="15" t="n">
        <v>21.817125382263</v>
      </c>
      <c r="K887" s="15" t="n">
        <v>3341.79786898043</v>
      </c>
      <c r="L887" s="15" t="n">
        <v>288.282027596867</v>
      </c>
      <c r="M887" s="15" t="n">
        <v>-56.6717717289004</v>
      </c>
      <c r="N887" s="17" t="n">
        <v>2.39099886038148</v>
      </c>
      <c r="O887" s="18" t="n">
        <v>0.0715482789242117</v>
      </c>
    </row>
    <row r="888" ht="15" customHeight="1" s="12">
      <c r="A888" s="14" t="inlineStr">
        <is>
          <t>Lakki Marwat</t>
        </is>
      </c>
      <c r="B888" s="14" t="inlineStr">
        <is>
          <t>Khyber Pakhtunkhwa</t>
        </is>
      </c>
      <c r="C888" s="14" t="n">
        <v>2021</v>
      </c>
      <c r="D888" s="15" t="n">
        <v>241.151567532739</v>
      </c>
      <c r="E888" s="15" t="n">
        <v>7731.03554737311</v>
      </c>
      <c r="F888" s="15" t="n">
        <v>377.353329062462</v>
      </c>
      <c r="G888" s="15" t="n">
        <v>165.89465212822</v>
      </c>
      <c r="H888" s="15" t="n">
        <v>51.9131739304588</v>
      </c>
      <c r="I888" s="16" t="n">
        <v>21.5271973811288</v>
      </c>
      <c r="J888" s="15" t="n">
        <v>21.4211620795107</v>
      </c>
      <c r="K888" s="15" t="n">
        <v>3341.79786898043</v>
      </c>
      <c r="L888" s="15" t="n">
        <v>288.282027596867</v>
      </c>
      <c r="M888" s="15" t="n">
        <v>-47.1304600641273</v>
      </c>
      <c r="N888" s="17" t="n">
        <v>3.64581855594626</v>
      </c>
      <c r="O888" s="18" t="n">
        <v>0.109097518727504</v>
      </c>
    </row>
    <row r="889" ht="15" customHeight="1" s="12">
      <c r="A889" s="14" t="inlineStr">
        <is>
          <t>Lakki Marwat</t>
        </is>
      </c>
      <c r="B889" s="14" t="inlineStr">
        <is>
          <t>Khyber Pakhtunkhwa</t>
        </is>
      </c>
      <c r="C889" s="14" t="n">
        <v>2022</v>
      </c>
      <c r="D889" s="15" t="n">
        <v>358.762265342231</v>
      </c>
      <c r="E889" s="15" t="n">
        <v>11501.4961536186</v>
      </c>
      <c r="F889" s="15" t="n">
        <v>473.59478356925</v>
      </c>
      <c r="G889" s="15" t="n">
        <v>251.29558290838</v>
      </c>
      <c r="H889" s="15" t="n">
        <v>52.0647036114052</v>
      </c>
      <c r="I889" s="16" t="n">
        <v>14.512313206</v>
      </c>
      <c r="J889" s="15" t="n">
        <v>25.1279510703364</v>
      </c>
      <c r="K889" s="15" t="n">
        <v>3341.79786898043</v>
      </c>
      <c r="L889" s="15" t="n">
        <v>288.282027596867</v>
      </c>
      <c r="M889" s="15" t="n">
        <v>70.48023774536431</v>
      </c>
      <c r="N889" s="17" t="n">
        <v>6.78821189234377</v>
      </c>
      <c r="O889" s="18" t="n">
        <v>0.203130535073769</v>
      </c>
    </row>
    <row r="890" ht="15" customHeight="1" s="12">
      <c r="A890" s="14" t="inlineStr">
        <is>
          <t>Lakki Marwat</t>
        </is>
      </c>
      <c r="B890" s="14" t="inlineStr">
        <is>
          <t>Khyber Pakhtunkhwa</t>
        </is>
      </c>
      <c r="C890" s="14" t="n">
        <v>2023</v>
      </c>
      <c r="D890" s="15" t="n">
        <v>211.463457276836</v>
      </c>
      <c r="E890" s="15" t="n">
        <v>6779.26965975738</v>
      </c>
      <c r="F890" s="15" t="n">
        <v>326.29974424839</v>
      </c>
      <c r="G890" s="15" t="n">
        <v>139.81488609314</v>
      </c>
      <c r="H890" s="15" t="n">
        <v>39.4767748664545</v>
      </c>
      <c r="I890" s="16" t="n">
        <v>18.6683672795408</v>
      </c>
      <c r="J890" s="15" t="n">
        <v>18.0974923547401</v>
      </c>
      <c r="K890" s="15" t="n">
        <v>3341.79786898043</v>
      </c>
      <c r="L890" s="15" t="n">
        <v>288.282027596867</v>
      </c>
      <c r="M890" s="15" t="n">
        <v>-76.8185703200308</v>
      </c>
      <c r="N890" s="17" t="n">
        <v>1.71305850941114</v>
      </c>
      <c r="O890" s="18" t="n">
        <v>0.051261583631741</v>
      </c>
    </row>
    <row r="891" ht="15" customHeight="1" s="12">
      <c r="A891" s="14" t="inlineStr">
        <is>
          <t>Lakki Marwat</t>
        </is>
      </c>
      <c r="B891" s="14" t="inlineStr">
        <is>
          <t>Khyber Pakhtunkhwa</t>
        </is>
      </c>
      <c r="C891" s="14" t="n">
        <v>2024</v>
      </c>
      <c r="D891" s="15" t="n">
        <v>282.15327450804</v>
      </c>
      <c r="E891" s="15" t="n">
        <v>9045.50203569893</v>
      </c>
      <c r="F891" s="15" t="n">
        <v>368.681024801568</v>
      </c>
      <c r="G891" s="15" t="n">
        <v>188.105802357197</v>
      </c>
      <c r="H891" s="15" t="n">
        <v>40.8979021331062</v>
      </c>
      <c r="I891" s="16" t="n">
        <v>14.4949237978597</v>
      </c>
      <c r="J891" s="15" t="n">
        <v>27.936880733945</v>
      </c>
      <c r="K891" s="15" t="n">
        <v>3341.79786898043</v>
      </c>
      <c r="L891" s="15" t="n">
        <v>288.282027596867</v>
      </c>
      <c r="M891" s="15" t="n">
        <v>-6.12875308882633</v>
      </c>
      <c r="N891" s="17" t="n">
        <v>1.23101296212541</v>
      </c>
      <c r="O891" s="18" t="n">
        <v>0.0368368468228447</v>
      </c>
    </row>
    <row r="892" ht="15" customHeight="1" s="12">
      <c r="A892" s="14" t="inlineStr">
        <is>
          <t>Lakki Marwat</t>
        </is>
      </c>
      <c r="B892" s="14" t="inlineStr">
        <is>
          <t>Khyber Pakhtunkhwa</t>
        </is>
      </c>
      <c r="C892" s="14" t="n">
        <v>2025</v>
      </c>
      <c r="D892" s="15" t="n">
        <v>349.279647260744</v>
      </c>
      <c r="E892" s="15" t="n">
        <v>11197.4945739474</v>
      </c>
      <c r="F892" s="15" t="n">
        <v>467.389266289771</v>
      </c>
      <c r="G892" s="15" t="n">
        <v>213.856682837009</v>
      </c>
      <c r="H892" s="15" t="n">
        <v>60.0279068990356</v>
      </c>
      <c r="I892" s="16" t="n">
        <v>17.1862023366691</v>
      </c>
      <c r="J892" s="15" t="n">
        <v>25.8545565749236</v>
      </c>
      <c r="K892" s="15" t="n">
        <v>3341.79786898043</v>
      </c>
      <c r="L892" s="15" t="n">
        <v>288.282027596867</v>
      </c>
      <c r="M892" s="15" t="n">
        <v>60.9976196638775</v>
      </c>
      <c r="N892" s="17" t="n">
        <v>0.875174854797364</v>
      </c>
      <c r="O892" s="18" t="n">
        <v>0.0261887429793704</v>
      </c>
    </row>
    <row r="893" ht="15" customHeight="1" s="12">
      <c r="A893" s="14" t="inlineStr">
        <is>
          <t>Larkana</t>
        </is>
      </c>
      <c r="B893" s="14" t="inlineStr">
        <is>
          <t>Sindh</t>
        </is>
      </c>
      <c r="C893" s="14" t="n">
        <v>2015</v>
      </c>
      <c r="D893" s="15" t="n">
        <v>45.3365420185169</v>
      </c>
      <c r="E893" s="15" t="n">
        <v>795.789655195615</v>
      </c>
      <c r="F893" s="15" t="n">
        <v>60.1554049253464</v>
      </c>
      <c r="G893" s="15" t="n">
        <v>37.0085817873478</v>
      </c>
      <c r="H893" s="15" t="n">
        <v>5.44209379299473</v>
      </c>
      <c r="I893" s="16" t="n">
        <v>12.0037690364033</v>
      </c>
      <c r="J893" s="15" t="n">
        <v>7.26563896336015</v>
      </c>
      <c r="K893" s="15" t="n">
        <v>1924.1535982195</v>
      </c>
      <c r="L893" s="15" t="n">
        <v>84.852979317078</v>
      </c>
      <c r="M893" s="15" t="n">
        <v>-39.516437298561</v>
      </c>
      <c r="N893" s="17" t="n">
        <v>27.9545741345026</v>
      </c>
      <c r="O893" s="18" t="n">
        <v>1.45282446060284</v>
      </c>
    </row>
    <row r="894" ht="15" customHeight="1" s="12">
      <c r="A894" s="14" t="inlineStr">
        <is>
          <t>Larkana</t>
        </is>
      </c>
      <c r="B894" s="14" t="inlineStr">
        <is>
          <t>Sindh</t>
        </is>
      </c>
      <c r="C894" s="14" t="n">
        <v>2016</v>
      </c>
      <c r="D894" s="15" t="n">
        <v>81.72057176557129</v>
      </c>
      <c r="E894" s="15" t="n">
        <v>1434.43638910862</v>
      </c>
      <c r="F894" s="15" t="n">
        <v>107.627953469753</v>
      </c>
      <c r="G894" s="15" t="n">
        <v>59.1906025409699</v>
      </c>
      <c r="H894" s="15" t="n">
        <v>11.4848506125406</v>
      </c>
      <c r="I894" s="16" t="n">
        <v>14.0538059932899</v>
      </c>
      <c r="J894" s="15" t="n">
        <v>14.0471403038427</v>
      </c>
      <c r="K894" s="15" t="n">
        <v>1924.1535982195</v>
      </c>
      <c r="L894" s="15" t="n">
        <v>84.852979317078</v>
      </c>
      <c r="M894" s="15" t="n">
        <v>-3.13240755150669</v>
      </c>
      <c r="N894" s="17" t="n">
        <v>16.5430275479884</v>
      </c>
      <c r="O894" s="18" t="n">
        <v>0.859756079935427</v>
      </c>
    </row>
    <row r="895" ht="15" customHeight="1" s="12">
      <c r="A895" s="14" t="inlineStr">
        <is>
          <t>Larkana</t>
        </is>
      </c>
      <c r="B895" s="14" t="inlineStr">
        <is>
          <t>Sindh</t>
        </is>
      </c>
      <c r="C895" s="14" t="n">
        <v>2017</v>
      </c>
      <c r="D895" s="15" t="n">
        <v>78.87092507194799</v>
      </c>
      <c r="E895" s="15" t="n">
        <v>1384.41670832172</v>
      </c>
      <c r="F895" s="15" t="n">
        <v>109.270463943481</v>
      </c>
      <c r="G895" s="15" t="n">
        <v>56.7324990034103</v>
      </c>
      <c r="H895" s="15" t="n">
        <v>14.3355127057172</v>
      </c>
      <c r="I895" s="16" t="n">
        <v>18.1759155134037</v>
      </c>
      <c r="J895" s="15" t="n">
        <v>16.699508489723</v>
      </c>
      <c r="K895" s="15" t="n">
        <v>1924.1535982195</v>
      </c>
      <c r="L895" s="15" t="n">
        <v>84.852979317078</v>
      </c>
      <c r="M895" s="15" t="n">
        <v>-5.98205424512992</v>
      </c>
      <c r="N895" s="17" t="n">
        <v>24.1769304180511</v>
      </c>
      <c r="O895" s="18" t="n">
        <v>1.25649690546654</v>
      </c>
    </row>
    <row r="896" ht="15" customHeight="1" s="12">
      <c r="A896" s="14" t="inlineStr">
        <is>
          <t>Larkana</t>
        </is>
      </c>
      <c r="B896" s="14" t="inlineStr">
        <is>
          <t>Sindh</t>
        </is>
      </c>
      <c r="C896" s="14" t="n">
        <v>2018</v>
      </c>
      <c r="D896" s="15" t="n">
        <v>23.5143972964026</v>
      </c>
      <c r="E896" s="15" t="n">
        <v>412.746832543913</v>
      </c>
      <c r="F896" s="15" t="n">
        <v>28.7206398053095</v>
      </c>
      <c r="G896" s="15" t="n">
        <v>17.913383834064</v>
      </c>
      <c r="H896" s="15" t="n">
        <v>2.78973893139082</v>
      </c>
      <c r="I896" s="16" t="n">
        <v>11.8639610287508</v>
      </c>
      <c r="J896" s="15" t="n">
        <v>5.44682752457551</v>
      </c>
      <c r="K896" s="15" t="n">
        <v>1924.1535982195</v>
      </c>
      <c r="L896" s="15" t="n">
        <v>84.852979317078</v>
      </c>
      <c r="M896" s="15" t="n">
        <v>-61.3385820206754</v>
      </c>
      <c r="N896" s="17" t="n">
        <v>17.0702650070503</v>
      </c>
      <c r="O896" s="18" t="n">
        <v>0.887157086775512</v>
      </c>
    </row>
    <row r="897" ht="15" customHeight="1" s="12">
      <c r="A897" s="14" t="inlineStr">
        <is>
          <t>Larkana</t>
        </is>
      </c>
      <c r="B897" s="14" t="inlineStr">
        <is>
          <t>Sindh</t>
        </is>
      </c>
      <c r="C897" s="14" t="n">
        <v>2019</v>
      </c>
      <c r="D897" s="15" t="n">
        <v>80.27619409032251</v>
      </c>
      <c r="E897" s="15" t="n">
        <v>1409.08331273837</v>
      </c>
      <c r="F897" s="15" t="n">
        <v>119.035126566887</v>
      </c>
      <c r="G897" s="15" t="n">
        <v>56.5061736106873</v>
      </c>
      <c r="H897" s="15" t="n">
        <v>20.4937119915403</v>
      </c>
      <c r="I897" s="16" t="n">
        <v>25.5290029924461</v>
      </c>
      <c r="J897" s="15" t="n">
        <v>16.1901251117069</v>
      </c>
      <c r="K897" s="15" t="n">
        <v>1924.1535982195</v>
      </c>
      <c r="L897" s="15" t="n">
        <v>84.852979317078</v>
      </c>
      <c r="M897" s="15" t="n">
        <v>-4.5767852267555</v>
      </c>
      <c r="N897" s="17" t="n">
        <v>21.1119204746878</v>
      </c>
      <c r="O897" s="18" t="n">
        <v>1.09720557102217</v>
      </c>
    </row>
    <row r="898" ht="15" customHeight="1" s="12">
      <c r="A898" s="14" t="inlineStr">
        <is>
          <t>Larkana</t>
        </is>
      </c>
      <c r="B898" s="14" t="inlineStr">
        <is>
          <t>Sindh</t>
        </is>
      </c>
      <c r="C898" s="14" t="n">
        <v>2020</v>
      </c>
      <c r="D898" s="15" t="n">
        <v>92.3532261141189</v>
      </c>
      <c r="E898" s="15" t="n">
        <v>1621.07074543842</v>
      </c>
      <c r="F898" s="15" t="n">
        <v>115.667166031373</v>
      </c>
      <c r="G898" s="15" t="n">
        <v>74.3610736399569</v>
      </c>
      <c r="H898" s="15" t="n">
        <v>12.5795955883128</v>
      </c>
      <c r="I898" s="16" t="n">
        <v>13.6211761273705</v>
      </c>
      <c r="J898" s="15" t="n">
        <v>19.1852100089366</v>
      </c>
      <c r="K898" s="15" t="n">
        <v>1924.1535982195</v>
      </c>
      <c r="L898" s="15" t="n">
        <v>84.852979317078</v>
      </c>
      <c r="M898" s="15" t="n">
        <v>7.50024679704093</v>
      </c>
      <c r="N898" s="17" t="n">
        <v>27.9352890508935</v>
      </c>
      <c r="O898" s="18" t="n">
        <v>1.45182219739335</v>
      </c>
    </row>
    <row r="899" ht="15" customHeight="1" s="12">
      <c r="A899" s="14" t="inlineStr">
        <is>
          <t>Larkana</t>
        </is>
      </c>
      <c r="B899" s="14" t="inlineStr">
        <is>
          <t>Sindh</t>
        </is>
      </c>
      <c r="C899" s="14" t="n">
        <v>2021</v>
      </c>
      <c r="D899" s="15" t="n">
        <v>56.8081116995095</v>
      </c>
      <c r="E899" s="15" t="n">
        <v>997.14944300786</v>
      </c>
      <c r="F899" s="15" t="n">
        <v>71.69301578402521</v>
      </c>
      <c r="G899" s="15" t="n">
        <v>49.3159117698669</v>
      </c>
      <c r="H899" s="15" t="n">
        <v>5.07853219839439</v>
      </c>
      <c r="I899" s="16" t="n">
        <v>8.93980110667583</v>
      </c>
      <c r="J899" s="15" t="n">
        <v>10.1771671134942</v>
      </c>
      <c r="K899" s="15" t="n">
        <v>1924.1535982195</v>
      </c>
      <c r="L899" s="15" t="n">
        <v>84.852979317078</v>
      </c>
      <c r="M899" s="15" t="n">
        <v>-28.0448676175685</v>
      </c>
      <c r="N899" s="17" t="n">
        <v>19.3076339873417</v>
      </c>
      <c r="O899" s="18" t="n">
        <v>1.00343517301363</v>
      </c>
    </row>
    <row r="900" ht="15" customHeight="1" s="12">
      <c r="A900" s="14" t="inlineStr">
        <is>
          <t>Larkana</t>
        </is>
      </c>
      <c r="B900" s="14" t="inlineStr">
        <is>
          <t>Sindh</t>
        </is>
      </c>
      <c r="C900" s="14" t="n">
        <v>2022</v>
      </c>
      <c r="D900" s="15" t="n">
        <v>231.067623165404</v>
      </c>
      <c r="E900" s="15" t="n">
        <v>4055.9163972092</v>
      </c>
      <c r="F900" s="15" t="n">
        <v>324.330953193188</v>
      </c>
      <c r="G900" s="15" t="n">
        <v>182.644050778355</v>
      </c>
      <c r="H900" s="15" t="n">
        <v>41.7460793008167</v>
      </c>
      <c r="I900" s="16" t="n">
        <v>18.0666069650675</v>
      </c>
      <c r="J900" s="15" t="n">
        <v>37.1367292225201</v>
      </c>
      <c r="K900" s="15" t="n">
        <v>1924.1535982195</v>
      </c>
      <c r="L900" s="15" t="n">
        <v>84.852979317078</v>
      </c>
      <c r="M900" s="15" t="n">
        <v>146.214643848326</v>
      </c>
      <c r="N900" s="17" t="n">
        <v>48.1140969061162</v>
      </c>
      <c r="O900" s="18" t="n">
        <v>2.50053306298614</v>
      </c>
    </row>
    <row r="901" ht="15" customHeight="1" s="12">
      <c r="A901" s="14" t="inlineStr">
        <is>
          <t>Larkana</t>
        </is>
      </c>
      <c r="B901" s="14" t="inlineStr">
        <is>
          <t>Sindh</t>
        </is>
      </c>
      <c r="C901" s="14" t="n">
        <v>2023</v>
      </c>
      <c r="D901" s="15" t="n">
        <v>72.1588883029964</v>
      </c>
      <c r="E901" s="15" t="n">
        <v>1266.60072174201</v>
      </c>
      <c r="F901" s="15" t="n">
        <v>89.04767340421679</v>
      </c>
      <c r="G901" s="15" t="n">
        <v>60.7988643050194</v>
      </c>
      <c r="H901" s="15" t="n">
        <v>6.70140082206165</v>
      </c>
      <c r="I901" s="16" t="n">
        <v>9.28700674256835</v>
      </c>
      <c r="J901" s="15" t="n">
        <v>13.5201072386059</v>
      </c>
      <c r="K901" s="15" t="n">
        <v>1924.1535982195</v>
      </c>
      <c r="L901" s="15" t="n">
        <v>84.852979317078</v>
      </c>
      <c r="M901" s="15" t="n">
        <v>-12.6940910140815</v>
      </c>
      <c r="N901" s="17" t="n">
        <v>22.3100283765213</v>
      </c>
      <c r="O901" s="18" t="n">
        <v>1.15947232056556</v>
      </c>
    </row>
    <row r="902" ht="15" customHeight="1" s="12">
      <c r="A902" s="14" t="inlineStr">
        <is>
          <t>Larkana</t>
        </is>
      </c>
      <c r="B902" s="14" t="inlineStr">
        <is>
          <t>Sindh</t>
        </is>
      </c>
      <c r="C902" s="14" t="n">
        <v>2024</v>
      </c>
      <c r="D902" s="15" t="n">
        <v>98.9179666910029</v>
      </c>
      <c r="E902" s="15" t="n">
        <v>1736.30125062325</v>
      </c>
      <c r="F902" s="15" t="n">
        <v>123.364537164569</v>
      </c>
      <c r="G902" s="15" t="n">
        <v>81.8107277017552</v>
      </c>
      <c r="H902" s="15" t="n">
        <v>10.6716568609619</v>
      </c>
      <c r="I902" s="16" t="n">
        <v>10.7883908433922</v>
      </c>
      <c r="J902" s="15" t="n">
        <v>22.6724754244862</v>
      </c>
      <c r="K902" s="15" t="n">
        <v>1924.1535982195</v>
      </c>
      <c r="L902" s="15" t="n">
        <v>84.852979317078</v>
      </c>
      <c r="M902" s="15" t="n">
        <v>14.0649873739249</v>
      </c>
      <c r="N902" s="17" t="n">
        <v>35.2388611703807</v>
      </c>
      <c r="O902" s="18" t="n">
        <v>1.83139543553013</v>
      </c>
    </row>
    <row r="903" ht="15" customHeight="1" s="12">
      <c r="A903" s="14" t="inlineStr">
        <is>
          <t>Larkana</t>
        </is>
      </c>
      <c r="B903" s="14" t="inlineStr">
        <is>
          <t>Sindh</t>
        </is>
      </c>
      <c r="C903" s="14" t="n">
        <v>2025</v>
      </c>
      <c r="D903" s="15" t="n">
        <v>72.3583262720652</v>
      </c>
      <c r="E903" s="15" t="n">
        <v>1270.10144468143</v>
      </c>
      <c r="F903" s="15" t="n">
        <v>87.4328617906485</v>
      </c>
      <c r="G903" s="15" t="n">
        <v>62.9888361314925</v>
      </c>
      <c r="H903" s="15" t="n">
        <v>7.61040466309647</v>
      </c>
      <c r="I903" s="16" t="n">
        <v>10.5176626591411</v>
      </c>
      <c r="J903" s="15" t="n">
        <v>14.8903038427167</v>
      </c>
      <c r="K903" s="15" t="n">
        <v>1924.1535982195</v>
      </c>
      <c r="L903" s="15" t="n">
        <v>84.852979317078</v>
      </c>
      <c r="M903" s="15" t="n">
        <v>-12.4946530450128</v>
      </c>
      <c r="N903" s="17" t="n">
        <v>24.396785154162</v>
      </c>
      <c r="O903" s="18" t="n">
        <v>1.26792295462989</v>
      </c>
    </row>
    <row r="904" ht="15" customHeight="1" s="12">
      <c r="A904" s="14" t="inlineStr">
        <is>
          <t>Lasbela</t>
        </is>
      </c>
      <c r="B904" s="14" t="inlineStr">
        <is>
          <t>Balochistan</t>
        </is>
      </c>
      <c r="C904" s="14" t="n">
        <v>2015</v>
      </c>
      <c r="D904" s="15" t="n">
        <v>98.9123012910273</v>
      </c>
      <c r="E904" s="15" t="n">
        <v>12507.9453624724</v>
      </c>
      <c r="F904" s="15" t="n">
        <v>150.290519475937</v>
      </c>
      <c r="G904" s="15" t="n">
        <v>16.51784324646</v>
      </c>
      <c r="H904" s="15" t="n">
        <v>38.9529120202177</v>
      </c>
      <c r="I904" s="16" t="n">
        <v>39.3812614930549</v>
      </c>
      <c r="J904" s="15" t="n">
        <v>11.1772933076971</v>
      </c>
      <c r="K904" s="15" t="n">
        <v>14084.6661612738</v>
      </c>
      <c r="L904" s="15" t="n">
        <v>160.763106474585</v>
      </c>
      <c r="M904" s="15" t="n">
        <v>-61.8508051835578</v>
      </c>
      <c r="N904" s="17" t="n">
        <v>41.4162939301442</v>
      </c>
      <c r="O904" s="18" t="n">
        <v>0.294052364862006</v>
      </c>
    </row>
    <row r="905" ht="15" customHeight="1" s="12">
      <c r="A905" s="14" t="inlineStr">
        <is>
          <t>Lasbela</t>
        </is>
      </c>
      <c r="B905" s="14" t="inlineStr">
        <is>
          <t>Balochistan</t>
        </is>
      </c>
      <c r="C905" s="14" t="n">
        <v>2016</v>
      </c>
      <c r="D905" s="15" t="n">
        <v>136.188785421845</v>
      </c>
      <c r="E905" s="15" t="n">
        <v>17221.7395086777</v>
      </c>
      <c r="F905" s="15" t="n">
        <v>235.677826404572</v>
      </c>
      <c r="G905" s="15" t="n">
        <v>29.5684950351715</v>
      </c>
      <c r="H905" s="15" t="n">
        <v>47.9077885002798</v>
      </c>
      <c r="I905" s="16" t="n">
        <v>35.1774842193396</v>
      </c>
      <c r="J905" s="15" t="n">
        <v>13.9403957079948</v>
      </c>
      <c r="K905" s="15" t="n">
        <v>14084.6661612738</v>
      </c>
      <c r="L905" s="15" t="n">
        <v>160.763106474585</v>
      </c>
      <c r="M905" s="15" t="n">
        <v>-24.5743210527403</v>
      </c>
      <c r="N905" s="17" t="n">
        <v>32.5093769831189</v>
      </c>
      <c r="O905" s="18" t="n">
        <v>0.23081396897077</v>
      </c>
    </row>
    <row r="906" ht="15" customHeight="1" s="12">
      <c r="A906" s="14" t="inlineStr">
        <is>
          <t>Lasbela</t>
        </is>
      </c>
      <c r="B906" s="14" t="inlineStr">
        <is>
          <t>Balochistan</t>
        </is>
      </c>
      <c r="C906" s="14" t="n">
        <v>2017</v>
      </c>
      <c r="D906" s="15" t="n">
        <v>170.396567365351</v>
      </c>
      <c r="E906" s="15" t="n">
        <v>21547.4812206397</v>
      </c>
      <c r="F906" s="15" t="n">
        <v>244.433927297592</v>
      </c>
      <c r="G906" s="15" t="n">
        <v>50.0947334170342</v>
      </c>
      <c r="H906" s="15" t="n">
        <v>54.94408752883</v>
      </c>
      <c r="I906" s="16" t="n">
        <v>32.2448323803514</v>
      </c>
      <c r="J906" s="15" t="n">
        <v>22.0096756186814</v>
      </c>
      <c r="K906" s="15" t="n">
        <v>14084.6661612738</v>
      </c>
      <c r="L906" s="15" t="n">
        <v>160.763106474585</v>
      </c>
      <c r="M906" s="15" t="n">
        <v>9.63346089076623</v>
      </c>
      <c r="N906" s="17" t="n">
        <v>25.4166885955599</v>
      </c>
      <c r="O906" s="18" t="n">
        <v>0.180456450330671</v>
      </c>
    </row>
    <row r="907" ht="15" customHeight="1" s="12">
      <c r="A907" s="14" t="inlineStr">
        <is>
          <t>Lasbela</t>
        </is>
      </c>
      <c r="B907" s="14" t="inlineStr">
        <is>
          <t>Balochistan</t>
        </is>
      </c>
      <c r="C907" s="14" t="n">
        <v>2018</v>
      </c>
      <c r="D907" s="15" t="n">
        <v>30.8602223379649</v>
      </c>
      <c r="E907" s="15" t="n">
        <v>3902.42639023536</v>
      </c>
      <c r="F907" s="15" t="n">
        <v>65.5943596498109</v>
      </c>
      <c r="G907" s="15" t="n">
        <v>11.8348420932889</v>
      </c>
      <c r="H907" s="15" t="n">
        <v>12.3567257490345</v>
      </c>
      <c r="I907" s="16" t="n">
        <v>40.0409485508892</v>
      </c>
      <c r="J907" s="15" t="n">
        <v>6.40439124232463</v>
      </c>
      <c r="K907" s="15" t="n">
        <v>14084.6661612738</v>
      </c>
      <c r="L907" s="15" t="n">
        <v>160.763106474585</v>
      </c>
      <c r="M907" s="15" t="n">
        <v>-129.90288413662</v>
      </c>
      <c r="N907" s="17" t="n">
        <v>22.3689487626603</v>
      </c>
      <c r="O907" s="18" t="n">
        <v>0.15881774197932</v>
      </c>
    </row>
    <row r="908" ht="15" customHeight="1" s="12">
      <c r="A908" s="14" t="inlineStr">
        <is>
          <t>Lasbela</t>
        </is>
      </c>
      <c r="B908" s="14" t="inlineStr">
        <is>
          <t>Balochistan</t>
        </is>
      </c>
      <c r="C908" s="14" t="n">
        <v>2019</v>
      </c>
      <c r="D908" s="15" t="n">
        <v>207.174696025341</v>
      </c>
      <c r="E908" s="15" t="n">
        <v>26198.2558746398</v>
      </c>
      <c r="F908" s="15" t="n">
        <v>346.996836230159</v>
      </c>
      <c r="G908" s="15" t="n">
        <v>72.4797483042457</v>
      </c>
      <c r="H908" s="15" t="n">
        <v>63.1663778710268</v>
      </c>
      <c r="I908" s="16" t="n">
        <v>30.4894270791161</v>
      </c>
      <c r="J908" s="15" t="n">
        <v>20.2107238107052</v>
      </c>
      <c r="K908" s="15" t="n">
        <v>14084.6661612738</v>
      </c>
      <c r="L908" s="15" t="n">
        <v>160.763106474585</v>
      </c>
      <c r="M908" s="15" t="n">
        <v>46.4115895507559</v>
      </c>
      <c r="N908" s="17" t="n">
        <v>88.1109881685274</v>
      </c>
      <c r="O908" s="18" t="n">
        <v>0.625580948526784</v>
      </c>
    </row>
    <row r="909" ht="15" customHeight="1" s="12">
      <c r="A909" s="14" t="inlineStr">
        <is>
          <t>Lasbela</t>
        </is>
      </c>
      <c r="B909" s="14" t="inlineStr">
        <is>
          <t>Balochistan</t>
        </is>
      </c>
      <c r="C909" s="14" t="n">
        <v>2020</v>
      </c>
      <c r="D909" s="15" t="n">
        <v>207.884455910013</v>
      </c>
      <c r="E909" s="15" t="n">
        <v>26288.0084912717</v>
      </c>
      <c r="F909" s="15" t="n">
        <v>372.089606578962</v>
      </c>
      <c r="G909" s="15" t="n">
        <v>79.1252452218382</v>
      </c>
      <c r="H909" s="15" t="n">
        <v>64.5926644441895</v>
      </c>
      <c r="I909" s="16" t="n">
        <v>31.071425788636</v>
      </c>
      <c r="J909" s="15" t="n">
        <v>29.4975500837313</v>
      </c>
      <c r="K909" s="15" t="n">
        <v>14084.6661612738</v>
      </c>
      <c r="L909" s="15" t="n">
        <v>160.763106474585</v>
      </c>
      <c r="M909" s="15" t="n">
        <v>47.1213494354281</v>
      </c>
      <c r="N909" s="17" t="n">
        <v>101.522929399292</v>
      </c>
      <c r="O909" s="18" t="n">
        <v>0.720804655480103</v>
      </c>
    </row>
    <row r="910" ht="15" customHeight="1" s="12">
      <c r="A910" s="14" t="inlineStr">
        <is>
          <t>Lasbela</t>
        </is>
      </c>
      <c r="B910" s="14" t="inlineStr">
        <is>
          <t>Balochistan</t>
        </is>
      </c>
      <c r="C910" s="14" t="n">
        <v>2021</v>
      </c>
      <c r="D910" s="15" t="n">
        <v>114.8394252769</v>
      </c>
      <c r="E910" s="15" t="n">
        <v>14522.0082646232</v>
      </c>
      <c r="F910" s="15" t="n">
        <v>182.104207515717</v>
      </c>
      <c r="G910" s="15" t="n">
        <v>45.8629054427147</v>
      </c>
      <c r="H910" s="15" t="n">
        <v>35.3758319950881</v>
      </c>
      <c r="I910" s="16" t="n">
        <v>30.8046055697251</v>
      </c>
      <c r="J910" s="15" t="n">
        <v>14.7772747007381</v>
      </c>
      <c r="K910" s="15" t="n">
        <v>14084.6661612738</v>
      </c>
      <c r="L910" s="15" t="n">
        <v>160.763106474585</v>
      </c>
      <c r="M910" s="15" t="n">
        <v>-45.9236811976854</v>
      </c>
      <c r="N910" s="17" t="n">
        <v>61.0802250799901</v>
      </c>
      <c r="O910" s="18" t="n">
        <v>0.433664698762489</v>
      </c>
    </row>
    <row r="911" ht="15" customHeight="1" s="12">
      <c r="A911" s="14" t="inlineStr">
        <is>
          <t>Lasbela</t>
        </is>
      </c>
      <c r="B911" s="14" t="inlineStr">
        <is>
          <t>Balochistan</t>
        </is>
      </c>
      <c r="C911" s="14" t="n">
        <v>2022</v>
      </c>
      <c r="D911" s="15" t="n">
        <v>387.846832450274</v>
      </c>
      <c r="E911" s="15" t="n">
        <v>49045.1331733002</v>
      </c>
      <c r="F911" s="15" t="n">
        <v>566.187438053603</v>
      </c>
      <c r="G911" s="15" t="n">
        <v>205.355958625587</v>
      </c>
      <c r="H911" s="15" t="n">
        <v>91.21224163202869</v>
      </c>
      <c r="I911" s="16" t="n">
        <v>23.5175935447979</v>
      </c>
      <c r="J911" s="15" t="n">
        <v>37.1356757427278</v>
      </c>
      <c r="K911" s="15" t="n">
        <v>14084.6661612738</v>
      </c>
      <c r="L911" s="15" t="n">
        <v>160.763106474585</v>
      </c>
      <c r="M911" s="15" t="n">
        <v>227.083725975689</v>
      </c>
      <c r="N911" s="17" t="n">
        <v>130.870458778683</v>
      </c>
      <c r="O911" s="18" t="n">
        <v>0.929169760079336</v>
      </c>
    </row>
    <row r="912" ht="15" customHeight="1" s="12">
      <c r="A912" s="14" t="inlineStr">
        <is>
          <t>Lasbela</t>
        </is>
      </c>
      <c r="B912" s="14" t="inlineStr">
        <is>
          <t>Balochistan</t>
        </is>
      </c>
      <c r="C912" s="14" t="n">
        <v>2023</v>
      </c>
      <c r="D912" s="15" t="n">
        <v>98.8182774406163</v>
      </c>
      <c r="E912" s="15" t="n">
        <v>12496.0555856867</v>
      </c>
      <c r="F912" s="15" t="n">
        <v>162.664080858231</v>
      </c>
      <c r="G912" s="15" t="n">
        <v>35.3610001802445</v>
      </c>
      <c r="H912" s="15" t="n">
        <v>31.4881783746181</v>
      </c>
      <c r="I912" s="16" t="n">
        <v>31.8647310904003</v>
      </c>
      <c r="J912" s="15" t="n">
        <v>15.332909508156</v>
      </c>
      <c r="K912" s="15" t="n">
        <v>14084.6661612738</v>
      </c>
      <c r="L912" s="15" t="n">
        <v>160.763106474585</v>
      </c>
      <c r="M912" s="15" t="n">
        <v>-61.9448290339688</v>
      </c>
      <c r="N912" s="17" t="n">
        <v>33.5814639225756</v>
      </c>
      <c r="O912" s="18" t="n">
        <v>0.238425700247755</v>
      </c>
    </row>
    <row r="913" ht="15" customHeight="1" s="12">
      <c r="A913" s="14" t="inlineStr">
        <is>
          <t>Lasbela</t>
        </is>
      </c>
      <c r="B913" s="14" t="inlineStr">
        <is>
          <t>Balochistan</t>
        </is>
      </c>
      <c r="C913" s="14" t="n">
        <v>2024</v>
      </c>
      <c r="D913" s="15" t="n">
        <v>169.822011165965</v>
      </c>
      <c r="E913" s="15" t="n">
        <v>21474.8257727753</v>
      </c>
      <c r="F913" s="15" t="n">
        <v>249.654438447062</v>
      </c>
      <c r="G913" s="15" t="n">
        <v>67.22120987113161</v>
      </c>
      <c r="H913" s="15" t="n">
        <v>48.8596675545253</v>
      </c>
      <c r="I913" s="16" t="n">
        <v>28.7711040630507</v>
      </c>
      <c r="J913" s="15" t="n">
        <v>28.6229609874093</v>
      </c>
      <c r="K913" s="15" t="n">
        <v>14084.6661612738</v>
      </c>
      <c r="L913" s="15" t="n">
        <v>160.763106474585</v>
      </c>
      <c r="M913" s="15" t="n">
        <v>9.0589046913797</v>
      </c>
      <c r="N913" s="17" t="n">
        <v>25.8382816938636</v>
      </c>
      <c r="O913" s="18" t="n">
        <v>0.183449727512227</v>
      </c>
    </row>
    <row r="914" ht="15" customHeight="1" s="12">
      <c r="A914" s="14" t="inlineStr">
        <is>
          <t>Lasbela</t>
        </is>
      </c>
      <c r="B914" s="14" t="inlineStr">
        <is>
          <t>Balochistan</t>
        </is>
      </c>
      <c r="C914" s="14" t="n">
        <v>2025</v>
      </c>
      <c r="D914" s="15" t="n">
        <v>145.650596535139</v>
      </c>
      <c r="E914" s="15" t="n">
        <v>18418.2319053807</v>
      </c>
      <c r="F914" s="15" t="n">
        <v>201.595514816436</v>
      </c>
      <c r="G914" s="15" t="n">
        <v>52.8303110316483</v>
      </c>
      <c r="H914" s="15" t="n">
        <v>38.9892323633142</v>
      </c>
      <c r="I914" s="16" t="n">
        <v>26.7690165991925</v>
      </c>
      <c r="J914" s="15" t="n">
        <v>19.0960429200521</v>
      </c>
      <c r="K914" s="15" t="n">
        <v>14084.6661612738</v>
      </c>
      <c r="L914" s="15" t="n">
        <v>160.763106474585</v>
      </c>
      <c r="M914" s="15" t="n">
        <v>-15.1125099394464</v>
      </c>
      <c r="N914" s="17" t="n">
        <v>90.3380488524917</v>
      </c>
      <c r="O914" s="18" t="n">
        <v>0.641392900748184</v>
      </c>
    </row>
    <row r="915" ht="15" customHeight="1" s="12">
      <c r="A915" s="14" t="inlineStr">
        <is>
          <t>Lehri</t>
        </is>
      </c>
      <c r="B915" s="14" t="inlineStr">
        <is>
          <t>Balochistan</t>
        </is>
      </c>
      <c r="C915" s="14" t="n">
        <v>2015</v>
      </c>
      <c r="D915" s="15" t="n">
        <v>59.332154134433</v>
      </c>
      <c r="E915" s="15" t="n">
        <v>1805.09353637228</v>
      </c>
      <c r="F915" s="15" t="n">
        <v>124.764927625656</v>
      </c>
      <c r="G915" s="15" t="n">
        <v>42.2747296094894</v>
      </c>
      <c r="H915" s="15" t="n">
        <v>20.3895594581601</v>
      </c>
      <c r="I915" s="16" t="n">
        <v>34.3651090300245</v>
      </c>
      <c r="J915" s="15" t="n">
        <v>10.6328950760505</v>
      </c>
      <c r="K915" s="15" t="n">
        <v>3289.66092791926</v>
      </c>
      <c r="L915" s="15" t="n">
        <v>93.2156164754024</v>
      </c>
      <c r="M915" s="15" t="n">
        <v>-33.8834623409695</v>
      </c>
      <c r="N915" s="17" t="n">
        <v>8.20970287997857</v>
      </c>
      <c r="O915" s="18" t="n">
        <v>0.249560762031827</v>
      </c>
    </row>
    <row r="916" ht="15" customHeight="1" s="12">
      <c r="A916" s="14" t="inlineStr">
        <is>
          <t>Lehri</t>
        </is>
      </c>
      <c r="B916" s="14" t="inlineStr">
        <is>
          <t>Balochistan</t>
        </is>
      </c>
      <c r="C916" s="14" t="n">
        <v>2016</v>
      </c>
      <c r="D916" s="15" t="n">
        <v>67.7247639561735</v>
      </c>
      <c r="E916" s="15" t="n">
        <v>2060.42634812547</v>
      </c>
      <c r="F916" s="15" t="n">
        <v>207.196770548821</v>
      </c>
      <c r="G916" s="15" t="n">
        <v>41.9287223815918</v>
      </c>
      <c r="H916" s="15" t="n">
        <v>30.4694916255073</v>
      </c>
      <c r="I916" s="16" t="n">
        <v>44.9901776626714</v>
      </c>
      <c r="J916" s="15" t="n">
        <v>12.9984532095901</v>
      </c>
      <c r="K916" s="15" t="n">
        <v>3289.66092791926</v>
      </c>
      <c r="L916" s="15" t="n">
        <v>93.2156164754024</v>
      </c>
      <c r="M916" s="15" t="n">
        <v>-25.4908525192289</v>
      </c>
      <c r="N916" s="17" t="n">
        <v>25.026803069793</v>
      </c>
      <c r="O916" s="18" t="n">
        <v>0.760771508619361</v>
      </c>
    </row>
    <row r="917" ht="15" customHeight="1" s="12">
      <c r="A917" s="14" t="inlineStr">
        <is>
          <t>Lehri</t>
        </is>
      </c>
      <c r="B917" s="14" t="inlineStr">
        <is>
          <t>Balochistan</t>
        </is>
      </c>
      <c r="C917" s="14" t="n">
        <v>2017</v>
      </c>
      <c r="D917" s="15" t="n">
        <v>59.0475821514456</v>
      </c>
      <c r="E917" s="15" t="n">
        <v>1796.4358522781</v>
      </c>
      <c r="F917" s="15" t="n">
        <v>108.667580485344</v>
      </c>
      <c r="G917" s="15" t="n">
        <v>46.413891017437</v>
      </c>
      <c r="H917" s="15" t="n">
        <v>14.7627590345688</v>
      </c>
      <c r="I917" s="16" t="n">
        <v>25.0014623743698</v>
      </c>
      <c r="J917" s="15" t="n">
        <v>12.0680587780356</v>
      </c>
      <c r="K917" s="15" t="n">
        <v>3289.66092791926</v>
      </c>
      <c r="L917" s="15" t="n">
        <v>93.2156164754024</v>
      </c>
      <c r="M917" s="15" t="n">
        <v>-34.1680343239569</v>
      </c>
      <c r="N917" s="17" t="n">
        <v>6.8859479992654</v>
      </c>
      <c r="O917" s="18" t="n">
        <v>0.209320904194854</v>
      </c>
    </row>
    <row r="918" ht="15" customHeight="1" s="12">
      <c r="A918" s="14" t="inlineStr">
        <is>
          <t>Lehri</t>
        </is>
      </c>
      <c r="B918" s="14" t="inlineStr">
        <is>
          <t>Balochistan</t>
        </is>
      </c>
      <c r="C918" s="14" t="n">
        <v>2018</v>
      </c>
      <c r="D918" s="15" t="n">
        <v>29.9840327018421</v>
      </c>
      <c r="E918" s="15" t="n">
        <v>912.220100787807</v>
      </c>
      <c r="F918" s="15" t="n">
        <v>63.7793519962579</v>
      </c>
      <c r="G918" s="15" t="n">
        <v>17.1102055292577</v>
      </c>
      <c r="H918" s="15" t="n">
        <v>10.9675335941103</v>
      </c>
      <c r="I918" s="16" t="n">
        <v>36.5779136621491</v>
      </c>
      <c r="J918" s="15" t="n">
        <v>7.61007991750451</v>
      </c>
      <c r="K918" s="15" t="n">
        <v>3289.66092791926</v>
      </c>
      <c r="L918" s="15" t="n">
        <v>93.2156164754024</v>
      </c>
      <c r="M918" s="15" t="n">
        <v>-63.2315837735604</v>
      </c>
      <c r="N918" s="17" t="n">
        <v>6.89244092622549</v>
      </c>
      <c r="O918" s="18" t="n">
        <v>0.209518277939515</v>
      </c>
    </row>
    <row r="919" ht="15" customHeight="1" s="12">
      <c r="A919" s="14" t="inlineStr">
        <is>
          <t>Lehri</t>
        </is>
      </c>
      <c r="B919" s="14" t="inlineStr">
        <is>
          <t>Balochistan</t>
        </is>
      </c>
      <c r="C919" s="14" t="n">
        <v>2019</v>
      </c>
      <c r="D919" s="15" t="n">
        <v>68.84773769825659</v>
      </c>
      <c r="E919" s="15" t="n">
        <v>2094.59117279637</v>
      </c>
      <c r="F919" s="15" t="n">
        <v>131.362970769405</v>
      </c>
      <c r="G919" s="15" t="n">
        <v>51.0358938425779</v>
      </c>
      <c r="H919" s="15" t="n">
        <v>18.4708988214924</v>
      </c>
      <c r="I919" s="16" t="n">
        <v>26.8286213011762</v>
      </c>
      <c r="J919" s="15" t="n">
        <v>13.3191544212426</v>
      </c>
      <c r="K919" s="15" t="n">
        <v>3289.66092791926</v>
      </c>
      <c r="L919" s="15" t="n">
        <v>93.2156164754024</v>
      </c>
      <c r="M919" s="15" t="n">
        <v>-24.3678787771459</v>
      </c>
      <c r="N919" s="17" t="n">
        <v>8.589545375393531</v>
      </c>
      <c r="O919" s="18" t="n">
        <v>0.261107316638451</v>
      </c>
    </row>
    <row r="920" ht="15" customHeight="1" s="12">
      <c r="A920" s="14" t="inlineStr">
        <is>
          <t>Lehri</t>
        </is>
      </c>
      <c r="B920" s="14" t="inlineStr">
        <is>
          <t>Balochistan</t>
        </is>
      </c>
      <c r="C920" s="14" t="n">
        <v>2020</v>
      </c>
      <c r="D920" s="15" t="n">
        <v>113.231172398006</v>
      </c>
      <c r="E920" s="15" t="n">
        <v>3444.89190377932</v>
      </c>
      <c r="F920" s="15" t="n">
        <v>218.330228347471</v>
      </c>
      <c r="G920" s="15" t="n">
        <v>79.7974194841718</v>
      </c>
      <c r="H920" s="15" t="n">
        <v>32.5005825544352</v>
      </c>
      <c r="I920" s="16" t="n">
        <v>28.7028579375618</v>
      </c>
      <c r="J920" s="15" t="n">
        <v>18.8236658932715</v>
      </c>
      <c r="K920" s="15" t="n">
        <v>3289.66092791926</v>
      </c>
      <c r="L920" s="15" t="n">
        <v>93.2156164754024</v>
      </c>
      <c r="M920" s="15" t="n">
        <v>20.0155559226031</v>
      </c>
      <c r="N920" s="17" t="n">
        <v>20.9797620260568</v>
      </c>
      <c r="O920" s="18" t="n">
        <v>0.637748463618305</v>
      </c>
    </row>
    <row r="921" ht="15" customHeight="1" s="12">
      <c r="A921" s="14" t="inlineStr">
        <is>
          <t>Lehri</t>
        </is>
      </c>
      <c r="B921" s="14" t="inlineStr">
        <is>
          <t>Balochistan</t>
        </is>
      </c>
      <c r="C921" s="14" t="n">
        <v>2021</v>
      </c>
      <c r="D921" s="15" t="n">
        <v>72.5229493324928</v>
      </c>
      <c r="E921" s="15" t="n">
        <v>2206.40408204502</v>
      </c>
      <c r="F921" s="15" t="n">
        <v>144.449416279793</v>
      </c>
      <c r="G921" s="15" t="n">
        <v>52.6993717551231</v>
      </c>
      <c r="H921" s="15" t="n">
        <v>21.9888084165431</v>
      </c>
      <c r="I921" s="16" t="n">
        <v>30.3197934156427</v>
      </c>
      <c r="J921" s="15" t="n">
        <v>16.7302139726734</v>
      </c>
      <c r="K921" s="15" t="n">
        <v>3289.66092791926</v>
      </c>
      <c r="L921" s="15" t="n">
        <v>93.2156164754024</v>
      </c>
      <c r="M921" s="15" t="n">
        <v>-20.6926671429096</v>
      </c>
      <c r="N921" s="17" t="n">
        <v>13.2429776472115</v>
      </c>
      <c r="O921" s="18" t="n">
        <v>0.402563605714459</v>
      </c>
    </row>
    <row r="922" ht="15" customHeight="1" s="12">
      <c r="A922" s="14" t="inlineStr">
        <is>
          <t>Lehri</t>
        </is>
      </c>
      <c r="B922" s="14" t="inlineStr">
        <is>
          <t>Balochistan</t>
        </is>
      </c>
      <c r="C922" s="14" t="n">
        <v>2022</v>
      </c>
      <c r="D922" s="15" t="n">
        <v>232.302820500039</v>
      </c>
      <c r="E922" s="15" t="n">
        <v>7067.47169191883</v>
      </c>
      <c r="F922" s="15" t="n">
        <v>405.929232529236</v>
      </c>
      <c r="G922" s="15" t="n">
        <v>183.989885198535</v>
      </c>
      <c r="H922" s="15" t="n">
        <v>54.2917597986836</v>
      </c>
      <c r="I922" s="16" t="n">
        <v>23.3711152029144</v>
      </c>
      <c r="J922" s="15" t="n">
        <v>39.7092034029389</v>
      </c>
      <c r="K922" s="15" t="n">
        <v>3289.66092791926</v>
      </c>
      <c r="L922" s="15" t="n">
        <v>93.2156164754024</v>
      </c>
      <c r="M922" s="15" t="n">
        <v>139.087204024636</v>
      </c>
      <c r="N922" s="17" t="n">
        <v>34.1051675065662</v>
      </c>
      <c r="O922" s="18" t="n">
        <v>1.03673807890402</v>
      </c>
    </row>
    <row r="923" ht="15" customHeight="1" s="12">
      <c r="A923" s="14" t="inlineStr">
        <is>
          <t>Lehri</t>
        </is>
      </c>
      <c r="B923" s="14" t="inlineStr">
        <is>
          <t>Balochistan</t>
        </is>
      </c>
      <c r="C923" s="14" t="n">
        <v>2023</v>
      </c>
      <c r="D923" s="15" t="n">
        <v>78.722683003385</v>
      </c>
      <c r="E923" s="15" t="n">
        <v>2395.02186172651</v>
      </c>
      <c r="F923" s="15" t="n">
        <v>133.869269013405</v>
      </c>
      <c r="G923" s="15" t="n">
        <v>64.75949335098269</v>
      </c>
      <c r="H923" s="15" t="n">
        <v>14.5302795711672</v>
      </c>
      <c r="I923" s="16" t="n">
        <v>18.4575512632648</v>
      </c>
      <c r="J923" s="15" t="n">
        <v>15.4394173756123</v>
      </c>
      <c r="K923" s="15" t="n">
        <v>3289.66092791926</v>
      </c>
      <c r="L923" s="15" t="n">
        <v>93.2156164754024</v>
      </c>
      <c r="M923" s="15" t="n">
        <v>-14.4929334720175</v>
      </c>
      <c r="N923" s="17" t="n">
        <v>13.0319285970275</v>
      </c>
      <c r="O923" s="18" t="n">
        <v>0.396148079773993</v>
      </c>
    </row>
    <row r="924" ht="15" customHeight="1" s="12">
      <c r="A924" s="14" t="inlineStr">
        <is>
          <t>Lehri</t>
        </is>
      </c>
      <c r="B924" s="14" t="inlineStr">
        <is>
          <t>Balochistan</t>
        </is>
      </c>
      <c r="C924" s="14" t="n">
        <v>2024</v>
      </c>
      <c r="D924" s="15" t="n">
        <v>146.953029932275</v>
      </c>
      <c r="E924" s="15" t="n">
        <v>4470.82982829251</v>
      </c>
      <c r="F924" s="15" t="n">
        <v>293.933708158496</v>
      </c>
      <c r="G924" s="15" t="n">
        <v>114.807908458635</v>
      </c>
      <c r="H924" s="15" t="n">
        <v>39.5027376235275</v>
      </c>
      <c r="I924" s="16" t="n">
        <v>26.8811998240069</v>
      </c>
      <c r="J924" s="15" t="n">
        <v>30.5039958752256</v>
      </c>
      <c r="K924" s="15" t="n">
        <v>3289.66092791926</v>
      </c>
      <c r="L924" s="15" t="n">
        <v>93.2156164754024</v>
      </c>
      <c r="M924" s="15" t="n">
        <v>53.7374134568726</v>
      </c>
      <c r="N924" s="17" t="n">
        <v>21.1725126728858</v>
      </c>
      <c r="O924" s="18" t="n">
        <v>0.6436077497591109</v>
      </c>
    </row>
    <row r="925" ht="15" customHeight="1" s="12">
      <c r="A925" s="14" t="inlineStr">
        <is>
          <t>Lehri</t>
        </is>
      </c>
      <c r="B925" s="14" t="inlineStr">
        <is>
          <t>Balochistan</t>
        </is>
      </c>
      <c r="C925" s="14" t="n">
        <v>2025</v>
      </c>
      <c r="D925" s="15" t="n">
        <v>96.70285542107899</v>
      </c>
      <c r="E925" s="15" t="n">
        <v>2942.04216610483</v>
      </c>
      <c r="F925" s="15" t="n">
        <v>159.092233896256</v>
      </c>
      <c r="G925" s="15" t="n">
        <v>79.4181893467903</v>
      </c>
      <c r="H925" s="15" t="n">
        <v>17.9178594126237</v>
      </c>
      <c r="I925" s="16" t="n">
        <v>18.5287800805911</v>
      </c>
      <c r="J925" s="15" t="n">
        <v>17.6339262696571</v>
      </c>
      <c r="K925" s="15" t="n">
        <v>3289.66092791926</v>
      </c>
      <c r="L925" s="15" t="n">
        <v>93.2156164754024</v>
      </c>
      <c r="M925" s="15" t="n">
        <v>3.48723894567661</v>
      </c>
      <c r="N925" s="17" t="n">
        <v>13.392346053331</v>
      </c>
      <c r="O925" s="18" t="n">
        <v>0.407104146803416</v>
      </c>
    </row>
    <row r="926" ht="15" customHeight="1" s="12">
      <c r="A926" s="14" t="inlineStr">
        <is>
          <t>Leiah</t>
        </is>
      </c>
      <c r="B926" s="14" t="inlineStr">
        <is>
          <t>Punjab</t>
        </is>
      </c>
      <c r="C926" s="14" t="n">
        <v>2015</v>
      </c>
      <c r="D926" s="15" t="n">
        <v>259.70699172232</v>
      </c>
      <c r="E926" s="15" t="n">
        <v>15707.6899346405</v>
      </c>
      <c r="F926" s="15" t="n">
        <v>339.008707225323</v>
      </c>
      <c r="G926" s="15" t="n">
        <v>189.21761572361</v>
      </c>
      <c r="H926" s="15" t="n">
        <v>35.7841350915135</v>
      </c>
      <c r="I926" s="16" t="n">
        <v>13.7786568063497</v>
      </c>
      <c r="J926" s="15" t="n">
        <v>22.2092329637554</v>
      </c>
      <c r="K926" s="15" t="n">
        <v>6418.68928360315</v>
      </c>
      <c r="L926" s="15" t="n">
        <v>205.590218885711</v>
      </c>
      <c r="M926" s="15" t="n">
        <v>54.1167728366085</v>
      </c>
      <c r="N926" s="17" t="n">
        <v>109.427967067761</v>
      </c>
      <c r="O926" s="18" t="n">
        <v>1.70483352960082</v>
      </c>
    </row>
    <row r="927" ht="15" customHeight="1" s="12">
      <c r="A927" s="14" t="inlineStr">
        <is>
          <t>Leiah</t>
        </is>
      </c>
      <c r="B927" s="14" t="inlineStr">
        <is>
          <t>Punjab</t>
        </is>
      </c>
      <c r="C927" s="14" t="n">
        <v>2016</v>
      </c>
      <c r="D927" s="15" t="n">
        <v>198.923820380962</v>
      </c>
      <c r="E927" s="15" t="n">
        <v>12031.3807126886</v>
      </c>
      <c r="F927" s="15" t="n">
        <v>254.251197099686</v>
      </c>
      <c r="G927" s="15" t="n">
        <v>123.073385238648</v>
      </c>
      <c r="H927" s="15" t="n">
        <v>33.0772277824503</v>
      </c>
      <c r="I927" s="16" t="n">
        <v>16.628087937937</v>
      </c>
      <c r="J927" s="15" t="n">
        <v>22.5650651624198</v>
      </c>
      <c r="K927" s="15" t="n">
        <v>6418.68928360315</v>
      </c>
      <c r="L927" s="15" t="n">
        <v>205.590218885711</v>
      </c>
      <c r="M927" s="15" t="n">
        <v>-6.66639850474894</v>
      </c>
      <c r="N927" s="17" t="n">
        <v>47.7159150602268</v>
      </c>
      <c r="O927" s="18" t="n">
        <v>0.7433903239734539</v>
      </c>
    </row>
    <row r="928" ht="15" customHeight="1" s="12">
      <c r="A928" s="14" t="inlineStr">
        <is>
          <t>Leiah</t>
        </is>
      </c>
      <c r="B928" s="14" t="inlineStr">
        <is>
          <t>Punjab</t>
        </is>
      </c>
      <c r="C928" s="14" t="n">
        <v>2017</v>
      </c>
      <c r="D928" s="15" t="n">
        <v>177.431999949955</v>
      </c>
      <c r="E928" s="15" t="n">
        <v>10731.504844032</v>
      </c>
      <c r="F928" s="15" t="n">
        <v>234.421634197235</v>
      </c>
      <c r="G928" s="15" t="n">
        <v>134.858832985163</v>
      </c>
      <c r="H928" s="15" t="n">
        <v>24.5463118484539</v>
      </c>
      <c r="I928" s="16" t="n">
        <v>13.8342079531185</v>
      </c>
      <c r="J928" s="15" t="n">
        <v>21.5435388705181</v>
      </c>
      <c r="K928" s="15" t="n">
        <v>6418.68928360315</v>
      </c>
      <c r="L928" s="15" t="n">
        <v>205.590218885711</v>
      </c>
      <c r="M928" s="15" t="n">
        <v>-28.1582189357566</v>
      </c>
      <c r="N928" s="17" t="n">
        <v>51.7055681779402</v>
      </c>
      <c r="O928" s="18" t="n">
        <v>0.80554714355818</v>
      </c>
    </row>
    <row r="929" ht="15" customHeight="1" s="12">
      <c r="A929" s="14" t="inlineStr">
        <is>
          <t>Leiah</t>
        </is>
      </c>
      <c r="B929" s="14" t="inlineStr">
        <is>
          <t>Punjab</t>
        </is>
      </c>
      <c r="C929" s="14" t="n">
        <v>2018</v>
      </c>
      <c r="D929" s="15" t="n">
        <v>119.133587678885</v>
      </c>
      <c r="E929" s="15" t="n">
        <v>7205.47969714289</v>
      </c>
      <c r="F929" s="15" t="n">
        <v>151.68272587657</v>
      </c>
      <c r="G929" s="15" t="n">
        <v>86.5460100024939</v>
      </c>
      <c r="H929" s="15" t="n">
        <v>17.0042503113752</v>
      </c>
      <c r="I929" s="16" t="n">
        <v>14.2732630173187</v>
      </c>
      <c r="J929" s="15" t="n">
        <v>18.1266938987227</v>
      </c>
      <c r="K929" s="15" t="n">
        <v>6418.68928360315</v>
      </c>
      <c r="L929" s="15" t="n">
        <v>205.590218885711</v>
      </c>
      <c r="M929" s="15" t="n">
        <v>-86.4566312068266</v>
      </c>
      <c r="N929" s="17" t="n">
        <v>52.7093230836078</v>
      </c>
      <c r="O929" s="18" t="n">
        <v>0.8211851478502979</v>
      </c>
    </row>
    <row r="930" ht="15" customHeight="1" s="12">
      <c r="A930" s="14" t="inlineStr">
        <is>
          <t>Leiah</t>
        </is>
      </c>
      <c r="B930" s="14" t="inlineStr">
        <is>
          <t>Punjab</t>
        </is>
      </c>
      <c r="C930" s="14" t="n">
        <v>2019</v>
      </c>
      <c r="D930" s="15" t="n">
        <v>201.48828214366</v>
      </c>
      <c r="E930" s="15" t="n">
        <v>12186.4853941242</v>
      </c>
      <c r="F930" s="15" t="n">
        <v>262.704068028077</v>
      </c>
      <c r="G930" s="15" t="n">
        <v>123.728978097439</v>
      </c>
      <c r="H930" s="15" t="n">
        <v>30.3018326568341</v>
      </c>
      <c r="I930" s="16" t="n">
        <v>15.0390049160423</v>
      </c>
      <c r="J930" s="15" t="n">
        <v>21.7253452635674</v>
      </c>
      <c r="K930" s="15" t="n">
        <v>6418.68928360315</v>
      </c>
      <c r="L930" s="15" t="n">
        <v>205.590218885711</v>
      </c>
      <c r="M930" s="15" t="n">
        <v>-4.10193674205152</v>
      </c>
      <c r="N930" s="17" t="n">
        <v>65.6904707648459</v>
      </c>
      <c r="O930" s="18" t="n">
        <v>1.02342499944117</v>
      </c>
    </row>
    <row r="931" ht="15" customHeight="1" s="12">
      <c r="A931" s="14" t="inlineStr">
        <is>
          <t>Leiah</t>
        </is>
      </c>
      <c r="B931" s="14" t="inlineStr">
        <is>
          <t>Punjab</t>
        </is>
      </c>
      <c r="C931" s="14" t="n">
        <v>2020</v>
      </c>
      <c r="D931" s="15" t="n">
        <v>192.193290410809</v>
      </c>
      <c r="E931" s="15" t="n">
        <v>11624.3024235526</v>
      </c>
      <c r="F931" s="15" t="n">
        <v>246.210972697532</v>
      </c>
      <c r="G931" s="15" t="n">
        <v>141.06459908859</v>
      </c>
      <c r="H931" s="15" t="n">
        <v>27.1974518275661</v>
      </c>
      <c r="I931" s="16" t="n">
        <v>14.1510932922956</v>
      </c>
      <c r="J931" s="15" t="n">
        <v>25.4217078389418</v>
      </c>
      <c r="K931" s="15" t="n">
        <v>6418.68928360315</v>
      </c>
      <c r="L931" s="15" t="n">
        <v>205.590218885711</v>
      </c>
      <c r="M931" s="15" t="n">
        <v>-13.3969284749025</v>
      </c>
      <c r="N931" s="17" t="n">
        <v>66.2418617048761</v>
      </c>
      <c r="O931" s="18" t="n">
        <v>1.03201539719479</v>
      </c>
    </row>
    <row r="932" ht="15" customHeight="1" s="12">
      <c r="A932" s="14" t="inlineStr">
        <is>
          <t>Leiah</t>
        </is>
      </c>
      <c r="B932" s="14" t="inlineStr">
        <is>
          <t>Punjab</t>
        </is>
      </c>
      <c r="C932" s="14" t="n">
        <v>2021</v>
      </c>
      <c r="D932" s="15" t="n">
        <v>167.668796745782</v>
      </c>
      <c r="E932" s="15" t="n">
        <v>10141.0033420008</v>
      </c>
      <c r="F932" s="15" t="n">
        <v>197.761822223663</v>
      </c>
      <c r="G932" s="15" t="n">
        <v>116.210468173027</v>
      </c>
      <c r="H932" s="15" t="n">
        <v>19.447225577677</v>
      </c>
      <c r="I932" s="16" t="n">
        <v>11.5985955378225</v>
      </c>
      <c r="J932" s="15" t="n">
        <v>17.4490047331907</v>
      </c>
      <c r="K932" s="15" t="n">
        <v>6418.68928360315</v>
      </c>
      <c r="L932" s="15" t="n">
        <v>205.590218885711</v>
      </c>
      <c r="M932" s="15" t="n">
        <v>-37.9214221399293</v>
      </c>
      <c r="N932" s="17" t="n">
        <v>55.5015328594056</v>
      </c>
      <c r="O932" s="18" t="n">
        <v>0.864686393235873</v>
      </c>
    </row>
    <row r="933" ht="15" customHeight="1" s="12">
      <c r="A933" s="14" t="inlineStr">
        <is>
          <t>Leiah</t>
        </is>
      </c>
      <c r="B933" s="14" t="inlineStr">
        <is>
          <t>Punjab</t>
        </is>
      </c>
      <c r="C933" s="14" t="n">
        <v>2022</v>
      </c>
      <c r="D933" s="15" t="n">
        <v>305.508659626092</v>
      </c>
      <c r="E933" s="15" t="n">
        <v>18477.8825780911</v>
      </c>
      <c r="F933" s="15" t="n">
        <v>379.288640016945</v>
      </c>
      <c r="G933" s="15" t="n">
        <v>194.449124828266</v>
      </c>
      <c r="H933" s="15" t="n">
        <v>45.3393986223355</v>
      </c>
      <c r="I933" s="16" t="n">
        <v>14.8406263435628</v>
      </c>
      <c r="J933" s="15" t="n">
        <v>28.0335862024249</v>
      </c>
      <c r="K933" s="15" t="n">
        <v>6418.68928360315</v>
      </c>
      <c r="L933" s="15" t="n">
        <v>205.590218885711</v>
      </c>
      <c r="M933" s="15" t="n">
        <v>99.918440740381</v>
      </c>
      <c r="N933" s="17" t="n">
        <v>54.3501342343911</v>
      </c>
      <c r="O933" s="18" t="n">
        <v>0.846748172921084</v>
      </c>
    </row>
    <row r="934" ht="15" customHeight="1" s="12">
      <c r="A934" s="14" t="inlineStr">
        <is>
          <t>Leiah</t>
        </is>
      </c>
      <c r="B934" s="14" t="inlineStr">
        <is>
          <t>Punjab</t>
        </is>
      </c>
      <c r="C934" s="14" t="n">
        <v>2023</v>
      </c>
      <c r="D934" s="15" t="n">
        <v>163.753652395006</v>
      </c>
      <c r="E934" s="15" t="n">
        <v>9904.2061995615</v>
      </c>
      <c r="F934" s="15" t="n">
        <v>205.250949621201</v>
      </c>
      <c r="G934" s="15" t="n">
        <v>124.336750805378</v>
      </c>
      <c r="H934" s="15" t="n">
        <v>17.3475496419976</v>
      </c>
      <c r="I934" s="16" t="n">
        <v>10.5936871564562</v>
      </c>
      <c r="J934" s="15" t="n">
        <v>18.9966932503404</v>
      </c>
      <c r="K934" s="15" t="n">
        <v>6418.68928360315</v>
      </c>
      <c r="L934" s="15" t="n">
        <v>205.590218885711</v>
      </c>
      <c r="M934" s="15" t="n">
        <v>-41.8365664907049</v>
      </c>
      <c r="N934" s="17" t="n">
        <v>36.7849271774099</v>
      </c>
      <c r="O934" s="18" t="n">
        <v>0.573090946642</v>
      </c>
    </row>
    <row r="935" ht="15" customHeight="1" s="12">
      <c r="A935" s="14" t="inlineStr">
        <is>
          <t>Leiah</t>
        </is>
      </c>
      <c r="B935" s="14" t="inlineStr">
        <is>
          <t>Punjab</t>
        </is>
      </c>
      <c r="C935" s="14" t="n">
        <v>2024</v>
      </c>
      <c r="D935" s="15" t="n">
        <v>268.118329509052</v>
      </c>
      <c r="E935" s="15" t="n">
        <v>16216.4274353651</v>
      </c>
      <c r="F935" s="15" t="n">
        <v>338.442441401266</v>
      </c>
      <c r="G935" s="15" t="n">
        <v>205.894216448069</v>
      </c>
      <c r="H935" s="15" t="n">
        <v>33.8688747429143</v>
      </c>
      <c r="I935" s="16" t="n">
        <v>12.6320624199513</v>
      </c>
      <c r="J935" s="15" t="n">
        <v>30.5720676911107</v>
      </c>
      <c r="K935" s="15" t="n">
        <v>6418.68928360315</v>
      </c>
      <c r="L935" s="15" t="n">
        <v>205.590218885711</v>
      </c>
      <c r="M935" s="15" t="n">
        <v>62.5281106233409</v>
      </c>
      <c r="N935" s="17" t="n">
        <v>44.676796090535</v>
      </c>
      <c r="O935" s="18" t="n">
        <v>0.696042355635815</v>
      </c>
    </row>
    <row r="936" ht="15" customHeight="1" s="12">
      <c r="A936" s="14" t="inlineStr">
        <is>
          <t>Leiah</t>
        </is>
      </c>
      <c r="B936" s="14" t="inlineStr">
        <is>
          <t>Punjab</t>
        </is>
      </c>
      <c r="C936" s="14" t="n">
        <v>2025</v>
      </c>
      <c r="D936" s="15" t="n">
        <v>207.564997180301</v>
      </c>
      <c r="E936" s="15" t="n">
        <v>12554.0194176933</v>
      </c>
      <c r="F936" s="15" t="n">
        <v>266.684034750271</v>
      </c>
      <c r="G936" s="15" t="n">
        <v>165.475985159072</v>
      </c>
      <c r="H936" s="15" t="n">
        <v>27.8901789473768</v>
      </c>
      <c r="I936" s="16" t="n">
        <v>13.4368411467517</v>
      </c>
      <c r="J936" s="15" t="n">
        <v>21.5043117422032</v>
      </c>
      <c r="K936" s="15" t="n">
        <v>6418.68928360315</v>
      </c>
      <c r="L936" s="15" t="n">
        <v>205.590218885711</v>
      </c>
      <c r="M936" s="15" t="n">
        <v>1.97477829459012</v>
      </c>
      <c r="N936" s="17" t="n">
        <v>25.9512793958974</v>
      </c>
      <c r="O936" s="18" t="n">
        <v>0.404308079878414</v>
      </c>
    </row>
    <row r="937" ht="15" customHeight="1" s="12">
      <c r="A937" s="14" t="inlineStr">
        <is>
          <t>Lodhran</t>
        </is>
      </c>
      <c r="B937" s="14" t="inlineStr">
        <is>
          <t>Punjab</t>
        </is>
      </c>
      <c r="C937" s="14" t="n">
        <v>2015</v>
      </c>
      <c r="D937" s="15" t="n">
        <v>153.402900284134</v>
      </c>
      <c r="E937" s="15" t="n">
        <v>3811.00930705877</v>
      </c>
      <c r="F937" s="15" t="n">
        <v>189.577135324478</v>
      </c>
      <c r="G937" s="15" t="n">
        <v>131.060184970498</v>
      </c>
      <c r="H937" s="15" t="n">
        <v>15.9986487440635</v>
      </c>
      <c r="I937" s="16" t="n">
        <v>10.4291696665648</v>
      </c>
      <c r="J937" s="15" t="n">
        <v>19.4765588003157</v>
      </c>
      <c r="K937" s="15" t="n">
        <v>2669.53171754423</v>
      </c>
      <c r="L937" s="15" t="n">
        <v>141.003207900072</v>
      </c>
      <c r="M937" s="15" t="n">
        <v>12.3996923840616</v>
      </c>
      <c r="N937" s="17" t="n">
        <v>0.201974439012236</v>
      </c>
      <c r="O937" s="18" t="n">
        <v>0.00756591269116057</v>
      </c>
    </row>
    <row r="938" ht="15" customHeight="1" s="12">
      <c r="A938" s="14" t="inlineStr">
        <is>
          <t>Lodhran</t>
        </is>
      </c>
      <c r="B938" s="14" t="inlineStr">
        <is>
          <t>Punjab</t>
        </is>
      </c>
      <c r="C938" s="14" t="n">
        <v>2016</v>
      </c>
      <c r="D938" s="15" t="n">
        <v>118.454414196921</v>
      </c>
      <c r="E938" s="15" t="n">
        <v>2942.7792703431</v>
      </c>
      <c r="F938" s="15" t="n">
        <v>165.141500353813</v>
      </c>
      <c r="G938" s="15" t="n">
        <v>86.71897765994071</v>
      </c>
      <c r="H938" s="15" t="n">
        <v>22.1531654347016</v>
      </c>
      <c r="I938" s="16" t="n">
        <v>18.7018487954985</v>
      </c>
      <c r="J938" s="15" t="n">
        <v>16.5292817679558</v>
      </c>
      <c r="K938" s="15" t="n">
        <v>2669.53171754423</v>
      </c>
      <c r="L938" s="15" t="n">
        <v>141.003207900072</v>
      </c>
      <c r="M938" s="15" t="n">
        <v>-22.5487937031515</v>
      </c>
      <c r="N938" s="17" t="n">
        <v>0.56144823177203</v>
      </c>
      <c r="O938" s="18" t="n">
        <v>0.0210317123442355</v>
      </c>
    </row>
    <row r="939" ht="15" customHeight="1" s="12">
      <c r="A939" s="14" t="inlineStr">
        <is>
          <t>Lodhran</t>
        </is>
      </c>
      <c r="B939" s="14" t="inlineStr">
        <is>
          <t>Punjab</t>
        </is>
      </c>
      <c r="C939" s="14" t="n">
        <v>2017</v>
      </c>
      <c r="D939" s="15" t="n">
        <v>147.385994927753</v>
      </c>
      <c r="E939" s="15" t="n">
        <v>3661.53050144046</v>
      </c>
      <c r="F939" s="15" t="n">
        <v>181.192355155945</v>
      </c>
      <c r="G939" s="15" t="n">
        <v>109.46596634388</v>
      </c>
      <c r="H939" s="15" t="n">
        <v>17.0616694598881</v>
      </c>
      <c r="I939" s="16" t="n">
        <v>11.5761809446355</v>
      </c>
      <c r="J939" s="15" t="n">
        <v>22.8361483820047</v>
      </c>
      <c r="K939" s="15" t="n">
        <v>2669.53171754423</v>
      </c>
      <c r="L939" s="15" t="n">
        <v>141.003207900072</v>
      </c>
      <c r="M939" s="15" t="n">
        <v>6.38278702768139</v>
      </c>
      <c r="N939" s="17" t="n">
        <v>0.147638496937232</v>
      </c>
      <c r="O939" s="18" t="n">
        <v>0.0055305016968687</v>
      </c>
    </row>
    <row r="940" ht="15" customHeight="1" s="12">
      <c r="A940" s="14" t="inlineStr">
        <is>
          <t>Lodhran</t>
        </is>
      </c>
      <c r="B940" s="14" t="inlineStr">
        <is>
          <t>Punjab</t>
        </is>
      </c>
      <c r="C940" s="14" t="n">
        <v>2018</v>
      </c>
      <c r="D940" s="15" t="n">
        <v>80.16992959142419</v>
      </c>
      <c r="E940" s="15" t="n">
        <v>1991.67256455558</v>
      </c>
      <c r="F940" s="15" t="n">
        <v>110.136779248714</v>
      </c>
      <c r="G940" s="15" t="n">
        <v>58.8446399294771</v>
      </c>
      <c r="H940" s="15" t="n">
        <v>15.0054492317946</v>
      </c>
      <c r="I940" s="16" t="n">
        <v>18.7170542724285</v>
      </c>
      <c r="J940" s="15" t="n">
        <v>10.4</v>
      </c>
      <c r="K940" s="15" t="n">
        <v>2669.53171754423</v>
      </c>
      <c r="L940" s="15" t="n">
        <v>141.003207900072</v>
      </c>
      <c r="M940" s="15" t="n">
        <v>-60.8332783086477</v>
      </c>
      <c r="N940" s="17" t="n">
        <v>0.06917286005356731</v>
      </c>
      <c r="O940" s="18" t="n">
        <v>0.0025911982839148</v>
      </c>
    </row>
    <row r="941" ht="15" customHeight="1" s="12">
      <c r="A941" s="14" t="inlineStr">
        <is>
          <t>Lodhran</t>
        </is>
      </c>
      <c r="B941" s="14" t="inlineStr">
        <is>
          <t>Punjab</t>
        </is>
      </c>
      <c r="C941" s="14" t="n">
        <v>2019</v>
      </c>
      <c r="D941" s="15" t="n">
        <v>105.528207935012</v>
      </c>
      <c r="E941" s="15" t="n">
        <v>2621.65175399335</v>
      </c>
      <c r="F941" s="15" t="n">
        <v>129.298131942749</v>
      </c>
      <c r="G941" s="15" t="n">
        <v>86.7677474580705</v>
      </c>
      <c r="H941" s="15" t="n">
        <v>11.2075462939287</v>
      </c>
      <c r="I941" s="16" t="n">
        <v>10.6204270054796</v>
      </c>
      <c r="J941" s="15" t="n">
        <v>17.1894238358327</v>
      </c>
      <c r="K941" s="15" t="n">
        <v>2669.53171754423</v>
      </c>
      <c r="L941" s="15" t="n">
        <v>141.003207900072</v>
      </c>
      <c r="M941" s="15" t="n">
        <v>-35.4749999650596</v>
      </c>
      <c r="N941" s="17" t="n">
        <v>0.336647510208429</v>
      </c>
      <c r="O941" s="18" t="n">
        <v>0.0126107327362313</v>
      </c>
    </row>
    <row r="942" ht="15" customHeight="1" s="12">
      <c r="A942" s="14" t="inlineStr">
        <is>
          <t>Lodhran</t>
        </is>
      </c>
      <c r="B942" s="14" t="inlineStr">
        <is>
          <t>Punjab</t>
        </is>
      </c>
      <c r="C942" s="14" t="n">
        <v>2020</v>
      </c>
      <c r="D942" s="15" t="n">
        <v>117.651988610014</v>
      </c>
      <c r="E942" s="15" t="n">
        <v>2922.84450135074</v>
      </c>
      <c r="F942" s="15" t="n">
        <v>150.572056162026</v>
      </c>
      <c r="G942" s="15" t="n">
        <v>87.5161131757523</v>
      </c>
      <c r="H942" s="15" t="n">
        <v>19.8733412303024</v>
      </c>
      <c r="I942" s="16" t="n">
        <v>16.8916322325647</v>
      </c>
      <c r="J942" s="15" t="n">
        <v>17.6344119968429</v>
      </c>
      <c r="K942" s="15" t="n">
        <v>2669.53171754423</v>
      </c>
      <c r="L942" s="15" t="n">
        <v>141.003207900072</v>
      </c>
      <c r="M942" s="15" t="n">
        <v>-23.3512192900582</v>
      </c>
      <c r="N942" s="17" t="n">
        <v>0.257698670081763</v>
      </c>
      <c r="O942" s="18" t="n">
        <v>0.00965332864892225</v>
      </c>
    </row>
    <row r="943" ht="15" customHeight="1" s="12">
      <c r="A943" s="14" t="inlineStr">
        <is>
          <t>Lodhran</t>
        </is>
      </c>
      <c r="B943" s="14" t="inlineStr">
        <is>
          <t>Punjab</t>
        </is>
      </c>
      <c r="C943" s="14" t="n">
        <v>2021</v>
      </c>
      <c r="D943" s="15" t="n">
        <v>66.43852255025909</v>
      </c>
      <c r="E943" s="15" t="n">
        <v>1650.54133472898</v>
      </c>
      <c r="F943" s="15" t="n">
        <v>76.76849138736731</v>
      </c>
      <c r="G943" s="15" t="n">
        <v>59.1190766096115</v>
      </c>
      <c r="H943" s="15" t="n">
        <v>4.62883012724332</v>
      </c>
      <c r="I943" s="16" t="n">
        <v>6.96708769184584</v>
      </c>
      <c r="J943" s="15" t="n">
        <v>8.93164956590371</v>
      </c>
      <c r="K943" s="15" t="n">
        <v>2669.53171754423</v>
      </c>
      <c r="L943" s="15" t="n">
        <v>141.003207900072</v>
      </c>
      <c r="M943" s="15" t="n">
        <v>-74.5646853498129</v>
      </c>
      <c r="N943" s="17" t="n">
        <v>0.109212356323242</v>
      </c>
      <c r="O943" s="18" t="n">
        <v>0.00409106794294654</v>
      </c>
    </row>
    <row r="944" ht="15" customHeight="1" s="12">
      <c r="A944" s="14" t="inlineStr">
        <is>
          <t>Lodhran</t>
        </is>
      </c>
      <c r="B944" s="14" t="inlineStr">
        <is>
          <t>Punjab</t>
        </is>
      </c>
      <c r="C944" s="14" t="n">
        <v>2022</v>
      </c>
      <c r="D944" s="15" t="n">
        <v>270.072282424431</v>
      </c>
      <c r="E944" s="15" t="n">
        <v>6709.44278101478</v>
      </c>
      <c r="F944" s="15" t="n">
        <v>365.040939185768</v>
      </c>
      <c r="G944" s="15" t="n">
        <v>207.905294686556</v>
      </c>
      <c r="H944" s="15" t="n">
        <v>44.9808781979781</v>
      </c>
      <c r="I944" s="16" t="n">
        <v>16.6551257293737</v>
      </c>
      <c r="J944" s="15" t="n">
        <v>30.3277032359905</v>
      </c>
      <c r="K944" s="15" t="n">
        <v>2669.53171754423</v>
      </c>
      <c r="L944" s="15" t="n">
        <v>141.003207900072</v>
      </c>
      <c r="M944" s="15" t="n">
        <v>129.069074524359</v>
      </c>
      <c r="N944" s="17" t="n">
        <v>0.283998147627049</v>
      </c>
      <c r="O944" s="18" t="n">
        <v>0.0106385005939658</v>
      </c>
    </row>
    <row r="945" ht="15" customHeight="1" s="12">
      <c r="A945" s="14" t="inlineStr">
        <is>
          <t>Lodhran</t>
        </is>
      </c>
      <c r="B945" s="14" t="inlineStr">
        <is>
          <t>Punjab</t>
        </is>
      </c>
      <c r="C945" s="14" t="n">
        <v>2023</v>
      </c>
      <c r="D945" s="15" t="n">
        <v>128.985005144162</v>
      </c>
      <c r="E945" s="15" t="n">
        <v>3204.39218662066</v>
      </c>
      <c r="F945" s="15" t="n">
        <v>155.507865548134</v>
      </c>
      <c r="G945" s="15" t="n">
        <v>109.208608746529</v>
      </c>
      <c r="H945" s="15" t="n">
        <v>13.7649709106303</v>
      </c>
      <c r="I945" s="16" t="n">
        <v>10.6717605625907</v>
      </c>
      <c r="J945" s="15" t="n">
        <v>15.9127071823204</v>
      </c>
      <c r="K945" s="15" t="n">
        <v>2669.53171754423</v>
      </c>
      <c r="L945" s="15" t="n">
        <v>141.003207900072</v>
      </c>
      <c r="M945" s="15" t="n">
        <v>-12.0182027559098</v>
      </c>
      <c r="N945" s="17" t="n">
        <v>0.448291232953479</v>
      </c>
      <c r="O945" s="18" t="n">
        <v>0.0167928790659162</v>
      </c>
    </row>
    <row r="946" ht="15" customHeight="1" s="12">
      <c r="A946" s="14" t="inlineStr">
        <is>
          <t>Lodhran</t>
        </is>
      </c>
      <c r="B946" s="14" t="inlineStr">
        <is>
          <t>Punjab</t>
        </is>
      </c>
      <c r="C946" s="14" t="n">
        <v>2024</v>
      </c>
      <c r="D946" s="15" t="n">
        <v>215.883691791042</v>
      </c>
      <c r="E946" s="15" t="n">
        <v>5363.22818625982</v>
      </c>
      <c r="F946" s="15" t="n">
        <v>274.255255344477</v>
      </c>
      <c r="G946" s="15" t="n">
        <v>168.814902842323</v>
      </c>
      <c r="H946" s="15" t="n">
        <v>31.2541294043642</v>
      </c>
      <c r="I946" s="16" t="n">
        <v>14.4772998576547</v>
      </c>
      <c r="J946" s="15" t="n">
        <v>23.0183109707972</v>
      </c>
      <c r="K946" s="15" t="n">
        <v>2669.53171754423</v>
      </c>
      <c r="L946" s="15" t="n">
        <v>141.003207900072</v>
      </c>
      <c r="M946" s="15" t="n">
        <v>74.8804838909704</v>
      </c>
      <c r="N946" s="17" t="n">
        <v>0.351061545684934</v>
      </c>
      <c r="O946" s="18" t="n">
        <v>0.0131506789515835</v>
      </c>
    </row>
    <row r="947" ht="15" customHeight="1" s="12">
      <c r="A947" s="14" t="inlineStr">
        <is>
          <t>Lodhran</t>
        </is>
      </c>
      <c r="B947" s="14" t="inlineStr">
        <is>
          <t>Punjab</t>
        </is>
      </c>
      <c r="C947" s="14" t="n">
        <v>2025</v>
      </c>
      <c r="D947" s="15" t="n">
        <v>147.062349445639</v>
      </c>
      <c r="E947" s="15" t="n">
        <v>3653.49013230637</v>
      </c>
      <c r="F947" s="15" t="n">
        <v>196.257426210126</v>
      </c>
      <c r="G947" s="15" t="n">
        <v>124.087054169098</v>
      </c>
      <c r="H947" s="15" t="n">
        <v>19.8683298724962</v>
      </c>
      <c r="I947" s="16" t="n">
        <v>13.5101403910594</v>
      </c>
      <c r="J947" s="15" t="n">
        <v>22.1043409629045</v>
      </c>
      <c r="K947" s="15" t="n">
        <v>2669.53171754423</v>
      </c>
      <c r="L947" s="15" t="n">
        <v>141.003207900072</v>
      </c>
      <c r="M947" s="15" t="n">
        <v>6.05914154556737</v>
      </c>
      <c r="N947" s="17" t="n">
        <v>0.26555571324415</v>
      </c>
      <c r="O947" s="18" t="n">
        <v>0.009947651548730859</v>
      </c>
    </row>
    <row r="948" ht="15" customHeight="1" s="12">
      <c r="A948" s="14" t="inlineStr">
        <is>
          <t>Loralai</t>
        </is>
      </c>
      <c r="B948" s="14" t="inlineStr">
        <is>
          <t>Balochistan</t>
        </is>
      </c>
      <c r="C948" s="14" t="n">
        <v>2015</v>
      </c>
      <c r="D948" s="15" t="n">
        <v>130.506858656693</v>
      </c>
      <c r="E948" s="15" t="n">
        <v>4673.68091471733</v>
      </c>
      <c r="F948" s="15" t="n">
        <v>266.462067008019</v>
      </c>
      <c r="G948" s="15" t="n">
        <v>48.1822338104248</v>
      </c>
      <c r="H948" s="15" t="n">
        <v>65.2787500033705</v>
      </c>
      <c r="I948" s="16" t="n">
        <v>50.019401796415</v>
      </c>
      <c r="J948" s="15" t="n">
        <v>13.9998904949628</v>
      </c>
      <c r="K948" s="15" t="n">
        <v>3800.52879091887</v>
      </c>
      <c r="L948" s="15" t="n">
        <v>134.810970404642</v>
      </c>
      <c r="M948" s="15" t="n">
        <v>-4.30411174794909</v>
      </c>
      <c r="N948" s="17" t="n">
        <v>0.560730106226304</v>
      </c>
      <c r="O948" s="18" t="n">
        <v>0.014754002326364</v>
      </c>
    </row>
    <row r="949" ht="15" customHeight="1" s="12">
      <c r="A949" s="14" t="inlineStr">
        <is>
          <t>Loralai</t>
        </is>
      </c>
      <c r="B949" s="14" t="inlineStr">
        <is>
          <t>Balochistan</t>
        </is>
      </c>
      <c r="C949" s="14" t="n">
        <v>2016</v>
      </c>
      <c r="D949" s="15" t="n">
        <v>120.262420923281</v>
      </c>
      <c r="E949" s="15" t="n">
        <v>4306.80952106434</v>
      </c>
      <c r="F949" s="15" t="n">
        <v>292.177062153816</v>
      </c>
      <c r="G949" s="15" t="n">
        <v>48.9981153011322</v>
      </c>
      <c r="H949" s="15" t="n">
        <v>65.1964978654991</v>
      </c>
      <c r="I949" s="16" t="n">
        <v>54.2118621635679</v>
      </c>
      <c r="J949" s="15" t="n">
        <v>16.603044240035</v>
      </c>
      <c r="K949" s="15" t="n">
        <v>3800.52879091887</v>
      </c>
      <c r="L949" s="15" t="n">
        <v>134.810970404642</v>
      </c>
      <c r="M949" s="15" t="n">
        <v>-14.5485494813604</v>
      </c>
      <c r="N949" s="17" t="n">
        <v>0.298074412792969</v>
      </c>
      <c r="O949" s="18" t="n">
        <v>0.007842972101808539</v>
      </c>
    </row>
    <row r="950" ht="15" customHeight="1" s="12">
      <c r="A950" s="14" t="inlineStr">
        <is>
          <t>Loralai</t>
        </is>
      </c>
      <c r="B950" s="14" t="inlineStr">
        <is>
          <t>Balochistan</t>
        </is>
      </c>
      <c r="C950" s="14" t="n">
        <v>2017</v>
      </c>
      <c r="D950" s="15" t="n">
        <v>108.481374015429</v>
      </c>
      <c r="E950" s="15" t="n">
        <v>3884.90944121135</v>
      </c>
      <c r="F950" s="15" t="n">
        <v>240.257397413254</v>
      </c>
      <c r="G950" s="15" t="n">
        <v>42.189391374588</v>
      </c>
      <c r="H950" s="15" t="n">
        <v>58.9036138636206</v>
      </c>
      <c r="I950" s="16" t="n">
        <v>54.2983663308349</v>
      </c>
      <c r="J950" s="15" t="n">
        <v>18.2559132720105</v>
      </c>
      <c r="K950" s="15" t="n">
        <v>3800.52879091887</v>
      </c>
      <c r="L950" s="15" t="n">
        <v>134.810970404642</v>
      </c>
      <c r="M950" s="15" t="n">
        <v>-26.3295963892132</v>
      </c>
      <c r="N950" s="17" t="n">
        <v>0.239490642864153</v>
      </c>
      <c r="O950" s="18" t="n">
        <v>0.00630150844894007</v>
      </c>
    </row>
    <row r="951" ht="15" customHeight="1" s="12">
      <c r="A951" s="14" t="inlineStr">
        <is>
          <t>Loralai</t>
        </is>
      </c>
      <c r="B951" s="14" t="inlineStr">
        <is>
          <t>Balochistan</t>
        </is>
      </c>
      <c r="C951" s="14" t="n">
        <v>2018</v>
      </c>
      <c r="D951" s="15" t="n">
        <v>83.6975355175702</v>
      </c>
      <c r="E951" s="15" t="n">
        <v>2997.35644841746</v>
      </c>
      <c r="F951" s="15" t="n">
        <v>209.67656826973</v>
      </c>
      <c r="G951" s="15" t="n">
        <v>21.8854940235899</v>
      </c>
      <c r="H951" s="15" t="n">
        <v>56.3404128777247</v>
      </c>
      <c r="I951" s="16" t="n">
        <v>67.31430325794651</v>
      </c>
      <c r="J951" s="15" t="n">
        <v>14.0601182654402</v>
      </c>
      <c r="K951" s="15" t="n">
        <v>3800.52879091887</v>
      </c>
      <c r="L951" s="15" t="n">
        <v>134.810970404642</v>
      </c>
      <c r="M951" s="15" t="n">
        <v>-51.1134348870717</v>
      </c>
      <c r="N951" s="17" t="n">
        <v>0.33005482598877</v>
      </c>
      <c r="O951" s="18" t="n">
        <v>0.00868444482718865</v>
      </c>
    </row>
    <row r="952" ht="15" customHeight="1" s="12">
      <c r="A952" s="14" t="inlineStr">
        <is>
          <t>Loralai</t>
        </is>
      </c>
      <c r="B952" s="14" t="inlineStr">
        <is>
          <t>Balochistan</t>
        </is>
      </c>
      <c r="C952" s="14" t="n">
        <v>2019</v>
      </c>
      <c r="D952" s="15" t="n">
        <v>107.886438857043</v>
      </c>
      <c r="E952" s="15" t="n">
        <v>3863.60376330398</v>
      </c>
      <c r="F952" s="15" t="n">
        <v>242.856301367283</v>
      </c>
      <c r="G952" s="15" t="n">
        <v>43.2995958197862</v>
      </c>
      <c r="H952" s="15" t="n">
        <v>60.1123518465241</v>
      </c>
      <c r="I952" s="16" t="n">
        <v>55.7181722590522</v>
      </c>
      <c r="J952" s="15" t="n">
        <v>17.853482260184</v>
      </c>
      <c r="K952" s="15" t="n">
        <v>3800.52879091887</v>
      </c>
      <c r="L952" s="15" t="n">
        <v>134.810970404642</v>
      </c>
      <c r="M952" s="15" t="n">
        <v>-26.9245315475991</v>
      </c>
      <c r="N952" s="17" t="n">
        <v>0.523176674621582</v>
      </c>
      <c r="O952" s="18" t="n">
        <v>0.013765891627283</v>
      </c>
    </row>
    <row r="953" ht="15" customHeight="1" s="12">
      <c r="A953" s="14" t="inlineStr">
        <is>
          <t>Loralai</t>
        </is>
      </c>
      <c r="B953" s="14" t="inlineStr">
        <is>
          <t>Balochistan</t>
        </is>
      </c>
      <c r="C953" s="14" t="n">
        <v>2020</v>
      </c>
      <c r="D953" s="15" t="n">
        <v>98.3957634529536</v>
      </c>
      <c r="E953" s="15" t="n">
        <v>3523.72592883284</v>
      </c>
      <c r="F953" s="15" t="n">
        <v>166.109263509512</v>
      </c>
      <c r="G953" s="15" t="n">
        <v>62.4666683396281</v>
      </c>
      <c r="H953" s="15" t="n">
        <v>28.7549522982483</v>
      </c>
      <c r="I953" s="16" t="n">
        <v>29.2237707083771</v>
      </c>
      <c r="J953" s="15" t="n">
        <v>16.8004818221638</v>
      </c>
      <c r="K953" s="15" t="n">
        <v>3800.52879091887</v>
      </c>
      <c r="L953" s="15" t="n">
        <v>134.810970404642</v>
      </c>
      <c r="M953" s="15" t="n">
        <v>-36.4152069516882</v>
      </c>
      <c r="N953" s="17" t="n">
        <v>0.319381797307991</v>
      </c>
      <c r="O953" s="18" t="n">
        <v>0.0084036147304326</v>
      </c>
    </row>
    <row r="954" ht="15" customHeight="1" s="12">
      <c r="A954" s="14" t="inlineStr">
        <is>
          <t>Loralai</t>
        </is>
      </c>
      <c r="B954" s="14" t="inlineStr">
        <is>
          <t>Balochistan</t>
        </is>
      </c>
      <c r="C954" s="14" t="n">
        <v>2021</v>
      </c>
      <c r="D954" s="15" t="n">
        <v>103.342647091272</v>
      </c>
      <c r="E954" s="15" t="n">
        <v>3700.88256171568</v>
      </c>
      <c r="F954" s="15" t="n">
        <v>209.24772810936</v>
      </c>
      <c r="G954" s="15" t="n">
        <v>47.5510246753693</v>
      </c>
      <c r="H954" s="15" t="n">
        <v>47.1370136008392</v>
      </c>
      <c r="I954" s="16" t="n">
        <v>45.6123535902925</v>
      </c>
      <c r="J954" s="15" t="n">
        <v>13.3750547525186</v>
      </c>
      <c r="K954" s="15" t="n">
        <v>3800.52879091887</v>
      </c>
      <c r="L954" s="15" t="n">
        <v>134.810970404642</v>
      </c>
      <c r="M954" s="15" t="n">
        <v>-31.4683233133697</v>
      </c>
      <c r="N954" s="17" t="n">
        <v>0.488998980989823</v>
      </c>
      <c r="O954" s="18" t="n">
        <v>0.0128666037778284</v>
      </c>
    </row>
    <row r="955" ht="15" customHeight="1" s="12">
      <c r="A955" s="14" t="inlineStr">
        <is>
          <t>Loralai</t>
        </is>
      </c>
      <c r="B955" s="14" t="inlineStr">
        <is>
          <t>Balochistan</t>
        </is>
      </c>
      <c r="C955" s="14" t="n">
        <v>2022</v>
      </c>
      <c r="D955" s="15" t="n">
        <v>249.817024387876</v>
      </c>
      <c r="E955" s="15" t="n">
        <v>8946.3884969023</v>
      </c>
      <c r="F955" s="15" t="n">
        <v>435.783054419549</v>
      </c>
      <c r="G955" s="15" t="n">
        <v>169.531034618616</v>
      </c>
      <c r="H955" s="15" t="n">
        <v>70.3822804025813</v>
      </c>
      <c r="I955" s="16" t="n">
        <v>28.173532438407</v>
      </c>
      <c r="J955" s="15" t="n">
        <v>31.2936925098554</v>
      </c>
      <c r="K955" s="15" t="n">
        <v>3800.52879091887</v>
      </c>
      <c r="L955" s="15" t="n">
        <v>134.810970404642</v>
      </c>
      <c r="M955" s="15" t="n">
        <v>115.006053983234</v>
      </c>
      <c r="N955" s="17" t="n">
        <v>1.18047660464705</v>
      </c>
      <c r="O955" s="18" t="n">
        <v>0.0310608515180236</v>
      </c>
    </row>
    <row r="956" ht="15" customHeight="1" s="12">
      <c r="A956" s="14" t="inlineStr">
        <is>
          <t>Loralai</t>
        </is>
      </c>
      <c r="B956" s="14" t="inlineStr">
        <is>
          <t>Balochistan</t>
        </is>
      </c>
      <c r="C956" s="14" t="n">
        <v>2023</v>
      </c>
      <c r="D956" s="15" t="n">
        <v>125.495467415385</v>
      </c>
      <c r="E956" s="15" t="n">
        <v>4494.21415073451</v>
      </c>
      <c r="F956" s="15" t="n">
        <v>289.731298446655</v>
      </c>
      <c r="G956" s="15" t="n">
        <v>39.3942761421204</v>
      </c>
      <c r="H956" s="15" t="n">
        <v>73.9474706181522</v>
      </c>
      <c r="I956" s="16" t="n">
        <v>58.9244154718264</v>
      </c>
      <c r="J956" s="15" t="n">
        <v>15.5611038107753</v>
      </c>
      <c r="K956" s="15" t="n">
        <v>3800.52879091887</v>
      </c>
      <c r="L956" s="15" t="n">
        <v>134.810970404642</v>
      </c>
      <c r="M956" s="15" t="n">
        <v>-9.315502989256441</v>
      </c>
      <c r="N956" s="17" t="n">
        <v>0.150712478346881</v>
      </c>
      <c r="O956" s="18" t="n">
        <v>0.00396556602089159</v>
      </c>
    </row>
    <row r="957" ht="15" customHeight="1" s="12">
      <c r="A957" s="14" t="inlineStr">
        <is>
          <t>Loralai</t>
        </is>
      </c>
      <c r="B957" s="14" t="inlineStr">
        <is>
          <t>Balochistan</t>
        </is>
      </c>
      <c r="C957" s="14" t="n">
        <v>2024</v>
      </c>
      <c r="D957" s="15" t="n">
        <v>210.879381263945</v>
      </c>
      <c r="E957" s="15" t="n">
        <v>7551.96278314645</v>
      </c>
      <c r="F957" s="15" t="n">
        <v>343.375680411524</v>
      </c>
      <c r="G957" s="15" t="n">
        <v>122.587921335362</v>
      </c>
      <c r="H957" s="15" t="n">
        <v>67.64258880547931</v>
      </c>
      <c r="I957" s="16" t="n">
        <v>32.0764355434139</v>
      </c>
      <c r="J957" s="15" t="n">
        <v>28.2340122645642</v>
      </c>
      <c r="K957" s="15" t="n">
        <v>3800.52879091887</v>
      </c>
      <c r="L957" s="15" t="n">
        <v>134.810970404642</v>
      </c>
      <c r="M957" s="15" t="n">
        <v>76.068410859303</v>
      </c>
      <c r="N957" s="17" t="n">
        <v>0.265007921350098</v>
      </c>
      <c r="O957" s="18" t="n">
        <v>0.0069729223465776</v>
      </c>
    </row>
    <row r="958" ht="15" customHeight="1" s="12">
      <c r="A958" s="14" t="inlineStr">
        <is>
          <t>Loralai</t>
        </is>
      </c>
      <c r="B958" s="14" t="inlineStr">
        <is>
          <t>Balochistan</t>
        </is>
      </c>
      <c r="C958" s="14" t="n">
        <v>2025</v>
      </c>
      <c r="D958" s="15" t="n">
        <v>144.155762869612</v>
      </c>
      <c r="E958" s="15" t="n">
        <v>5162.47226088354</v>
      </c>
      <c r="F958" s="15" t="n">
        <v>294.311421394348</v>
      </c>
      <c r="G958" s="15" t="n">
        <v>64.2119136476103</v>
      </c>
      <c r="H958" s="15" t="n">
        <v>68.3329244669345</v>
      </c>
      <c r="I958" s="16" t="n">
        <v>47.4021455033615</v>
      </c>
      <c r="J958" s="15" t="n">
        <v>20.8264345159877</v>
      </c>
      <c r="K958" s="15" t="n">
        <v>3800.52879091887</v>
      </c>
      <c r="L958" s="15" t="n">
        <v>134.810970404642</v>
      </c>
      <c r="M958" s="15" t="n">
        <v>9.344792464970601</v>
      </c>
      <c r="N958" s="17" t="n">
        <v>0.284064959367101</v>
      </c>
      <c r="O958" s="18" t="n">
        <v>0.00747435357010995</v>
      </c>
    </row>
    <row r="959" ht="15" customHeight="1" s="12">
      <c r="A959" s="14" t="inlineStr">
        <is>
          <t>Lower Dir</t>
        </is>
      </c>
      <c r="B959" s="14" t="inlineStr">
        <is>
          <t>Khyber Pakhtunkhwa</t>
        </is>
      </c>
      <c r="C959" s="14" t="n">
        <v>2015</v>
      </c>
      <c r="D959" s="15" t="n">
        <v>460.058910620047</v>
      </c>
      <c r="E959" s="15" t="n">
        <v>7254.4975670714</v>
      </c>
      <c r="F959" s="15" t="n">
        <v>600.1645860672</v>
      </c>
      <c r="G959" s="15" t="n">
        <v>362.523096084595</v>
      </c>
      <c r="H959" s="15" t="n">
        <v>55.6936112707983</v>
      </c>
      <c r="I959" s="16" t="n">
        <v>12.1057564553498</v>
      </c>
      <c r="J959" s="15" t="n">
        <v>18.9445411589157</v>
      </c>
      <c r="K959" s="15" t="n">
        <v>1604.91267493483</v>
      </c>
      <c r="L959" s="15" t="n">
        <v>397.761594687797</v>
      </c>
      <c r="M959" s="15" t="n">
        <v>62.2973159322491</v>
      </c>
      <c r="N959" s="17" t="n">
        <v>0.388112868622185</v>
      </c>
      <c r="O959" s="18" t="n">
        <v>0.0241828028829012</v>
      </c>
    </row>
    <row r="960" ht="15" customHeight="1" s="12">
      <c r="A960" s="14" t="inlineStr">
        <is>
          <t>Lower Dir</t>
        </is>
      </c>
      <c r="B960" s="14" t="inlineStr">
        <is>
          <t>Khyber Pakhtunkhwa</t>
        </is>
      </c>
      <c r="C960" s="14" t="n">
        <v>2016</v>
      </c>
      <c r="D960" s="15" t="n">
        <v>356.093101431143</v>
      </c>
      <c r="E960" s="15" t="n">
        <v>5615.09945433187</v>
      </c>
      <c r="F960" s="15" t="n">
        <v>437.232559680939</v>
      </c>
      <c r="G960" s="15" t="n">
        <v>270.364298939705</v>
      </c>
      <c r="H960" s="15" t="n">
        <v>33.9230391960182</v>
      </c>
      <c r="I960" s="16" t="n">
        <v>9.526452228274319</v>
      </c>
      <c r="J960" s="15" t="n">
        <v>15.8067644864462</v>
      </c>
      <c r="K960" s="15" t="n">
        <v>1604.91267493483</v>
      </c>
      <c r="L960" s="15" t="n">
        <v>397.761594687797</v>
      </c>
      <c r="M960" s="15" t="n">
        <v>-41.6684932566545</v>
      </c>
      <c r="N960" s="17" t="n">
        <v>0.335038804520431</v>
      </c>
      <c r="O960" s="18" t="n">
        <v>0.0208758276853934</v>
      </c>
    </row>
    <row r="961" ht="15" customHeight="1" s="12">
      <c r="A961" s="14" t="inlineStr">
        <is>
          <t>Lower Dir</t>
        </is>
      </c>
      <c r="B961" s="14" t="inlineStr">
        <is>
          <t>Khyber Pakhtunkhwa</t>
        </is>
      </c>
      <c r="C961" s="14" t="n">
        <v>2017</v>
      </c>
      <c r="D961" s="15" t="n">
        <v>496.985279459854</v>
      </c>
      <c r="E961" s="15" t="n">
        <v>7836.77572042381</v>
      </c>
      <c r="F961" s="15" t="n">
        <v>607.955982208252</v>
      </c>
      <c r="G961" s="15" t="n">
        <v>388.525343418121</v>
      </c>
      <c r="H961" s="15" t="n">
        <v>54.5086038444568</v>
      </c>
      <c r="I961" s="16" t="n">
        <v>10.9678507789404</v>
      </c>
      <c r="J961" s="15" t="n">
        <v>19.4531211141507</v>
      </c>
      <c r="K961" s="15" t="n">
        <v>1604.91267493483</v>
      </c>
      <c r="L961" s="15" t="n">
        <v>397.761594687797</v>
      </c>
      <c r="M961" s="15" t="n">
        <v>99.2236847720563</v>
      </c>
      <c r="N961" s="17" t="n">
        <v>0.126278517094392</v>
      </c>
      <c r="O961" s="18" t="n">
        <v>0.00786824847647986</v>
      </c>
    </row>
    <row r="962" ht="15" customHeight="1" s="12">
      <c r="A962" s="14" t="inlineStr">
        <is>
          <t>Lower Dir</t>
        </is>
      </c>
      <c r="B962" s="14" t="inlineStr">
        <is>
          <t>Khyber Pakhtunkhwa</t>
        </is>
      </c>
      <c r="C962" s="14" t="n">
        <v>2018</v>
      </c>
      <c r="D962" s="15" t="n">
        <v>423.586772722662</v>
      </c>
      <c r="E962" s="15" t="n">
        <v>6679.38201222677</v>
      </c>
      <c r="F962" s="15" t="n">
        <v>524.05651140213</v>
      </c>
      <c r="G962" s="15" t="n">
        <v>345.931127071381</v>
      </c>
      <c r="H962" s="15" t="n">
        <v>41.4228285159147</v>
      </c>
      <c r="I962" s="16" t="n">
        <v>9.779065632683411</v>
      </c>
      <c r="J962" s="15" t="n">
        <v>21.9084804774932</v>
      </c>
      <c r="K962" s="15" t="n">
        <v>1604.91267493483</v>
      </c>
      <c r="L962" s="15" t="n">
        <v>397.761594687797</v>
      </c>
      <c r="M962" s="15" t="n">
        <v>25.8251780348651</v>
      </c>
      <c r="N962" s="17" t="n">
        <v>0.233372678082395</v>
      </c>
      <c r="O962" s="18" t="n">
        <v>0.0145411449312576</v>
      </c>
    </row>
    <row r="963" ht="15" customHeight="1" s="12">
      <c r="A963" s="14" t="inlineStr">
        <is>
          <t>Lower Dir</t>
        </is>
      </c>
      <c r="B963" s="14" t="inlineStr">
        <is>
          <t>Khyber Pakhtunkhwa</t>
        </is>
      </c>
      <c r="C963" s="14" t="n">
        <v>2019</v>
      </c>
      <c r="D963" s="15" t="n">
        <v>317.649210620907</v>
      </c>
      <c r="E963" s="15" t="n">
        <v>5008.89206237908</v>
      </c>
      <c r="F963" s="15" t="n">
        <v>412.040968954563</v>
      </c>
      <c r="G963" s="15" t="n">
        <v>255.02451938577</v>
      </c>
      <c r="H963" s="15" t="n">
        <v>38.0973963426269</v>
      </c>
      <c r="I963" s="16" t="n">
        <v>11.9935435281448</v>
      </c>
      <c r="J963" s="15" t="n">
        <v>18.0156677443422</v>
      </c>
      <c r="K963" s="15" t="n">
        <v>1604.91267493483</v>
      </c>
      <c r="L963" s="15" t="n">
        <v>397.761594687797</v>
      </c>
      <c r="M963" s="15" t="n">
        <v>-80.1123840668908</v>
      </c>
      <c r="N963" s="17" t="n">
        <v>0.127509294517128</v>
      </c>
      <c r="O963" s="18" t="n">
        <v>0.00794493660051045</v>
      </c>
    </row>
    <row r="964" ht="15" customHeight="1" s="12">
      <c r="A964" s="14" t="inlineStr">
        <is>
          <t>Lower Dir</t>
        </is>
      </c>
      <c r="B964" s="14" t="inlineStr">
        <is>
          <t>Khyber Pakhtunkhwa</t>
        </is>
      </c>
      <c r="C964" s="14" t="n">
        <v>2020</v>
      </c>
      <c r="D964" s="15" t="n">
        <v>423.175595575411</v>
      </c>
      <c r="E964" s="15" t="n">
        <v>6672.8983129754</v>
      </c>
      <c r="F964" s="15" t="n">
        <v>660.8188604761669</v>
      </c>
      <c r="G964" s="15" t="n">
        <v>259.799116902053</v>
      </c>
      <c r="H964" s="15" t="n">
        <v>110.607349697928</v>
      </c>
      <c r="I964" s="16" t="n">
        <v>26.1374594504983</v>
      </c>
      <c r="J964" s="15" t="n">
        <v>26.2011937329023</v>
      </c>
      <c r="K964" s="15" t="n">
        <v>1604.91267493483</v>
      </c>
      <c r="L964" s="15" t="n">
        <v>397.761594687797</v>
      </c>
      <c r="M964" s="15" t="n">
        <v>25.4140008876136</v>
      </c>
      <c r="N964" s="17" t="n">
        <v>0.45532083738511</v>
      </c>
      <c r="O964" s="18" t="n">
        <v>0.028370443108601</v>
      </c>
    </row>
    <row r="965" ht="15" customHeight="1" s="12">
      <c r="A965" s="14" t="inlineStr">
        <is>
          <t>Lower Dir</t>
        </is>
      </c>
      <c r="B965" s="14" t="inlineStr">
        <is>
          <t>Khyber Pakhtunkhwa</t>
        </is>
      </c>
      <c r="C965" s="14" t="n">
        <v>2021</v>
      </c>
      <c r="D965" s="15" t="n">
        <v>383.659132404411</v>
      </c>
      <c r="E965" s="15" t="n">
        <v>6049.77792705152</v>
      </c>
      <c r="F965" s="15" t="n">
        <v>478.343338102102</v>
      </c>
      <c r="G965" s="15" t="n">
        <v>280.787319004536</v>
      </c>
      <c r="H965" s="15" t="n">
        <v>50.744974495682</v>
      </c>
      <c r="I965" s="16" t="n">
        <v>13.2265780245242</v>
      </c>
      <c r="J965" s="15" t="n">
        <v>24.5615518527729</v>
      </c>
      <c r="K965" s="15" t="n">
        <v>1604.91267493483</v>
      </c>
      <c r="L965" s="15" t="n">
        <v>397.761594687797</v>
      </c>
      <c r="M965" s="15" t="n">
        <v>-14.1024622833865</v>
      </c>
      <c r="N965" s="17" t="n">
        <v>0.24381288599662</v>
      </c>
      <c r="O965" s="18" t="n">
        <v>0.0151916605684806</v>
      </c>
    </row>
    <row r="966" ht="15" customHeight="1" s="12">
      <c r="A966" s="14" t="inlineStr">
        <is>
          <t>Lower Dir</t>
        </is>
      </c>
      <c r="B966" s="14" t="inlineStr">
        <is>
          <t>Khyber Pakhtunkhwa</t>
        </is>
      </c>
      <c r="C966" s="14" t="n">
        <v>2022</v>
      </c>
      <c r="D966" s="15" t="n">
        <v>516.03574466461</v>
      </c>
      <c r="E966" s="15" t="n">
        <v>8137.17540900548</v>
      </c>
      <c r="F966" s="15" t="n">
        <v>703.414969444275</v>
      </c>
      <c r="G966" s="15" t="n">
        <v>340.022127984717</v>
      </c>
      <c r="H966" s="15" t="n">
        <v>91.2722576678067</v>
      </c>
      <c r="I966" s="16" t="n">
        <v>17.6871967904332</v>
      </c>
      <c r="J966" s="15" t="n">
        <v>29.8328773936832</v>
      </c>
      <c r="K966" s="15" t="n">
        <v>1604.91267493483</v>
      </c>
      <c r="L966" s="15" t="n">
        <v>397.761594687797</v>
      </c>
      <c r="M966" s="15" t="n">
        <v>118.274149976813</v>
      </c>
      <c r="N966" s="17" t="n">
        <v>1.21116638315741</v>
      </c>
      <c r="O966" s="18" t="n">
        <v>0.0754661859223334</v>
      </c>
    </row>
    <row r="967" ht="15" customHeight="1" s="12">
      <c r="A967" s="14" t="inlineStr">
        <is>
          <t>Lower Dir</t>
        </is>
      </c>
      <c r="B967" s="14" t="inlineStr">
        <is>
          <t>Khyber Pakhtunkhwa</t>
        </is>
      </c>
      <c r="C967" s="14" t="n">
        <v>2023</v>
      </c>
      <c r="D967" s="15" t="n">
        <v>299.543733659401</v>
      </c>
      <c r="E967" s="15" t="n">
        <v>4723.39354135079</v>
      </c>
      <c r="F967" s="15" t="n">
        <v>388.748993098736</v>
      </c>
      <c r="G967" s="15" t="n">
        <v>239.386556386948</v>
      </c>
      <c r="H967" s="15" t="n">
        <v>35.8730072553483</v>
      </c>
      <c r="I967" s="16" t="n">
        <v>11.9758830595796</v>
      </c>
      <c r="J967" s="15" t="n">
        <v>23.5889082317831</v>
      </c>
      <c r="K967" s="15" t="n">
        <v>1604.91267493483</v>
      </c>
      <c r="L967" s="15" t="n">
        <v>397.761594687797</v>
      </c>
      <c r="M967" s="15" t="n">
        <v>-98.2178610283967</v>
      </c>
      <c r="N967" s="17" t="n">
        <v>0.293231100499531</v>
      </c>
      <c r="O967" s="18" t="n">
        <v>0.0182708445810884</v>
      </c>
    </row>
    <row r="968" ht="15" customHeight="1" s="12">
      <c r="A968" s="14" t="inlineStr">
        <is>
          <t>Lower Dir</t>
        </is>
      </c>
      <c r="B968" s="14" t="inlineStr">
        <is>
          <t>Khyber Pakhtunkhwa</t>
        </is>
      </c>
      <c r="C968" s="14" t="n">
        <v>2024</v>
      </c>
      <c r="D968" s="15" t="n">
        <v>311.345470552055</v>
      </c>
      <c r="E968" s="15" t="n">
        <v>4909.49073368555</v>
      </c>
      <c r="F968" s="15" t="n">
        <v>387.750488266349</v>
      </c>
      <c r="G968" s="15" t="n">
        <v>269.409642941435</v>
      </c>
      <c r="H968" s="15" t="n">
        <v>28.7305733528776</v>
      </c>
      <c r="I968" s="16" t="n">
        <v>9.22787580687609</v>
      </c>
      <c r="J968" s="15" t="n">
        <v>26.8477990549615</v>
      </c>
      <c r="K968" s="15" t="n">
        <v>1604.91267493483</v>
      </c>
      <c r="L968" s="15" t="n">
        <v>397.761594687797</v>
      </c>
      <c r="M968" s="15" t="n">
        <v>-86.41612413574219</v>
      </c>
      <c r="N968" s="17" t="n">
        <v>0.299412250820025</v>
      </c>
      <c r="O968" s="18" t="n">
        <v>0.0186559839358353</v>
      </c>
    </row>
    <row r="969" ht="15" customHeight="1" s="12">
      <c r="A969" s="14" t="inlineStr">
        <is>
          <t>Lower Dir</t>
        </is>
      </c>
      <c r="B969" s="14" t="inlineStr">
        <is>
          <t>Khyber Pakhtunkhwa</t>
        </is>
      </c>
      <c r="C969" s="14" t="n">
        <v>2025</v>
      </c>
      <c r="D969" s="15" t="n">
        <v>387.244589855271</v>
      </c>
      <c r="E969" s="15" t="n">
        <v>6106.31566983548</v>
      </c>
      <c r="F969" s="15" t="n">
        <v>476.24910825491</v>
      </c>
      <c r="G969" s="15" t="n">
        <v>304.273743480444</v>
      </c>
      <c r="H969" s="15" t="n">
        <v>41.0120035338988</v>
      </c>
      <c r="I969" s="16" t="n">
        <v>10.5907234363756</v>
      </c>
      <c r="J969" s="15" t="n">
        <v>28.6431236010943</v>
      </c>
      <c r="K969" s="15" t="n">
        <v>1604.91267493483</v>
      </c>
      <c r="L969" s="15" t="n">
        <v>397.761594687797</v>
      </c>
      <c r="M969" s="15" t="n">
        <v>-10.517004832526</v>
      </c>
      <c r="N969" s="17" t="n">
        <v>0.273326325098614</v>
      </c>
      <c r="O969" s="18" t="n">
        <v>0.0170306041797392</v>
      </c>
    </row>
    <row r="970" ht="15" customHeight="1" s="12">
      <c r="A970" s="14" t="inlineStr">
        <is>
          <t>Malakand</t>
        </is>
      </c>
      <c r="B970" s="14" t="inlineStr">
        <is>
          <t>Khyber Pakhtunkhwa</t>
        </is>
      </c>
      <c r="C970" s="14" t="n">
        <v>2015</v>
      </c>
      <c r="D970" s="15" t="n">
        <v>474.499756084077</v>
      </c>
      <c r="E970" s="15" t="n">
        <v>4237.00370432723</v>
      </c>
      <c r="F970" s="15" t="n">
        <v>568.354228258133</v>
      </c>
      <c r="G970" s="15" t="n">
        <v>292.864663541317</v>
      </c>
      <c r="H970" s="15" t="n">
        <v>76.0646568713256</v>
      </c>
      <c r="I970" s="16" t="n">
        <v>16.0304944093264</v>
      </c>
      <c r="J970" s="15" t="n">
        <v>21.324549846289</v>
      </c>
      <c r="K970" s="15" t="n">
        <v>905.852489257657</v>
      </c>
      <c r="L970" s="15" t="n">
        <v>373.841908994564</v>
      </c>
      <c r="M970" s="15" t="n">
        <v>100.657847089513</v>
      </c>
      <c r="N970" s="17" t="n">
        <v>0.106014886026779</v>
      </c>
      <c r="O970" s="18" t="n">
        <v>0.0117033277806255</v>
      </c>
    </row>
    <row r="971" ht="15" customHeight="1" s="12">
      <c r="A971" s="14" t="inlineStr">
        <is>
          <t>Malakand</t>
        </is>
      </c>
      <c r="B971" s="14" t="inlineStr">
        <is>
          <t>Khyber Pakhtunkhwa</t>
        </is>
      </c>
      <c r="C971" s="14" t="n">
        <v>2016</v>
      </c>
      <c r="D971" s="15" t="n">
        <v>385.792478495881</v>
      </c>
      <c r="E971" s="15" t="n">
        <v>3444.89989621616</v>
      </c>
      <c r="F971" s="15" t="n">
        <v>475.628083407879</v>
      </c>
      <c r="G971" s="15" t="n">
        <v>265.941446065903</v>
      </c>
      <c r="H971" s="15" t="n">
        <v>56.48144470274</v>
      </c>
      <c r="I971" s="16" t="n">
        <v>14.6403695901353</v>
      </c>
      <c r="J971" s="15" t="n">
        <v>14.9385155906895</v>
      </c>
      <c r="K971" s="15" t="n">
        <v>905.852489257657</v>
      </c>
      <c r="L971" s="15" t="n">
        <v>373.841908994564</v>
      </c>
      <c r="M971" s="15" t="n">
        <v>11.9505695013169</v>
      </c>
      <c r="N971" s="17" t="n">
        <v>0.0472783467625038</v>
      </c>
      <c r="O971" s="18" t="n">
        <v>0.00521921033757364</v>
      </c>
    </row>
    <row r="972" ht="15" customHeight="1" s="12">
      <c r="A972" s="14" t="inlineStr">
        <is>
          <t>Malakand</t>
        </is>
      </c>
      <c r="B972" s="14" t="inlineStr">
        <is>
          <t>Khyber Pakhtunkhwa</t>
        </is>
      </c>
      <c r="C972" s="14" t="n">
        <v>2017</v>
      </c>
      <c r="D972" s="15" t="n">
        <v>514.123358969998</v>
      </c>
      <c r="E972" s="15" t="n">
        <v>4590.81917009681</v>
      </c>
      <c r="F972" s="15" t="n">
        <v>607.820357322693</v>
      </c>
      <c r="G972" s="15" t="n">
        <v>350.21673643589</v>
      </c>
      <c r="H972" s="15" t="n">
        <v>73.1077762341917</v>
      </c>
      <c r="I972" s="16" t="n">
        <v>14.2198900241873</v>
      </c>
      <c r="J972" s="15" t="n">
        <v>25.6416337285903</v>
      </c>
      <c r="K972" s="15" t="n">
        <v>905.852489257657</v>
      </c>
      <c r="L972" s="15" t="n">
        <v>373.841908994564</v>
      </c>
      <c r="M972" s="15" t="n">
        <v>140.281449975434</v>
      </c>
      <c r="N972" s="17" t="n">
        <v>0.0298176338331035</v>
      </c>
      <c r="O972" s="18" t="n">
        <v>0.00329166549595055</v>
      </c>
    </row>
    <row r="973" ht="15" customHeight="1" s="12">
      <c r="A973" s="14" t="inlineStr">
        <is>
          <t>Malakand</t>
        </is>
      </c>
      <c r="B973" s="14" t="inlineStr">
        <is>
          <t>Khyber Pakhtunkhwa</t>
        </is>
      </c>
      <c r="C973" s="14" t="n">
        <v>2018</v>
      </c>
      <c r="D973" s="15" t="n">
        <v>446.340305013933</v>
      </c>
      <c r="E973" s="15" t="n">
        <v>3985.55637065383</v>
      </c>
      <c r="F973" s="15" t="n">
        <v>605.480341672897</v>
      </c>
      <c r="G973" s="15" t="n">
        <v>227.86670511961</v>
      </c>
      <c r="H973" s="15" t="n">
        <v>102.427351986205</v>
      </c>
      <c r="I973" s="16" t="n">
        <v>22.9482641015375</v>
      </c>
      <c r="J973" s="15" t="n">
        <v>23.7804128238911</v>
      </c>
      <c r="K973" s="15" t="n">
        <v>905.852489257657</v>
      </c>
      <c r="L973" s="15" t="n">
        <v>373.841908994564</v>
      </c>
      <c r="M973" s="15" t="n">
        <v>72.4983960193693</v>
      </c>
      <c r="N973" s="17" t="n">
        <v>0.0508644617498659</v>
      </c>
      <c r="O973" s="18" t="n">
        <v>0.00561509322467603</v>
      </c>
    </row>
    <row r="974" ht="15" customHeight="1" s="12">
      <c r="A974" s="14" t="inlineStr">
        <is>
          <t>Malakand</t>
        </is>
      </c>
      <c r="B974" s="14" t="inlineStr">
        <is>
          <t>Khyber Pakhtunkhwa</t>
        </is>
      </c>
      <c r="C974" s="14" t="n">
        <v>2019</v>
      </c>
      <c r="D974" s="15" t="n">
        <v>285.331836753934</v>
      </c>
      <c r="E974" s="15" t="n">
        <v>2547.84545995572</v>
      </c>
      <c r="F974" s="15" t="n">
        <v>400.811002928764</v>
      </c>
      <c r="G974" s="15" t="n">
        <v>158.506999282166</v>
      </c>
      <c r="H974" s="15" t="n">
        <v>58.0120229062325</v>
      </c>
      <c r="I974" s="16" t="n">
        <v>20.3314230778465</v>
      </c>
      <c r="J974" s="15" t="n">
        <v>16.2362758014932</v>
      </c>
      <c r="K974" s="15" t="n">
        <v>905.852489257657</v>
      </c>
      <c r="L974" s="15" t="n">
        <v>373.841908994564</v>
      </c>
      <c r="M974" s="15" t="n">
        <v>-88.5100722406298</v>
      </c>
      <c r="N974" s="17" t="n">
        <v>0.022735130323223</v>
      </c>
      <c r="O974" s="18" t="n">
        <v>0.0025098049177802</v>
      </c>
    </row>
    <row r="975" ht="15" customHeight="1" s="12">
      <c r="A975" s="14" t="inlineStr">
        <is>
          <t>Malakand</t>
        </is>
      </c>
      <c r="B975" s="14" t="inlineStr">
        <is>
          <t>Khyber Pakhtunkhwa</t>
        </is>
      </c>
      <c r="C975" s="14" t="n">
        <v>2020</v>
      </c>
      <c r="D975" s="15" t="n">
        <v>309.135933736964</v>
      </c>
      <c r="E975" s="15" t="n">
        <v>2760.40204360419</v>
      </c>
      <c r="F975" s="15" t="n">
        <v>473.249933689833</v>
      </c>
      <c r="G975" s="15" t="n">
        <v>149.597688734531</v>
      </c>
      <c r="H975" s="15" t="n">
        <v>86.2741072116893</v>
      </c>
      <c r="I975" s="16" t="n">
        <v>27.9081458337023</v>
      </c>
      <c r="J975" s="15" t="n">
        <v>21.8058849363197</v>
      </c>
      <c r="K975" s="15" t="n">
        <v>905.852489257657</v>
      </c>
      <c r="L975" s="15" t="n">
        <v>373.841908994564</v>
      </c>
      <c r="M975" s="15" t="n">
        <v>-64.7059752575995</v>
      </c>
      <c r="N975" s="17" t="n">
        <v>0.0745246164347331</v>
      </c>
      <c r="O975" s="18" t="n">
        <v>0.008227014587751011</v>
      </c>
    </row>
    <row r="976" ht="15" customHeight="1" s="12">
      <c r="A976" s="14" t="inlineStr">
        <is>
          <t>Malakand</t>
        </is>
      </c>
      <c r="B976" s="14" t="inlineStr">
        <is>
          <t>Khyber Pakhtunkhwa</t>
        </is>
      </c>
      <c r="C976" s="14" t="n">
        <v>2021</v>
      </c>
      <c r="D976" s="15" t="n">
        <v>317.629278179135</v>
      </c>
      <c r="E976" s="15" t="n">
        <v>2836.24261338781</v>
      </c>
      <c r="F976" s="15" t="n">
        <v>515.780952751637</v>
      </c>
      <c r="G976" s="15" t="n">
        <v>162.331334710121</v>
      </c>
      <c r="H976" s="15" t="n">
        <v>86.2894779372248</v>
      </c>
      <c r="I976" s="16" t="n">
        <v>27.1667267047591</v>
      </c>
      <c r="J976" s="15" t="n">
        <v>26.0184453227932</v>
      </c>
      <c r="K976" s="15" t="n">
        <v>905.852489257657</v>
      </c>
      <c r="L976" s="15" t="n">
        <v>373.841908994564</v>
      </c>
      <c r="M976" s="15" t="n">
        <v>-56.2126308154284</v>
      </c>
      <c r="N976" s="17" t="n">
        <v>0.0260087765170228</v>
      </c>
      <c r="O976" s="18" t="n">
        <v>0.00287119335934451</v>
      </c>
    </row>
    <row r="977" ht="15" customHeight="1" s="12">
      <c r="A977" s="14" t="inlineStr">
        <is>
          <t>Malakand</t>
        </is>
      </c>
      <c r="B977" s="14" t="inlineStr">
        <is>
          <t>Khyber Pakhtunkhwa</t>
        </is>
      </c>
      <c r="C977" s="14" t="n">
        <v>2022</v>
      </c>
      <c r="D977" s="15" t="n">
        <v>401.966441031831</v>
      </c>
      <c r="E977" s="15" t="n">
        <v>3589.32386756658</v>
      </c>
      <c r="F977" s="15" t="n">
        <v>475.989862139279</v>
      </c>
      <c r="G977" s="15" t="n">
        <v>266.818074340001</v>
      </c>
      <c r="H977" s="15" t="n">
        <v>53.588816133202</v>
      </c>
      <c r="I977" s="16" t="n">
        <v>13.3316642045146</v>
      </c>
      <c r="J977" s="15" t="n">
        <v>19.1106719367589</v>
      </c>
      <c r="K977" s="15" t="n">
        <v>905.852489257657</v>
      </c>
      <c r="L977" s="15" t="n">
        <v>373.841908994564</v>
      </c>
      <c r="M977" s="15" t="n">
        <v>28.1245320372671</v>
      </c>
      <c r="N977" s="17" t="n">
        <v>0.1757231330643</v>
      </c>
      <c r="O977" s="18" t="n">
        <v>0.0193986476990646</v>
      </c>
    </row>
    <row r="978" ht="15" customHeight="1" s="12">
      <c r="A978" s="14" t="inlineStr">
        <is>
          <t>Malakand</t>
        </is>
      </c>
      <c r="B978" s="14" t="inlineStr">
        <is>
          <t>Khyber Pakhtunkhwa</t>
        </is>
      </c>
      <c r="C978" s="14" t="n">
        <v>2023</v>
      </c>
      <c r="D978" s="15" t="n">
        <v>293.577454624414</v>
      </c>
      <c r="E978" s="15" t="n">
        <v>2621.47397717565</v>
      </c>
      <c r="F978" s="15" t="n">
        <v>452.33295917511</v>
      </c>
      <c r="G978" s="15" t="n">
        <v>160.513574957848</v>
      </c>
      <c r="H978" s="15" t="n">
        <v>72.15294972701879</v>
      </c>
      <c r="I978" s="16" t="n">
        <v>24.5771426212981</v>
      </c>
      <c r="J978" s="15" t="n">
        <v>16.3311374615723</v>
      </c>
      <c r="K978" s="15" t="n">
        <v>905.852489257657</v>
      </c>
      <c r="L978" s="15" t="n">
        <v>373.841908994564</v>
      </c>
      <c r="M978" s="15" t="n">
        <v>-80.2644543701501</v>
      </c>
      <c r="N978" s="17" t="n">
        <v>0.0574568168586282</v>
      </c>
      <c r="O978" s="18" t="n">
        <v>0.00634284472803225</v>
      </c>
    </row>
    <row r="979" ht="15" customHeight="1" s="12">
      <c r="A979" s="14" t="inlineStr">
        <is>
          <t>Malakand</t>
        </is>
      </c>
      <c r="B979" s="14" t="inlineStr">
        <is>
          <t>Khyber Pakhtunkhwa</t>
        </is>
      </c>
      <c r="C979" s="14" t="n">
        <v>2024</v>
      </c>
      <c r="D979" s="15" t="n">
        <v>317.809723086929</v>
      </c>
      <c r="E979" s="15" t="n">
        <v>2837.85388027034</v>
      </c>
      <c r="F979" s="15" t="n">
        <v>467.24184979219</v>
      </c>
      <c r="G979" s="15" t="n">
        <v>173.509604087099</v>
      </c>
      <c r="H979" s="15" t="n">
        <v>72.9395925395629</v>
      </c>
      <c r="I979" s="16" t="n">
        <v>22.9507114606472</v>
      </c>
      <c r="J979" s="15" t="n">
        <v>24.8550724637681</v>
      </c>
      <c r="K979" s="15" t="n">
        <v>905.852489257657</v>
      </c>
      <c r="L979" s="15" t="n">
        <v>373.841908994564</v>
      </c>
      <c r="M979" s="15" t="n">
        <v>-56.0321859076353</v>
      </c>
      <c r="N979" s="17" t="n">
        <v>0.0382200906711952</v>
      </c>
      <c r="O979" s="18" t="n">
        <v>0.00421924001141913</v>
      </c>
    </row>
    <row r="980" ht="15" customHeight="1" s="12">
      <c r="A980" s="14" t="inlineStr">
        <is>
          <t>Malakand</t>
        </is>
      </c>
      <c r="B980" s="14" t="inlineStr">
        <is>
          <t>Khyber Pakhtunkhwa</t>
        </is>
      </c>
      <c r="C980" s="14" t="n">
        <v>2025</v>
      </c>
      <c r="D980" s="15" t="n">
        <v>366.054432963106</v>
      </c>
      <c r="E980" s="15" t="n">
        <v>3268.6507602235</v>
      </c>
      <c r="F980" s="15" t="n">
        <v>528.516307830811</v>
      </c>
      <c r="G980" s="15" t="n">
        <v>194.014469385147</v>
      </c>
      <c r="H980" s="15" t="n">
        <v>82.4427652495207</v>
      </c>
      <c r="I980" s="16" t="n">
        <v>22.5219961365227</v>
      </c>
      <c r="J980" s="15" t="n">
        <v>26.4611330698287</v>
      </c>
      <c r="K980" s="15" t="n">
        <v>905.852489257657</v>
      </c>
      <c r="L980" s="15" t="n">
        <v>373.841908994564</v>
      </c>
      <c r="M980" s="15" t="n">
        <v>-7.78747603145797</v>
      </c>
      <c r="N980" s="17" t="n">
        <v>0.0615130185980105</v>
      </c>
      <c r="O980" s="18" t="n">
        <v>0.00679062201931136</v>
      </c>
    </row>
    <row r="981" ht="15" customHeight="1" s="12">
      <c r="A981" s="14" t="inlineStr">
        <is>
          <t>Malir Karachi</t>
        </is>
      </c>
      <c r="B981" s="14" t="inlineStr">
        <is>
          <t>Sindh</t>
        </is>
      </c>
      <c r="C981" s="14" t="n">
        <v>2015</v>
      </c>
      <c r="D981" s="15" t="n">
        <v>141.110487550444</v>
      </c>
      <c r="E981" s="15" t="n">
        <v>3400.4860627352</v>
      </c>
      <c r="F981" s="15" t="n">
        <v>153.123931884766</v>
      </c>
      <c r="G981" s="15" t="n">
        <v>131.402402997017</v>
      </c>
      <c r="H981" s="15" t="n">
        <v>6.13737745309143</v>
      </c>
      <c r="I981" s="16" t="n">
        <v>4.34934182400685</v>
      </c>
      <c r="J981" s="15" t="n">
        <v>9.31212367778682</v>
      </c>
      <c r="K981" s="15" t="n">
        <v>2732.50106742115</v>
      </c>
      <c r="L981" s="15" t="n">
        <v>225.308576182185</v>
      </c>
      <c r="M981" s="15" t="n">
        <v>-84.1980886317417</v>
      </c>
      <c r="N981" s="17" t="n">
        <v>8.915452998524639</v>
      </c>
      <c r="O981" s="18" t="n">
        <v>0.326274456205017</v>
      </c>
    </row>
    <row r="982" ht="15" customHeight="1" s="12">
      <c r="A982" s="14" t="inlineStr">
        <is>
          <t>Malir Karachi</t>
        </is>
      </c>
      <c r="B982" s="14" t="inlineStr">
        <is>
          <t>Sindh</t>
        </is>
      </c>
      <c r="C982" s="14" t="n">
        <v>2016</v>
      </c>
      <c r="D982" s="15" t="n">
        <v>157.989105701767</v>
      </c>
      <c r="E982" s="15" t="n">
        <v>3807.22766485238</v>
      </c>
      <c r="F982" s="15" t="n">
        <v>184.969179868698</v>
      </c>
      <c r="G982" s="15" t="n">
        <v>117.898569583893</v>
      </c>
      <c r="H982" s="15" t="n">
        <v>17.8536452449656</v>
      </c>
      <c r="I982" s="16" t="n">
        <v>11.3005546589191</v>
      </c>
      <c r="J982" s="15" t="n">
        <v>14.4473555736371</v>
      </c>
      <c r="K982" s="15" t="n">
        <v>2732.50106742115</v>
      </c>
      <c r="L982" s="15" t="n">
        <v>225.308576182185</v>
      </c>
      <c r="M982" s="15" t="n">
        <v>-67.3194704804187</v>
      </c>
      <c r="N982" s="17" t="n">
        <v>12.1063488450521</v>
      </c>
      <c r="O982" s="18" t="n">
        <v>0.443050104879837</v>
      </c>
    </row>
    <row r="983" ht="15" customHeight="1" s="12">
      <c r="A983" s="14" t="inlineStr">
        <is>
          <t>Malir Karachi</t>
        </is>
      </c>
      <c r="B983" s="14" t="inlineStr">
        <is>
          <t>Sindh</t>
        </is>
      </c>
      <c r="C983" s="14" t="n">
        <v>2017</v>
      </c>
      <c r="D983" s="15" t="n">
        <v>229.535209296732</v>
      </c>
      <c r="E983" s="15" t="n">
        <v>5531.34847501341</v>
      </c>
      <c r="F983" s="15" t="n">
        <v>250.203783988953</v>
      </c>
      <c r="G983" s="15" t="n">
        <v>201.103777885437</v>
      </c>
      <c r="H983" s="15" t="n">
        <v>14.7974838694723</v>
      </c>
      <c r="I983" s="16" t="n">
        <v>6.44671635119075</v>
      </c>
      <c r="J983" s="15" t="n">
        <v>23.5235150528885</v>
      </c>
      <c r="K983" s="15" t="n">
        <v>2732.50106742115</v>
      </c>
      <c r="L983" s="15" t="n">
        <v>225.308576182185</v>
      </c>
      <c r="M983" s="15" t="n">
        <v>4.22663311454684</v>
      </c>
      <c r="N983" s="17" t="n">
        <v>9.399586438028731</v>
      </c>
      <c r="O983" s="18" t="n">
        <v>0.343992049997615</v>
      </c>
    </row>
    <row r="984" ht="15" customHeight="1" s="12">
      <c r="A984" s="14" t="inlineStr">
        <is>
          <t>Malir Karachi</t>
        </is>
      </c>
      <c r="B984" s="14" t="inlineStr">
        <is>
          <t>Sindh</t>
        </is>
      </c>
      <c r="C984" s="14" t="n">
        <v>2018</v>
      </c>
      <c r="D984" s="15" t="n">
        <v>37.566328615782</v>
      </c>
      <c r="E984" s="15" t="n">
        <v>905.274860172471</v>
      </c>
      <c r="F984" s="15" t="n">
        <v>46.742584196385</v>
      </c>
      <c r="G984" s="15" t="n">
        <v>26.5361199940089</v>
      </c>
      <c r="H984" s="15" t="n">
        <v>4.75309632832957</v>
      </c>
      <c r="I984" s="16" t="n">
        <v>12.6525441890873</v>
      </c>
      <c r="J984" s="15" t="n">
        <v>7.24605370219691</v>
      </c>
      <c r="K984" s="15" t="n">
        <v>2732.50106742115</v>
      </c>
      <c r="L984" s="15" t="n">
        <v>225.308576182185</v>
      </c>
      <c r="M984" s="15" t="n">
        <v>-187.742247566403</v>
      </c>
      <c r="N984" s="17" t="n">
        <v>3.80223391360677</v>
      </c>
      <c r="O984" s="18" t="n">
        <v>0.139148487769675</v>
      </c>
    </row>
    <row r="985" ht="15" customHeight="1" s="12">
      <c r="A985" s="14" t="inlineStr">
        <is>
          <t>Malir Karachi</t>
        </is>
      </c>
      <c r="B985" s="14" t="inlineStr">
        <is>
          <t>Sindh</t>
        </is>
      </c>
      <c r="C985" s="14" t="n">
        <v>2019</v>
      </c>
      <c r="D985" s="15" t="n">
        <v>323.259739127083</v>
      </c>
      <c r="E985" s="15" t="n">
        <v>7789.92587033695</v>
      </c>
      <c r="F985" s="15" t="n">
        <v>372.558542312661</v>
      </c>
      <c r="G985" s="15" t="n">
        <v>275.840143695474</v>
      </c>
      <c r="H985" s="15" t="n">
        <v>24.8528819714766</v>
      </c>
      <c r="I985" s="16" t="n">
        <v>7.68820826205836</v>
      </c>
      <c r="J985" s="15" t="n">
        <v>21.5946297803092</v>
      </c>
      <c r="K985" s="15" t="n">
        <v>2732.50106742115</v>
      </c>
      <c r="L985" s="15" t="n">
        <v>225.308576182185</v>
      </c>
      <c r="M985" s="15" t="n">
        <v>97.95116294489711</v>
      </c>
      <c r="N985" s="17" t="n">
        <v>16.0570171823204</v>
      </c>
      <c r="O985" s="18" t="n">
        <v>0.5876307743760369</v>
      </c>
    </row>
    <row r="986" ht="15" customHeight="1" s="12">
      <c r="A986" s="14" t="inlineStr">
        <is>
          <t>Malir Karachi</t>
        </is>
      </c>
      <c r="B986" s="14" t="inlineStr">
        <is>
          <t>Sindh</t>
        </is>
      </c>
      <c r="C986" s="14" t="n">
        <v>2020</v>
      </c>
      <c r="D986" s="15" t="n">
        <v>353.473231236376</v>
      </c>
      <c r="E986" s="15" t="n">
        <v>8518.01178802952</v>
      </c>
      <c r="F986" s="15" t="n">
        <v>420.374977114691</v>
      </c>
      <c r="G986" s="15" t="n">
        <v>279.93691874202</v>
      </c>
      <c r="H986" s="15" t="n">
        <v>35.0091800359521</v>
      </c>
      <c r="I986" s="16" t="n">
        <v>9.904337002691051</v>
      </c>
      <c r="J986" s="15" t="n">
        <v>32.860211554109</v>
      </c>
      <c r="K986" s="15" t="n">
        <v>2732.50106742115</v>
      </c>
      <c r="L986" s="15" t="n">
        <v>225.308576182185</v>
      </c>
      <c r="M986" s="15" t="n">
        <v>128.16465505419</v>
      </c>
      <c r="N986" s="17" t="n">
        <v>18.0822682814973</v>
      </c>
      <c r="O986" s="18" t="n">
        <v>0.661747894523707</v>
      </c>
    </row>
    <row r="987" ht="15" customHeight="1" s="12">
      <c r="A987" s="14" t="inlineStr">
        <is>
          <t>Malir Karachi</t>
        </is>
      </c>
      <c r="B987" s="14" t="inlineStr">
        <is>
          <t>Sindh</t>
        </is>
      </c>
      <c r="C987" s="14" t="n">
        <v>2021</v>
      </c>
      <c r="D987" s="15" t="n">
        <v>152.086723034733</v>
      </c>
      <c r="E987" s="15" t="n">
        <v>3664.9918158762</v>
      </c>
      <c r="F987" s="15" t="n">
        <v>174.306668400765</v>
      </c>
      <c r="G987" s="15" t="n">
        <v>120.114517480135</v>
      </c>
      <c r="H987" s="15" t="n">
        <v>12.099679099626</v>
      </c>
      <c r="I987" s="16" t="n">
        <v>7.95577605867853</v>
      </c>
      <c r="J987" s="15" t="n">
        <v>21.5596419853539</v>
      </c>
      <c r="K987" s="15" t="n">
        <v>2732.50106742115</v>
      </c>
      <c r="L987" s="15" t="n">
        <v>225.308576182185</v>
      </c>
      <c r="M987" s="15" t="n">
        <v>-73.2218531474528</v>
      </c>
      <c r="N987" s="17" t="n">
        <v>12.544837822871</v>
      </c>
      <c r="O987" s="18" t="n">
        <v>0.459097270718008</v>
      </c>
    </row>
    <row r="988" ht="15" customHeight="1" s="12">
      <c r="A988" s="14" t="inlineStr">
        <is>
          <t>Malir Karachi</t>
        </is>
      </c>
      <c r="B988" s="14" t="inlineStr">
        <is>
          <t>Sindh</t>
        </is>
      </c>
      <c r="C988" s="14" t="n">
        <v>2022</v>
      </c>
      <c r="D988" s="15" t="n">
        <v>518.088620250108</v>
      </c>
      <c r="E988" s="15" t="n">
        <v>12484.9198879879</v>
      </c>
      <c r="F988" s="15" t="n">
        <v>575.385523432093</v>
      </c>
      <c r="G988" s="15" t="n">
        <v>461.372202215418</v>
      </c>
      <c r="H988" s="15" t="n">
        <v>26.4287334820023</v>
      </c>
      <c r="I988" s="16" t="n">
        <v>5.10119937960494</v>
      </c>
      <c r="J988" s="15" t="n">
        <v>37.0040683482506</v>
      </c>
      <c r="K988" s="15" t="n">
        <v>2732.50106742115</v>
      </c>
      <c r="L988" s="15" t="n">
        <v>225.308576182185</v>
      </c>
      <c r="M988" s="15" t="n">
        <v>292.780044067923</v>
      </c>
      <c r="N988" s="17" t="n">
        <v>19.4495659170642</v>
      </c>
      <c r="O988" s="18" t="n">
        <v>0.711786214796253</v>
      </c>
    </row>
    <row r="989" ht="15" customHeight="1" s="12">
      <c r="A989" s="14" t="inlineStr">
        <is>
          <t>Malir Karachi</t>
        </is>
      </c>
      <c r="B989" s="14" t="inlineStr">
        <is>
          <t>Sindh</t>
        </is>
      </c>
      <c r="C989" s="14" t="n">
        <v>2023</v>
      </c>
      <c r="D989" s="15" t="n">
        <v>140.327875163579</v>
      </c>
      <c r="E989" s="15" t="n">
        <v>3381.62663874585</v>
      </c>
      <c r="F989" s="15" t="n">
        <v>159.500769019127</v>
      </c>
      <c r="G989" s="15" t="n">
        <v>118.054767876864</v>
      </c>
      <c r="H989" s="15" t="n">
        <v>10.3845452283804</v>
      </c>
      <c r="I989" s="16" t="n">
        <v>7.40020129021066</v>
      </c>
      <c r="J989" s="15" t="n">
        <v>17.0963384865745</v>
      </c>
      <c r="K989" s="15" t="n">
        <v>2732.50106742115</v>
      </c>
      <c r="L989" s="15" t="n">
        <v>225.308576182185</v>
      </c>
      <c r="M989" s="15" t="n">
        <v>-84.9807010186065</v>
      </c>
      <c r="N989" s="17" t="n">
        <v>9.51421016590195</v>
      </c>
      <c r="O989" s="18" t="n">
        <v>0.348186878290268</v>
      </c>
    </row>
    <row r="990" ht="15" customHeight="1" s="12">
      <c r="A990" s="14" t="inlineStr">
        <is>
          <t>Malir Karachi</t>
        </is>
      </c>
      <c r="B990" s="14" t="inlineStr">
        <is>
          <t>Sindh</t>
        </is>
      </c>
      <c r="C990" s="14" t="n">
        <v>2024</v>
      </c>
      <c r="D990" s="15" t="n">
        <v>229.961974866869</v>
      </c>
      <c r="E990" s="15" t="n">
        <v>5541.63268845847</v>
      </c>
      <c r="F990" s="15" t="n">
        <v>247.120842015938</v>
      </c>
      <c r="G990" s="15" t="n">
        <v>202.978186401524</v>
      </c>
      <c r="H990" s="15" t="n">
        <v>12.7270044573974</v>
      </c>
      <c r="I990" s="16" t="n">
        <v>5.53439518197101</v>
      </c>
      <c r="J990" s="15" t="n">
        <v>27.5253051261188</v>
      </c>
      <c r="K990" s="15" t="n">
        <v>2732.50106742115</v>
      </c>
      <c r="L990" s="15" t="n">
        <v>225.308576182185</v>
      </c>
      <c r="M990" s="15" t="n">
        <v>4.65339868468362</v>
      </c>
      <c r="N990" s="17" t="n">
        <v>12.3871831091242</v>
      </c>
      <c r="O990" s="18" t="n">
        <v>0.45332765856208</v>
      </c>
    </row>
    <row r="991" ht="15" customHeight="1" s="12">
      <c r="A991" s="14" t="inlineStr">
        <is>
          <t>Malir Karachi</t>
        </is>
      </c>
      <c r="B991" s="14" t="inlineStr">
        <is>
          <t>Sindh</t>
        </is>
      </c>
      <c r="C991" s="14" t="n">
        <v>2025</v>
      </c>
      <c r="D991" s="15" t="n">
        <v>194.995043160568</v>
      </c>
      <c r="E991" s="15" t="n">
        <v>4698.99819694781</v>
      </c>
      <c r="F991" s="15" t="n">
        <v>222.291159636578</v>
      </c>
      <c r="G991" s="15" t="n">
        <v>164.937777197411</v>
      </c>
      <c r="H991" s="15" t="n">
        <v>14.0652467791053</v>
      </c>
      <c r="I991" s="16" t="n">
        <v>7.21313042174271</v>
      </c>
      <c r="J991" s="15" t="n">
        <v>17.7272579332791</v>
      </c>
      <c r="K991" s="15" t="n">
        <v>2732.50106742115</v>
      </c>
      <c r="L991" s="15" t="n">
        <v>225.308576182185</v>
      </c>
      <c r="M991" s="15" t="n">
        <v>-30.3135330216172</v>
      </c>
      <c r="N991" s="17" t="n">
        <v>5.64814606251005</v>
      </c>
      <c r="O991" s="18" t="n">
        <v>0.206702428403462</v>
      </c>
    </row>
    <row r="992" ht="15" customHeight="1" s="12">
      <c r="A992" s="14" t="inlineStr">
        <is>
          <t>Mandi Bahauddin</t>
        </is>
      </c>
      <c r="B992" s="14" t="inlineStr">
        <is>
          <t>Punjab</t>
        </is>
      </c>
      <c r="C992" s="14" t="n">
        <v>2015</v>
      </c>
      <c r="D992" s="15" t="n">
        <v>442.309753458475</v>
      </c>
      <c r="E992" s="15" t="n">
        <v>11633.6137899843</v>
      </c>
      <c r="F992" s="15" t="n">
        <v>582.124413013458</v>
      </c>
      <c r="G992" s="15" t="n">
        <v>322.505969047546</v>
      </c>
      <c r="H992" s="15" t="n">
        <v>76.1189021839967</v>
      </c>
      <c r="I992" s="16" t="n">
        <v>17.2094107328209</v>
      </c>
      <c r="J992" s="15" t="n">
        <v>32.2589831519308</v>
      </c>
      <c r="K992" s="15" t="n">
        <v>2743.3803175096</v>
      </c>
      <c r="L992" s="15" t="n">
        <v>499.36508178411</v>
      </c>
      <c r="M992" s="15" t="n">
        <v>-57.055328325635</v>
      </c>
      <c r="N992" s="17" t="n">
        <v>14.1801250486383</v>
      </c>
      <c r="O992" s="18" t="n">
        <v>0.516885134668855</v>
      </c>
    </row>
    <row r="993" ht="15" customHeight="1" s="12">
      <c r="A993" s="14" t="inlineStr">
        <is>
          <t>Mandi Bahauddin</t>
        </is>
      </c>
      <c r="B993" s="14" t="inlineStr">
        <is>
          <t>Punjab</t>
        </is>
      </c>
      <c r="C993" s="14" t="n">
        <v>2016</v>
      </c>
      <c r="D993" s="15" t="n">
        <v>483.027218604063</v>
      </c>
      <c r="E993" s="15" t="n">
        <v>12704.5629614802</v>
      </c>
      <c r="F993" s="15" t="n">
        <v>634.333943486214</v>
      </c>
      <c r="G993" s="15" t="n">
        <v>364.123541355133</v>
      </c>
      <c r="H993" s="15" t="n">
        <v>75.331026479448</v>
      </c>
      <c r="I993" s="16" t="n">
        <v>15.5956069509194</v>
      </c>
      <c r="J993" s="15" t="n">
        <v>33.6378410615775</v>
      </c>
      <c r="K993" s="15" t="n">
        <v>2743.3803175096</v>
      </c>
      <c r="L993" s="15" t="n">
        <v>499.36508178411</v>
      </c>
      <c r="M993" s="15" t="n">
        <v>-16.3378631800474</v>
      </c>
      <c r="N993" s="17" t="n">
        <v>30.1549122406416</v>
      </c>
      <c r="O993" s="18" t="n">
        <v>1.09918818211891</v>
      </c>
    </row>
    <row r="994" ht="15" customHeight="1" s="12">
      <c r="A994" s="14" t="inlineStr">
        <is>
          <t>Mandi Bahauddin</t>
        </is>
      </c>
      <c r="B994" s="14" t="inlineStr">
        <is>
          <t>Punjab</t>
        </is>
      </c>
      <c r="C994" s="14" t="n">
        <v>2017</v>
      </c>
      <c r="D994" s="15" t="n">
        <v>435.346053896202</v>
      </c>
      <c r="E994" s="15" t="n">
        <v>11450.4548371836</v>
      </c>
      <c r="F994" s="15" t="n">
        <v>560.835060834885</v>
      </c>
      <c r="G994" s="15" t="n">
        <v>336.548944950104</v>
      </c>
      <c r="H994" s="15" t="n">
        <v>68.89752217827549</v>
      </c>
      <c r="I994" s="16" t="n">
        <v>15.8259209108859</v>
      </c>
      <c r="J994" s="15" t="n">
        <v>28.5886387356493</v>
      </c>
      <c r="K994" s="15" t="n">
        <v>2743.3803175096</v>
      </c>
      <c r="L994" s="15" t="n">
        <v>499.36508178411</v>
      </c>
      <c r="M994" s="15" t="n">
        <v>-64.01902788790881</v>
      </c>
      <c r="N994" s="17" t="n">
        <v>7.61010945219055</v>
      </c>
      <c r="O994" s="18" t="n">
        <v>0.277398995816187</v>
      </c>
    </row>
    <row r="995" ht="15" customHeight="1" s="12">
      <c r="A995" s="14" t="inlineStr">
        <is>
          <t>Mandi Bahauddin</t>
        </is>
      </c>
      <c r="B995" s="14" t="inlineStr">
        <is>
          <t>Punjab</t>
        </is>
      </c>
      <c r="C995" s="14" t="n">
        <v>2018</v>
      </c>
      <c r="D995" s="15" t="n">
        <v>406.771919827665</v>
      </c>
      <c r="E995" s="15" t="n">
        <v>10698.8990834673</v>
      </c>
      <c r="F995" s="15" t="n">
        <v>538.005196928978</v>
      </c>
      <c r="G995" s="15" t="n">
        <v>303.969652575441</v>
      </c>
      <c r="H995" s="15" t="n">
        <v>65.2071726480104</v>
      </c>
      <c r="I995" s="16" t="n">
        <v>16.0304016746378</v>
      </c>
      <c r="J995" s="15" t="n">
        <v>23.533919785299</v>
      </c>
      <c r="K995" s="15" t="n">
        <v>2743.3803175096</v>
      </c>
      <c r="L995" s="15" t="n">
        <v>499.36508178411</v>
      </c>
      <c r="M995" s="15" t="n">
        <v>-92.5931619564453</v>
      </c>
      <c r="N995" s="17" t="n">
        <v>12.755013575489</v>
      </c>
      <c r="O995" s="18" t="n">
        <v>0.464937854007346</v>
      </c>
    </row>
    <row r="996" ht="15" customHeight="1" s="12">
      <c r="A996" s="14" t="inlineStr">
        <is>
          <t>Mandi Bahauddin</t>
        </is>
      </c>
      <c r="B996" s="14" t="inlineStr">
        <is>
          <t>Punjab</t>
        </is>
      </c>
      <c r="C996" s="14" t="n">
        <v>2019</v>
      </c>
      <c r="D996" s="15" t="n">
        <v>435.645882351791</v>
      </c>
      <c r="E996" s="15" t="n">
        <v>11458.3409134646</v>
      </c>
      <c r="F996" s="15" t="n">
        <v>540.63161277771</v>
      </c>
      <c r="G996" s="15" t="n">
        <v>341.764902114868</v>
      </c>
      <c r="H996" s="15" t="n">
        <v>58.8827888869607</v>
      </c>
      <c r="I996" s="16" t="n">
        <v>13.5162046222239</v>
      </c>
      <c r="J996" s="15" t="n">
        <v>21.360667958849</v>
      </c>
      <c r="K996" s="15" t="n">
        <v>2743.3803175096</v>
      </c>
      <c r="L996" s="15" t="n">
        <v>499.36508178411</v>
      </c>
      <c r="M996" s="15" t="n">
        <v>-63.7191994323196</v>
      </c>
      <c r="N996" s="17" t="n">
        <v>13.8629840781896</v>
      </c>
      <c r="O996" s="18" t="n">
        <v>0.5053249084608969</v>
      </c>
    </row>
    <row r="997" ht="15" customHeight="1" s="12">
      <c r="A997" s="14" t="inlineStr">
        <is>
          <t>Mandi Bahauddin</t>
        </is>
      </c>
      <c r="B997" s="14" t="inlineStr">
        <is>
          <t>Punjab</t>
        </is>
      </c>
      <c r="C997" s="14" t="n">
        <v>2020</v>
      </c>
      <c r="D997" s="15" t="n">
        <v>596.331010857602</v>
      </c>
      <c r="E997" s="15" t="n">
        <v>15684.6748620468</v>
      </c>
      <c r="F997" s="15" t="n">
        <v>742.029285933365</v>
      </c>
      <c r="G997" s="15" t="n">
        <v>457.255835957541</v>
      </c>
      <c r="H997" s="15" t="n">
        <v>86.283619124495</v>
      </c>
      <c r="I997" s="16" t="n">
        <v>14.469081358088</v>
      </c>
      <c r="J997" s="15" t="n">
        <v>33.2404950052184</v>
      </c>
      <c r="K997" s="15" t="n">
        <v>2743.3803175096</v>
      </c>
      <c r="L997" s="15" t="n">
        <v>499.36508178411</v>
      </c>
      <c r="M997" s="15" t="n">
        <v>96.96592907349169</v>
      </c>
      <c r="N997" s="17" t="n">
        <v>12.9613331991985</v>
      </c>
      <c r="O997" s="18" t="n">
        <v>0.472458489130103</v>
      </c>
    </row>
    <row r="998" ht="15" customHeight="1" s="12">
      <c r="A998" s="14" t="inlineStr">
        <is>
          <t>Mandi Bahauddin</t>
        </is>
      </c>
      <c r="B998" s="14" t="inlineStr">
        <is>
          <t>Punjab</t>
        </is>
      </c>
      <c r="C998" s="14" t="n">
        <v>2021</v>
      </c>
      <c r="D998" s="15" t="n">
        <v>596.142005676411</v>
      </c>
      <c r="E998" s="15" t="n">
        <v>15679.7036551831</v>
      </c>
      <c r="F998" s="15" t="n">
        <v>786.333477973938</v>
      </c>
      <c r="G998" s="15" t="n">
        <v>449.283283472061</v>
      </c>
      <c r="H998" s="15" t="n">
        <v>97.1393780465138</v>
      </c>
      <c r="I998" s="16" t="n">
        <v>16.2946709209486</v>
      </c>
      <c r="J998" s="15" t="n">
        <v>20.1614730878187</v>
      </c>
      <c r="K998" s="15" t="n">
        <v>2743.3803175096</v>
      </c>
      <c r="L998" s="15" t="n">
        <v>499.36508178411</v>
      </c>
      <c r="M998" s="15" t="n">
        <v>96.7769238923003</v>
      </c>
      <c r="N998" s="17" t="n">
        <v>13.8692883334945</v>
      </c>
      <c r="O998" s="18" t="n">
        <v>0.505554707270219</v>
      </c>
    </row>
    <row r="999" ht="15" customHeight="1" s="12">
      <c r="A999" s="14" t="inlineStr">
        <is>
          <t>Mandi Bahauddin</t>
        </is>
      </c>
      <c r="B999" s="14" t="inlineStr">
        <is>
          <t>Punjab</t>
        </is>
      </c>
      <c r="C999" s="14" t="n">
        <v>2022</v>
      </c>
      <c r="D999" s="15" t="n">
        <v>415.313869615133</v>
      </c>
      <c r="E999" s="15" t="n">
        <v>10923.5691117988</v>
      </c>
      <c r="F999" s="15" t="n">
        <v>572.661604404537</v>
      </c>
      <c r="G999" s="15" t="n">
        <v>314.087001474408</v>
      </c>
      <c r="H999" s="15" t="n">
        <v>77.324077270926</v>
      </c>
      <c r="I999" s="16" t="n">
        <v>18.6182265818816</v>
      </c>
      <c r="J999" s="15" t="n">
        <v>29.5225883405397</v>
      </c>
      <c r="K999" s="15" t="n">
        <v>2743.3803175096</v>
      </c>
      <c r="L999" s="15" t="n">
        <v>499.36508178411</v>
      </c>
      <c r="M999" s="15" t="n">
        <v>-84.051212168977</v>
      </c>
      <c r="N999" s="17" t="n">
        <v>11.2032934269392</v>
      </c>
      <c r="O999" s="18" t="n">
        <v>0.408375512335432</v>
      </c>
    </row>
    <row r="1000" ht="15" customHeight="1" s="12">
      <c r="A1000" s="14" t="inlineStr">
        <is>
          <t>Mandi Bahauddin</t>
        </is>
      </c>
      <c r="B1000" s="14" t="inlineStr">
        <is>
          <t>Punjab</t>
        </is>
      </c>
      <c r="C1000" s="14" t="n">
        <v>2023</v>
      </c>
      <c r="D1000" s="15" t="n">
        <v>467.747448217412</v>
      </c>
      <c r="E1000" s="15" t="n">
        <v>12302.6750399772</v>
      </c>
      <c r="F1000" s="15" t="n">
        <v>588.957896709442</v>
      </c>
      <c r="G1000" s="15" t="n">
        <v>377.202872276306</v>
      </c>
      <c r="H1000" s="15" t="n">
        <v>62.6040548207565</v>
      </c>
      <c r="I1000" s="16" t="n">
        <v>13.3841574249824</v>
      </c>
      <c r="J1000" s="15" t="n">
        <v>17.5716415685105</v>
      </c>
      <c r="K1000" s="15" t="n">
        <v>2743.3803175096</v>
      </c>
      <c r="L1000" s="15" t="n">
        <v>499.36508178411</v>
      </c>
      <c r="M1000" s="15" t="n">
        <v>-31.6176335666983</v>
      </c>
      <c r="N1000" s="17" t="n">
        <v>12.7769461743921</v>
      </c>
      <c r="O1000" s="18" t="n">
        <v>0.465737327516835</v>
      </c>
    </row>
    <row r="1001" ht="15" customHeight="1" s="12">
      <c r="A1001" s="14" t="inlineStr">
        <is>
          <t>Mandi Bahauddin</t>
        </is>
      </c>
      <c r="B1001" s="14" t="inlineStr">
        <is>
          <t>Punjab</t>
        </is>
      </c>
      <c r="C1001" s="14" t="n">
        <v>2024</v>
      </c>
      <c r="D1001" s="15" t="n">
        <v>554.375300812909</v>
      </c>
      <c r="E1001" s="15" t="n">
        <v>14581.1574217733</v>
      </c>
      <c r="F1001" s="15" t="n">
        <v>722.684263269417</v>
      </c>
      <c r="G1001" s="15" t="n">
        <v>391.260320376488</v>
      </c>
      <c r="H1001" s="15" t="n">
        <v>101.747774534399</v>
      </c>
      <c r="I1001" s="16" t="n">
        <v>18.3535908589725</v>
      </c>
      <c r="J1001" s="15" t="n">
        <v>36.7766512598778</v>
      </c>
      <c r="K1001" s="15" t="n">
        <v>2743.3803175096</v>
      </c>
      <c r="L1001" s="15" t="n">
        <v>499.36508178411</v>
      </c>
      <c r="M1001" s="15" t="n">
        <v>55.0102190287987</v>
      </c>
      <c r="N1001" s="17" t="n">
        <v>9.904904418499379</v>
      </c>
      <c r="O1001" s="18" t="n">
        <v>0.361047440461734</v>
      </c>
    </row>
    <row r="1002" ht="15" customHeight="1" s="12">
      <c r="A1002" s="14" t="inlineStr">
        <is>
          <t>Mandi Bahauddin</t>
        </is>
      </c>
      <c r="B1002" s="14" t="inlineStr">
        <is>
          <t>Punjab</t>
        </is>
      </c>
      <c r="C1002" s="14" t="n">
        <v>2025</v>
      </c>
      <c r="D1002" s="15" t="n">
        <v>660.005436307552</v>
      </c>
      <c r="E1002" s="15" t="n">
        <v>17359.4371031951</v>
      </c>
      <c r="F1002" s="15" t="n">
        <v>862.0652558803559</v>
      </c>
      <c r="G1002" s="15" t="n">
        <v>480.442218996104</v>
      </c>
      <c r="H1002" s="15" t="n">
        <v>106.029257727162</v>
      </c>
      <c r="I1002" s="16" t="n">
        <v>16.0649067256704</v>
      </c>
      <c r="J1002" s="15" t="n">
        <v>29.5708960787237</v>
      </c>
      <c r="K1002" s="15" t="n">
        <v>2743.3803175096</v>
      </c>
      <c r="L1002" s="15" t="n">
        <v>499.36508178411</v>
      </c>
      <c r="M1002" s="15" t="n">
        <v>160.640354523441</v>
      </c>
      <c r="N1002" s="17" t="n">
        <v>13.8386886303561</v>
      </c>
      <c r="O1002" s="18" t="n">
        <v>0.504439305845814</v>
      </c>
    </row>
    <row r="1003" ht="15" customHeight="1" s="12">
      <c r="A1003" s="14" t="inlineStr">
        <is>
          <t>Mansehra</t>
        </is>
      </c>
      <c r="B1003" s="14" t="inlineStr">
        <is>
          <t>Khyber Pakhtunkhwa</t>
        </is>
      </c>
      <c r="C1003" s="14" t="n">
        <v>2015</v>
      </c>
      <c r="D1003" s="15" t="n">
        <v>557.8440824941461</v>
      </c>
      <c r="E1003" s="15" t="n">
        <v>22084.0627952094</v>
      </c>
      <c r="F1003" s="15" t="n">
        <v>981.78759843111</v>
      </c>
      <c r="G1003" s="15" t="n">
        <v>169.956724882126</v>
      </c>
      <c r="H1003" s="15" t="n">
        <v>181.31857232314</v>
      </c>
      <c r="I1003" s="16" t="n">
        <v>32.5034499805853</v>
      </c>
      <c r="J1003" s="15" t="n">
        <v>27.2998514115899</v>
      </c>
      <c r="K1003" s="15" t="n">
        <v>4032.5976424907</v>
      </c>
      <c r="L1003" s="15" t="n">
        <v>564.478116754975</v>
      </c>
      <c r="M1003" s="15" t="n">
        <v>-6.63403426082925</v>
      </c>
      <c r="N1003" s="17" t="n">
        <v>4.71265165121376</v>
      </c>
      <c r="O1003" s="18" t="n">
        <v>0.11686391921568</v>
      </c>
    </row>
    <row r="1004" ht="15" customHeight="1" s="12">
      <c r="A1004" s="14" t="inlineStr">
        <is>
          <t>Mansehra</t>
        </is>
      </c>
      <c r="B1004" s="14" t="inlineStr">
        <is>
          <t>Khyber Pakhtunkhwa</t>
        </is>
      </c>
      <c r="C1004" s="14" t="n">
        <v>2016</v>
      </c>
      <c r="D1004" s="15" t="n">
        <v>505.12529440604</v>
      </c>
      <c r="E1004" s="15" t="n">
        <v>19997.0190079567</v>
      </c>
      <c r="F1004" s="15" t="n">
        <v>822.629789352417</v>
      </c>
      <c r="G1004" s="15" t="n">
        <v>158.364561319351</v>
      </c>
      <c r="H1004" s="15" t="n">
        <v>152.824707063794</v>
      </c>
      <c r="I1004" s="16" t="n">
        <v>30.2548117776393</v>
      </c>
      <c r="J1004" s="15" t="n">
        <v>20.9554234769688</v>
      </c>
      <c r="K1004" s="15" t="n">
        <v>4032.5976424907</v>
      </c>
      <c r="L1004" s="15" t="n">
        <v>564.478116754975</v>
      </c>
      <c r="M1004" s="15" t="n">
        <v>-59.3528223489353</v>
      </c>
      <c r="N1004" s="17" t="n">
        <v>6.85767443590039</v>
      </c>
      <c r="O1004" s="18" t="n">
        <v>0.170056004686468</v>
      </c>
    </row>
    <row r="1005" ht="15" customHeight="1" s="12">
      <c r="A1005" s="14" t="inlineStr">
        <is>
          <t>Mansehra</t>
        </is>
      </c>
      <c r="B1005" s="14" t="inlineStr">
        <is>
          <t>Khyber Pakhtunkhwa</t>
        </is>
      </c>
      <c r="C1005" s="14" t="n">
        <v>2017</v>
      </c>
      <c r="D1005" s="15" t="n">
        <v>473.085383789551</v>
      </c>
      <c r="E1005" s="15" t="n">
        <v>18728.6154876687</v>
      </c>
      <c r="F1005" s="15" t="n">
        <v>768.782977044582</v>
      </c>
      <c r="G1005" s="15" t="n">
        <v>147.205228567123</v>
      </c>
      <c r="H1005" s="15" t="n">
        <v>147.496475881424</v>
      </c>
      <c r="I1005" s="16" t="n">
        <v>31.1775592600081</v>
      </c>
      <c r="J1005" s="15" t="n">
        <v>28.2575532441803</v>
      </c>
      <c r="K1005" s="15" t="n">
        <v>4032.5976424907</v>
      </c>
      <c r="L1005" s="15" t="n">
        <v>564.478116754975</v>
      </c>
      <c r="M1005" s="15" t="n">
        <v>-91.3927329654244</v>
      </c>
      <c r="N1005" s="17" t="n">
        <v>7.19696897707226</v>
      </c>
      <c r="O1005" s="18" t="n">
        <v>0.178469800736855</v>
      </c>
    </row>
    <row r="1006" ht="15" customHeight="1" s="12">
      <c r="A1006" s="14" t="inlineStr">
        <is>
          <t>Mansehra</t>
        </is>
      </c>
      <c r="B1006" s="14" t="inlineStr">
        <is>
          <t>Khyber Pakhtunkhwa</t>
        </is>
      </c>
      <c r="C1006" s="14" t="n">
        <v>2018</v>
      </c>
      <c r="D1006" s="15" t="n">
        <v>607.71965750966</v>
      </c>
      <c r="E1006" s="15" t="n">
        <v>24058.548794353</v>
      </c>
      <c r="F1006" s="15" t="n">
        <v>1083.80308055878</v>
      </c>
      <c r="G1006" s="15" t="n">
        <v>153.07338398695</v>
      </c>
      <c r="H1006" s="15" t="n">
        <v>229.493115310809</v>
      </c>
      <c r="I1006" s="16" t="n">
        <v>37.7629902990527</v>
      </c>
      <c r="J1006" s="15" t="n">
        <v>36.8874690440812</v>
      </c>
      <c r="K1006" s="15" t="n">
        <v>4032.5976424907</v>
      </c>
      <c r="L1006" s="15" t="n">
        <v>564.478116754975</v>
      </c>
      <c r="M1006" s="15" t="n">
        <v>43.2415407546852</v>
      </c>
      <c r="N1006" s="17" t="n">
        <v>8.8200979932067</v>
      </c>
      <c r="O1006" s="18" t="n">
        <v>0.218720010651969</v>
      </c>
    </row>
    <row r="1007" ht="15" customHeight="1" s="12">
      <c r="A1007" s="14" t="inlineStr">
        <is>
          <t>Mansehra</t>
        </is>
      </c>
      <c r="B1007" s="14" t="inlineStr">
        <is>
          <t>Khyber Pakhtunkhwa</t>
        </is>
      </c>
      <c r="C1007" s="14" t="n">
        <v>2019</v>
      </c>
      <c r="D1007" s="15" t="n">
        <v>547.096784566422</v>
      </c>
      <c r="E1007" s="15" t="n">
        <v>21658.5962360707</v>
      </c>
      <c r="F1007" s="15" t="n">
        <v>934.114626124501</v>
      </c>
      <c r="G1007" s="15" t="n">
        <v>195.65441429615</v>
      </c>
      <c r="H1007" s="15" t="n">
        <v>150.36153233609</v>
      </c>
      <c r="I1007" s="16" t="n">
        <v>27.4835342809139</v>
      </c>
      <c r="J1007" s="15" t="n">
        <v>27.9551263001486</v>
      </c>
      <c r="K1007" s="15" t="n">
        <v>4032.5976424907</v>
      </c>
      <c r="L1007" s="15" t="n">
        <v>564.478116754975</v>
      </c>
      <c r="M1007" s="15" t="n">
        <v>-17.3813321885529</v>
      </c>
      <c r="N1007" s="17" t="n">
        <v>8.39942782842135</v>
      </c>
      <c r="O1007" s="18" t="n">
        <v>0.208288269077932</v>
      </c>
    </row>
    <row r="1008" ht="15" customHeight="1" s="12">
      <c r="A1008" s="14" t="inlineStr">
        <is>
          <t>Mansehra</t>
        </is>
      </c>
      <c r="B1008" s="14" t="inlineStr">
        <is>
          <t>Khyber Pakhtunkhwa</t>
        </is>
      </c>
      <c r="C1008" s="14" t="n">
        <v>2020</v>
      </c>
      <c r="D1008" s="15" t="n">
        <v>546.230478367233</v>
      </c>
      <c r="E1008" s="15" t="n">
        <v>21624.3007024205</v>
      </c>
      <c r="F1008" s="15" t="n">
        <v>903.0706844329829</v>
      </c>
      <c r="G1008" s="15" t="n">
        <v>172.30620713532</v>
      </c>
      <c r="H1008" s="15" t="n">
        <v>165.770826481664</v>
      </c>
      <c r="I1008" s="16" t="n">
        <v>30.3481466243295</v>
      </c>
      <c r="J1008" s="15" t="n">
        <v>29.2267459138187</v>
      </c>
      <c r="K1008" s="15" t="n">
        <v>4032.5976424907</v>
      </c>
      <c r="L1008" s="15" t="n">
        <v>564.478116754975</v>
      </c>
      <c r="M1008" s="15" t="n">
        <v>-18.247638387742</v>
      </c>
      <c r="N1008" s="17" t="n">
        <v>5.0419686941138</v>
      </c>
      <c r="O1008" s="18" t="n">
        <v>0.125030294145579</v>
      </c>
    </row>
    <row r="1009" ht="15" customHeight="1" s="12">
      <c r="A1009" s="14" t="inlineStr">
        <is>
          <t>Mansehra</t>
        </is>
      </c>
      <c r="B1009" s="14" t="inlineStr">
        <is>
          <t>Khyber Pakhtunkhwa</t>
        </is>
      </c>
      <c r="C1009" s="14" t="n">
        <v>2021</v>
      </c>
      <c r="D1009" s="15" t="n">
        <v>612.782426689565</v>
      </c>
      <c r="E1009" s="15" t="n">
        <v>24258.9748918869</v>
      </c>
      <c r="F1009" s="15" t="n">
        <v>1131.96300888062</v>
      </c>
      <c r="G1009" s="15" t="n">
        <v>167.607731103897</v>
      </c>
      <c r="H1009" s="15" t="n">
        <v>211.711679849359</v>
      </c>
      <c r="I1009" s="16" t="n">
        <v>34.5492413992825</v>
      </c>
      <c r="J1009" s="15" t="n">
        <v>23.1406636948985</v>
      </c>
      <c r="K1009" s="15" t="n">
        <v>4032.5976424907</v>
      </c>
      <c r="L1009" s="15" t="n">
        <v>564.478116754975</v>
      </c>
      <c r="M1009" s="15" t="n">
        <v>48.3043099345902</v>
      </c>
      <c r="N1009" s="17" t="n">
        <v>8.391445060823131</v>
      </c>
      <c r="O1009" s="18" t="n">
        <v>0.208090313112424</v>
      </c>
    </row>
    <row r="1010" ht="15" customHeight="1" s="12">
      <c r="A1010" s="14" t="inlineStr">
        <is>
          <t>Mansehra</t>
        </is>
      </c>
      <c r="B1010" s="14" t="inlineStr">
        <is>
          <t>Khyber Pakhtunkhwa</t>
        </is>
      </c>
      <c r="C1010" s="14" t="n">
        <v>2022</v>
      </c>
      <c r="D1010" s="15" t="n">
        <v>524.688943433984</v>
      </c>
      <c r="E1010" s="15" t="n">
        <v>20771.5093488865</v>
      </c>
      <c r="F1010" s="15" t="n">
        <v>944.164823591709</v>
      </c>
      <c r="G1010" s="15" t="n">
        <v>171.902269482613</v>
      </c>
      <c r="H1010" s="15" t="n">
        <v>165.528637204664</v>
      </c>
      <c r="I1010" s="16" t="n">
        <v>31.5479560368306</v>
      </c>
      <c r="J1010" s="15" t="n">
        <v>28.117186726102</v>
      </c>
      <c r="K1010" s="15" t="n">
        <v>4032.5976424907</v>
      </c>
      <c r="L1010" s="15" t="n">
        <v>564.478116754975</v>
      </c>
      <c r="M1010" s="15" t="n">
        <v>-39.7891733209908</v>
      </c>
      <c r="N1010" s="17" t="n">
        <v>8.567535675353801</v>
      </c>
      <c r="O1010" s="18" t="n">
        <v>0.212456992611396</v>
      </c>
    </row>
    <row r="1011" ht="15" customHeight="1" s="12">
      <c r="A1011" s="14" t="inlineStr">
        <is>
          <t>Mansehra</t>
        </is>
      </c>
      <c r="B1011" s="14" t="inlineStr">
        <is>
          <t>Khyber Pakhtunkhwa</t>
        </is>
      </c>
      <c r="C1011" s="14" t="n">
        <v>2023</v>
      </c>
      <c r="D1011" s="15" t="n">
        <v>646.322212503209</v>
      </c>
      <c r="E1011" s="15" t="n">
        <v>25586.7558243918</v>
      </c>
      <c r="F1011" s="15" t="n">
        <v>1208.89790391922</v>
      </c>
      <c r="G1011" s="15" t="n">
        <v>192.51661837101</v>
      </c>
      <c r="H1011" s="15" t="n">
        <v>214.588799211297</v>
      </c>
      <c r="I1011" s="16" t="n">
        <v>33.2015200870467</v>
      </c>
      <c r="J1011" s="15" t="n">
        <v>19.4066369489847</v>
      </c>
      <c r="K1011" s="15" t="n">
        <v>4032.5976424907</v>
      </c>
      <c r="L1011" s="15" t="n">
        <v>564.478116754975</v>
      </c>
      <c r="M1011" s="15" t="n">
        <v>81.8440957482342</v>
      </c>
      <c r="N1011" s="17" t="n">
        <v>7.67452835964877</v>
      </c>
      <c r="O1011" s="18" t="n">
        <v>0.19031227610669</v>
      </c>
    </row>
    <row r="1012" ht="15" customHeight="1" s="12">
      <c r="A1012" s="14" t="inlineStr">
        <is>
          <t>Mansehra</t>
        </is>
      </c>
      <c r="B1012" s="14" t="inlineStr">
        <is>
          <t>Khyber Pakhtunkhwa</t>
        </is>
      </c>
      <c r="C1012" s="14" t="n">
        <v>2024</v>
      </c>
      <c r="D1012" s="15" t="n">
        <v>552.340151418135</v>
      </c>
      <c r="E1012" s="15" t="n">
        <v>21866.1718767297</v>
      </c>
      <c r="F1012" s="15" t="n">
        <v>921.364750266075</v>
      </c>
      <c r="G1012" s="15" t="n">
        <v>185.62518783845</v>
      </c>
      <c r="H1012" s="15" t="n">
        <v>167.089232441947</v>
      </c>
      <c r="I1012" s="16" t="n">
        <v>30.2511472347149</v>
      </c>
      <c r="J1012" s="15" t="n">
        <v>30.1172857850421</v>
      </c>
      <c r="K1012" s="15" t="n">
        <v>4032.5976424907</v>
      </c>
      <c r="L1012" s="15" t="n">
        <v>564.478116754975</v>
      </c>
      <c r="M1012" s="15" t="n">
        <v>-12.1379653368401</v>
      </c>
      <c r="N1012" s="17" t="n">
        <v>7.29528843499782</v>
      </c>
      <c r="O1012" s="18" t="n">
        <v>0.180907917966543</v>
      </c>
    </row>
    <row r="1013" ht="15" customHeight="1" s="12">
      <c r="A1013" s="14" t="inlineStr">
        <is>
          <t>Mansehra</t>
        </is>
      </c>
      <c r="B1013" s="14" t="inlineStr">
        <is>
          <t>Khyber Pakhtunkhwa</t>
        </is>
      </c>
      <c r="C1013" s="14" t="n">
        <v>2025</v>
      </c>
      <c r="D1013" s="15" t="n">
        <v>636.02386912678</v>
      </c>
      <c r="E1013" s="15" t="n">
        <v>25179.062583666</v>
      </c>
      <c r="F1013" s="15" t="n">
        <v>1237.98360866308</v>
      </c>
      <c r="G1013" s="15" t="n">
        <v>158.364739000797</v>
      </c>
      <c r="H1013" s="15" t="n">
        <v>255.618015301836</v>
      </c>
      <c r="I1013" s="16" t="n">
        <v>40.1900035061237</v>
      </c>
      <c r="J1013" s="15" t="n">
        <v>39.5146111936602</v>
      </c>
      <c r="K1013" s="15" t="n">
        <v>4032.5976424907</v>
      </c>
      <c r="L1013" s="15" t="n">
        <v>564.478116754975</v>
      </c>
      <c r="M1013" s="15" t="n">
        <v>71.5457523718047</v>
      </c>
      <c r="N1013" s="17" t="n">
        <v>7.20492284476342</v>
      </c>
      <c r="O1013" s="18" t="n">
        <v>0.178667040045021</v>
      </c>
    </row>
    <row r="1014" ht="15" customHeight="1" s="12">
      <c r="A1014" s="14" t="inlineStr">
        <is>
          <t>Mardan</t>
        </is>
      </c>
      <c r="B1014" s="14" t="inlineStr">
        <is>
          <t>Khyber Pakhtunkhwa</t>
        </is>
      </c>
      <c r="C1014" s="14" t="n">
        <v>2015</v>
      </c>
      <c r="D1014" s="15" t="n">
        <v>484.727352474311</v>
      </c>
      <c r="E1014" s="15" t="n">
        <v>7765.14209748063</v>
      </c>
      <c r="F1014" s="15" t="n">
        <v>680.333024024963</v>
      </c>
      <c r="G1014" s="15" t="n">
        <v>329.714955806732</v>
      </c>
      <c r="H1014" s="15" t="n">
        <v>87.0976531203039</v>
      </c>
      <c r="I1014" s="16" t="n">
        <v>17.9683800956786</v>
      </c>
      <c r="J1014" s="15" t="n">
        <v>21.8788249694003</v>
      </c>
      <c r="K1014" s="15" t="n">
        <v>1636.76831465924</v>
      </c>
      <c r="L1014" s="15" t="n">
        <v>420.16181552738</v>
      </c>
      <c r="M1014" s="15" t="n">
        <v>64.5655369469312</v>
      </c>
      <c r="N1014" s="17" t="n">
        <v>0.14630949872257</v>
      </c>
      <c r="O1014" s="18" t="n">
        <v>0.008938925406374979</v>
      </c>
    </row>
    <row r="1015" ht="15" customHeight="1" s="12">
      <c r="A1015" s="14" t="inlineStr">
        <is>
          <t>Mardan</t>
        </is>
      </c>
      <c r="B1015" s="14" t="inlineStr">
        <is>
          <t>Khyber Pakhtunkhwa</t>
        </is>
      </c>
      <c r="C1015" s="14" t="n">
        <v>2016</v>
      </c>
      <c r="D1015" s="15" t="n">
        <v>428.311321003405</v>
      </c>
      <c r="E1015" s="15" t="n">
        <v>6861.37939725062</v>
      </c>
      <c r="F1015" s="15" t="n">
        <v>640.243295669556</v>
      </c>
      <c r="G1015" s="15" t="n">
        <v>277.881608486176</v>
      </c>
      <c r="H1015" s="15" t="n">
        <v>86.9555198051798</v>
      </c>
      <c r="I1015" s="16" t="n">
        <v>20.3019428955249</v>
      </c>
      <c r="J1015" s="15" t="n">
        <v>21.7182374541004</v>
      </c>
      <c r="K1015" s="15" t="n">
        <v>1636.76831465924</v>
      </c>
      <c r="L1015" s="15" t="n">
        <v>420.16181552738</v>
      </c>
      <c r="M1015" s="15" t="n">
        <v>8.14950547602518</v>
      </c>
      <c r="N1015" s="17" t="n">
        <v>0.08644809815913181</v>
      </c>
      <c r="O1015" s="18" t="n">
        <v>0.00528163316609228</v>
      </c>
    </row>
    <row r="1016" ht="15" customHeight="1" s="12">
      <c r="A1016" s="14" t="inlineStr">
        <is>
          <t>Mardan</t>
        </is>
      </c>
      <c r="B1016" s="14" t="inlineStr">
        <is>
          <t>Khyber Pakhtunkhwa</t>
        </is>
      </c>
      <c r="C1016" s="14" t="n">
        <v>2017</v>
      </c>
      <c r="D1016" s="15" t="n">
        <v>480.229737907612</v>
      </c>
      <c r="E1016" s="15" t="n">
        <v>7693.09207589253</v>
      </c>
      <c r="F1016" s="15" t="n">
        <v>691.469394445419</v>
      </c>
      <c r="G1016" s="15" t="n">
        <v>310.562601029873</v>
      </c>
      <c r="H1016" s="15" t="n">
        <v>102.377171701615</v>
      </c>
      <c r="I1016" s="16" t="n">
        <v>21.318374023999</v>
      </c>
      <c r="J1016" s="15" t="n">
        <v>30.9238678090575</v>
      </c>
      <c r="K1016" s="15" t="n">
        <v>1636.76831465924</v>
      </c>
      <c r="L1016" s="15" t="n">
        <v>420.16181552738</v>
      </c>
      <c r="M1016" s="15" t="n">
        <v>60.0679223802321</v>
      </c>
      <c r="N1016" s="17" t="n">
        <v>0.0445481143188476</v>
      </c>
      <c r="O1016" s="18" t="n">
        <v>0.00272171167537063</v>
      </c>
    </row>
    <row r="1017" ht="15" customHeight="1" s="12">
      <c r="A1017" s="14" t="inlineStr">
        <is>
          <t>Mardan</t>
        </is>
      </c>
      <c r="B1017" s="14" t="inlineStr">
        <is>
          <t>Khyber Pakhtunkhwa</t>
        </is>
      </c>
      <c r="C1017" s="14" t="n">
        <v>2018</v>
      </c>
      <c r="D1017" s="15" t="n">
        <v>511.580784639267</v>
      </c>
      <c r="E1017" s="15" t="n">
        <v>8195.32355000552</v>
      </c>
      <c r="F1017" s="15" t="n">
        <v>812.946873664856</v>
      </c>
      <c r="G1017" s="15" t="n">
        <v>336.534281253815</v>
      </c>
      <c r="H1017" s="15" t="n">
        <v>124.917164052722</v>
      </c>
      <c r="I1017" s="16" t="n">
        <v>24.4178764729808</v>
      </c>
      <c r="J1017" s="15" t="n">
        <v>27.1747858017136</v>
      </c>
      <c r="K1017" s="15" t="n">
        <v>1636.76831465924</v>
      </c>
      <c r="L1017" s="15" t="n">
        <v>420.16181552738</v>
      </c>
      <c r="M1017" s="15" t="n">
        <v>91.4189691118878</v>
      </c>
      <c r="N1017" s="17" t="n">
        <v>0.0433706763980641</v>
      </c>
      <c r="O1017" s="18" t="n">
        <v>0.00264977492597012</v>
      </c>
    </row>
    <row r="1018" ht="15" customHeight="1" s="12">
      <c r="A1018" s="14" t="inlineStr">
        <is>
          <t>Mardan</t>
        </is>
      </c>
      <c r="B1018" s="14" t="inlineStr">
        <is>
          <t>Khyber Pakhtunkhwa</t>
        </is>
      </c>
      <c r="C1018" s="14" t="n">
        <v>2019</v>
      </c>
      <c r="D1018" s="15" t="n">
        <v>321.34325119678</v>
      </c>
      <c r="E1018" s="15" t="n">
        <v>5147.79286721116</v>
      </c>
      <c r="F1018" s="15" t="n">
        <v>567.5086237192151</v>
      </c>
      <c r="G1018" s="15" t="n">
        <v>174.245452663537</v>
      </c>
      <c r="H1018" s="15" t="n">
        <v>101.570373185552</v>
      </c>
      <c r="I1018" s="16" t="n">
        <v>31.6080617244248</v>
      </c>
      <c r="J1018" s="15" t="n">
        <v>21.8533659730722</v>
      </c>
      <c r="K1018" s="15" t="n">
        <v>1636.76831465924</v>
      </c>
      <c r="L1018" s="15" t="n">
        <v>420.16181552738</v>
      </c>
      <c r="M1018" s="15" t="n">
        <v>-98.8185643305996</v>
      </c>
      <c r="N1018" s="17" t="n">
        <v>0.0484742306051815</v>
      </c>
      <c r="O1018" s="18" t="n">
        <v>0.00296158168331072</v>
      </c>
    </row>
    <row r="1019" ht="15" customHeight="1" s="12">
      <c r="A1019" s="14" t="inlineStr">
        <is>
          <t>Mardan</t>
        </is>
      </c>
      <c r="B1019" s="14" t="inlineStr">
        <is>
          <t>Khyber Pakhtunkhwa</t>
        </is>
      </c>
      <c r="C1019" s="14" t="n">
        <v>2020</v>
      </c>
      <c r="D1019" s="15" t="n">
        <v>361.88238015658</v>
      </c>
      <c r="E1019" s="15" t="n">
        <v>5797.21381544953</v>
      </c>
      <c r="F1019" s="15" t="n">
        <v>589.774970199404</v>
      </c>
      <c r="G1019" s="15" t="n">
        <v>202.508879203888</v>
      </c>
      <c r="H1019" s="15" t="n">
        <v>102.978991449517</v>
      </c>
      <c r="I1019" s="16" t="n">
        <v>28.456481192856</v>
      </c>
      <c r="J1019" s="15" t="n">
        <v>29.9875152998776</v>
      </c>
      <c r="K1019" s="15" t="n">
        <v>1636.76831465924</v>
      </c>
      <c r="L1019" s="15" t="n">
        <v>420.16181552738</v>
      </c>
      <c r="M1019" s="15" t="n">
        <v>-58.2794353707996</v>
      </c>
      <c r="N1019" s="17" t="n">
        <v>0.0594008869102328</v>
      </c>
      <c r="O1019" s="18" t="n">
        <v>0.00362915669726901</v>
      </c>
    </row>
    <row r="1020" ht="15" customHeight="1" s="12">
      <c r="A1020" s="14" t="inlineStr">
        <is>
          <t>Mardan</t>
        </is>
      </c>
      <c r="B1020" s="14" t="inlineStr">
        <is>
          <t>Khyber Pakhtunkhwa</t>
        </is>
      </c>
      <c r="C1020" s="14" t="n">
        <v>2021</v>
      </c>
      <c r="D1020" s="15" t="n">
        <v>430.112454544477</v>
      </c>
      <c r="E1020" s="15" t="n">
        <v>6890.23285025171</v>
      </c>
      <c r="F1020" s="15" t="n">
        <v>709.6264843940741</v>
      </c>
      <c r="G1020" s="15" t="n">
        <v>236.025571465492</v>
      </c>
      <c r="H1020" s="15" t="n">
        <v>121.29149969126</v>
      </c>
      <c r="I1020" s="16" t="n">
        <v>28.1999505965753</v>
      </c>
      <c r="J1020" s="15" t="n">
        <v>24.9008567931457</v>
      </c>
      <c r="K1020" s="15" t="n">
        <v>1636.76831465924</v>
      </c>
      <c r="L1020" s="15" t="n">
        <v>420.16181552738</v>
      </c>
      <c r="M1020" s="15" t="n">
        <v>9.950639017096879</v>
      </c>
      <c r="N1020" s="17" t="n">
        <v>0.0406859699367149</v>
      </c>
      <c r="O1020" s="18" t="n">
        <v>0.00248575009500874</v>
      </c>
    </row>
    <row r="1021" ht="15" customHeight="1" s="12">
      <c r="A1021" s="14" t="inlineStr">
        <is>
          <t>Mardan</t>
        </is>
      </c>
      <c r="B1021" s="14" t="inlineStr">
        <is>
          <t>Khyber Pakhtunkhwa</t>
        </is>
      </c>
      <c r="C1021" s="14" t="n">
        <v>2022</v>
      </c>
      <c r="D1021" s="15" t="n">
        <v>405.498894990541</v>
      </c>
      <c r="E1021" s="15" t="n">
        <v>6495.93327857397</v>
      </c>
      <c r="F1021" s="15" t="n">
        <v>636.533313213091</v>
      </c>
      <c r="G1021" s="15" t="n">
        <v>241.088737456361</v>
      </c>
      <c r="H1021" s="15" t="n">
        <v>96.0905266324375</v>
      </c>
      <c r="I1021" s="16" t="n">
        <v>23.6968652244241</v>
      </c>
      <c r="J1021" s="15" t="n">
        <v>27.7123623011016</v>
      </c>
      <c r="K1021" s="15" t="n">
        <v>1636.76831465924</v>
      </c>
      <c r="L1021" s="15" t="n">
        <v>420.16181552738</v>
      </c>
      <c r="M1021" s="15" t="n">
        <v>-14.6629205368383</v>
      </c>
      <c r="N1021" s="17" t="n">
        <v>0.0319178184204101</v>
      </c>
      <c r="O1021" s="18" t="n">
        <v>0.00195005109364273</v>
      </c>
    </row>
    <row r="1022" ht="15" customHeight="1" s="12">
      <c r="A1022" s="14" t="inlineStr">
        <is>
          <t>Mardan</t>
        </is>
      </c>
      <c r="B1022" s="14" t="inlineStr">
        <is>
          <t>Khyber Pakhtunkhwa</t>
        </is>
      </c>
      <c r="C1022" s="14" t="n">
        <v>2023</v>
      </c>
      <c r="D1022" s="15" t="n">
        <v>380.630470723023</v>
      </c>
      <c r="E1022" s="15" t="n">
        <v>6097.55087413157</v>
      </c>
      <c r="F1022" s="15" t="n">
        <v>647.5872488021849</v>
      </c>
      <c r="G1022" s="15" t="n">
        <v>232.559740781784</v>
      </c>
      <c r="H1022" s="15" t="n">
        <v>104.661053481299</v>
      </c>
      <c r="I1022" s="16" t="n">
        <v>27.4967616971102</v>
      </c>
      <c r="J1022" s="15" t="n">
        <v>16.6998776009792</v>
      </c>
      <c r="K1022" s="15" t="n">
        <v>1636.76831465924</v>
      </c>
      <c r="L1022" s="15" t="n">
        <v>420.16181552738</v>
      </c>
      <c r="M1022" s="15" t="n">
        <v>-39.5313448043565</v>
      </c>
      <c r="N1022" s="17" t="n">
        <v>0.0230212814898322</v>
      </c>
      <c r="O1022" s="18" t="n">
        <v>0.00140650825676724</v>
      </c>
    </row>
    <row r="1023" ht="15" customHeight="1" s="12">
      <c r="A1023" s="14" t="inlineStr">
        <is>
          <t>Mardan</t>
        </is>
      </c>
      <c r="B1023" s="14" t="inlineStr">
        <is>
          <t>Khyber Pakhtunkhwa</t>
        </is>
      </c>
      <c r="C1023" s="14" t="n">
        <v>2024</v>
      </c>
      <c r="D1023" s="15" t="n">
        <v>384.48490698982</v>
      </c>
      <c r="E1023" s="15" t="n">
        <v>6159.29743158202</v>
      </c>
      <c r="F1023" s="15" t="n">
        <v>664.869558824925</v>
      </c>
      <c r="G1023" s="15" t="n">
        <v>213.468194594223</v>
      </c>
      <c r="H1023" s="15" t="n">
        <v>112.227183452902</v>
      </c>
      <c r="I1023" s="16" t="n">
        <v>29.188969817188</v>
      </c>
      <c r="J1023" s="15" t="n">
        <v>26.7175030599755</v>
      </c>
      <c r="K1023" s="15" t="n">
        <v>1636.76831465924</v>
      </c>
      <c r="L1023" s="15" t="n">
        <v>420.16181552738</v>
      </c>
      <c r="M1023" s="15" t="n">
        <v>-35.6769085375594</v>
      </c>
      <c r="N1023" s="17" t="n">
        <v>0.0356449539452646</v>
      </c>
      <c r="O1023" s="18" t="n">
        <v>0.00217776417260898</v>
      </c>
    </row>
    <row r="1024" ht="15" customHeight="1" s="12">
      <c r="A1024" s="14" t="inlineStr">
        <is>
          <t>Mardan</t>
        </is>
      </c>
      <c r="B1024" s="14" t="inlineStr">
        <is>
          <t>Khyber Pakhtunkhwa</t>
        </is>
      </c>
      <c r="C1024" s="14" t="n">
        <v>2025</v>
      </c>
      <c r="D1024" s="15" t="n">
        <v>432.97841617536</v>
      </c>
      <c r="E1024" s="15" t="n">
        <v>6936.14443167194</v>
      </c>
      <c r="F1024" s="15" t="n">
        <v>756.153266251087</v>
      </c>
      <c r="G1024" s="15" t="n">
        <v>243.490170151461</v>
      </c>
      <c r="H1024" s="15" t="n">
        <v>125.381250549145</v>
      </c>
      <c r="I1024" s="16" t="n">
        <v>28.9578523697968</v>
      </c>
      <c r="J1024" s="15" t="n">
        <v>30.1515299877601</v>
      </c>
      <c r="K1024" s="15" t="n">
        <v>1636.76831465924</v>
      </c>
      <c r="L1024" s="15" t="n">
        <v>420.16181552738</v>
      </c>
      <c r="M1024" s="15" t="n">
        <v>12.8166006479803</v>
      </c>
      <c r="N1024" s="17" t="n">
        <v>0.0254012337103151</v>
      </c>
      <c r="O1024" s="18" t="n">
        <v>0.00155191382206122</v>
      </c>
    </row>
    <row r="1025" ht="15" customHeight="1" s="12">
      <c r="A1025" s="14" t="inlineStr">
        <is>
          <t>Mastung</t>
        </is>
      </c>
      <c r="B1025" s="14" t="inlineStr">
        <is>
          <t>Balochistan</t>
        </is>
      </c>
      <c r="C1025" s="14" t="n">
        <v>2015</v>
      </c>
      <c r="D1025" s="15" t="n">
        <v>13.0316609250564</v>
      </c>
      <c r="E1025" s="15" t="n">
        <v>571.246689491296</v>
      </c>
      <c r="F1025" s="15" t="n">
        <v>52.651638507843</v>
      </c>
      <c r="G1025" s="15" t="n">
        <v>0</v>
      </c>
      <c r="H1025" s="15" t="n">
        <v>12.9625581806898</v>
      </c>
      <c r="I1025" s="16" t="n">
        <v>99.4697318725219</v>
      </c>
      <c r="J1025" s="15" t="n">
        <v>2.39819287886921</v>
      </c>
      <c r="K1025" s="15" t="n">
        <v>4718.31955322865</v>
      </c>
      <c r="L1025" s="15" t="n">
        <v>25.7833111488442</v>
      </c>
      <c r="M1025" s="15" t="n">
        <v>-12.7516502237878</v>
      </c>
      <c r="N1025" s="17" t="n">
        <v>0.101074800859279</v>
      </c>
      <c r="O1025" s="18" t="n">
        <v>0.00214217794532623</v>
      </c>
    </row>
    <row r="1026" ht="15" customHeight="1" s="12">
      <c r="A1026" s="14" t="inlineStr">
        <is>
          <t>Mastung</t>
        </is>
      </c>
      <c r="B1026" s="14" t="inlineStr">
        <is>
          <t>Balochistan</t>
        </is>
      </c>
      <c r="C1026" s="14" t="n">
        <v>2016</v>
      </c>
      <c r="D1026" s="15" t="n">
        <v>12.8029939351954</v>
      </c>
      <c r="E1026" s="15" t="n">
        <v>561.223004735744</v>
      </c>
      <c r="F1026" s="15" t="n">
        <v>43.0958966016769</v>
      </c>
      <c r="G1026" s="15" t="n">
        <v>0</v>
      </c>
      <c r="H1026" s="15" t="n">
        <v>11.0863760546681</v>
      </c>
      <c r="I1026" s="16" t="n">
        <v>86.5920589417107</v>
      </c>
      <c r="J1026" s="15" t="n">
        <v>4.0775630703167</v>
      </c>
      <c r="K1026" s="15" t="n">
        <v>4718.31955322865</v>
      </c>
      <c r="L1026" s="15" t="n">
        <v>25.7833111488442</v>
      </c>
      <c r="M1026" s="15" t="n">
        <v>-12.9803172136488</v>
      </c>
      <c r="N1026" s="17" t="n">
        <v>0.0344732038739372</v>
      </c>
      <c r="O1026" s="18" t="n">
        <v>0.000730624610839422</v>
      </c>
    </row>
    <row r="1027" ht="15" customHeight="1" s="12">
      <c r="A1027" s="14" t="inlineStr">
        <is>
          <t>Mastung</t>
        </is>
      </c>
      <c r="B1027" s="14" t="inlineStr">
        <is>
          <t>Balochistan</t>
        </is>
      </c>
      <c r="C1027" s="14" t="n">
        <v>2017</v>
      </c>
      <c r="D1027" s="15" t="n">
        <v>11.1181852795953</v>
      </c>
      <c r="E1027" s="15" t="n">
        <v>487.368921785553</v>
      </c>
      <c r="F1027" s="15" t="n">
        <v>49.866208344698</v>
      </c>
      <c r="G1027" s="15" t="n">
        <v>2.56314915418625</v>
      </c>
      <c r="H1027" s="15" t="n">
        <v>12.0223133986727</v>
      </c>
      <c r="I1027" s="16" t="n">
        <v>108.131975644773</v>
      </c>
      <c r="J1027" s="15" t="n">
        <v>3.18294864913223</v>
      </c>
      <c r="K1027" s="15" t="n">
        <v>4718.31955322865</v>
      </c>
      <c r="L1027" s="15" t="n">
        <v>25.7833111488442</v>
      </c>
      <c r="M1027" s="15" t="n">
        <v>-14.6651258692489</v>
      </c>
      <c r="N1027" s="17" t="n">
        <v>0.0182154949721392</v>
      </c>
      <c r="O1027" s="18" t="n">
        <v>0.000386058951002475</v>
      </c>
    </row>
    <row r="1028" ht="15" customHeight="1" s="12">
      <c r="A1028" s="14" t="inlineStr">
        <is>
          <t>Mastung</t>
        </is>
      </c>
      <c r="B1028" s="14" t="inlineStr">
        <is>
          <t>Balochistan</t>
        </is>
      </c>
      <c r="C1028" s="14" t="n">
        <v>2018</v>
      </c>
      <c r="D1028" s="15" t="n">
        <v>6.08019006102752</v>
      </c>
      <c r="E1028" s="15" t="n">
        <v>266.526919616336</v>
      </c>
      <c r="F1028" s="15" t="n">
        <v>23.4009658638388</v>
      </c>
      <c r="G1028" s="15" t="n">
        <v>1.12734112211911</v>
      </c>
      <c r="H1028" s="15" t="n">
        <v>6.62369726682796</v>
      </c>
      <c r="I1028" s="16" t="n">
        <v>108.938983820328</v>
      </c>
      <c r="J1028" s="15" t="n">
        <v>1.88495258543568</v>
      </c>
      <c r="K1028" s="15" t="n">
        <v>4718.31955322865</v>
      </c>
      <c r="L1028" s="15" t="n">
        <v>25.7833111488442</v>
      </c>
      <c r="M1028" s="15" t="n">
        <v>-19.7031210878167</v>
      </c>
      <c r="N1028" s="17" t="n">
        <v>0.0124616682739257</v>
      </c>
      <c r="O1028" s="18" t="n">
        <v>0.000264112426751563</v>
      </c>
    </row>
    <row r="1029" ht="15" customHeight="1" s="12">
      <c r="A1029" s="14" t="inlineStr">
        <is>
          <t>Mastung</t>
        </is>
      </c>
      <c r="B1029" s="14" t="inlineStr">
        <is>
          <t>Balochistan</t>
        </is>
      </c>
      <c r="C1029" s="14" t="n">
        <v>2019</v>
      </c>
      <c r="D1029" s="15" t="n">
        <v>16.2121849710898</v>
      </c>
      <c r="E1029" s="15" t="n">
        <v>710.66589649742</v>
      </c>
      <c r="F1029" s="15" t="n">
        <v>52.5955561250448</v>
      </c>
      <c r="G1029" s="15" t="n">
        <v>3.81668005499523</v>
      </c>
      <c r="H1029" s="15" t="n">
        <v>13.5183110479795</v>
      </c>
      <c r="I1029" s="16" t="n">
        <v>83.38364675758299</v>
      </c>
      <c r="J1029" s="15" t="n">
        <v>4.50805152979066</v>
      </c>
      <c r="K1029" s="15" t="n">
        <v>4718.31955322865</v>
      </c>
      <c r="L1029" s="15" t="n">
        <v>25.7833111488442</v>
      </c>
      <c r="M1029" s="15" t="n">
        <v>-9.571126177754371</v>
      </c>
      <c r="N1029" s="17" t="n">
        <v>0.0506361616210937</v>
      </c>
      <c r="O1029" s="18" t="n">
        <v>0.00107318211600239</v>
      </c>
    </row>
    <row r="1030" ht="15" customHeight="1" s="12">
      <c r="A1030" s="14" t="inlineStr">
        <is>
          <t>Mastung</t>
        </is>
      </c>
      <c r="B1030" s="14" t="inlineStr">
        <is>
          <t>Balochistan</t>
        </is>
      </c>
      <c r="C1030" s="14" t="n">
        <v>2020</v>
      </c>
      <c r="D1030" s="15" t="n">
        <v>26.2239559268742</v>
      </c>
      <c r="E1030" s="15" t="n">
        <v>1149.53482098275</v>
      </c>
      <c r="F1030" s="15" t="n">
        <v>74.44881716185959</v>
      </c>
      <c r="G1030" s="15" t="n">
        <v>13.7617778766435</v>
      </c>
      <c r="H1030" s="15" t="n">
        <v>17.2957526457848</v>
      </c>
      <c r="I1030" s="16" t="n">
        <v>65.9540181276012</v>
      </c>
      <c r="J1030" s="15" t="n">
        <v>6.17623904097334</v>
      </c>
      <c r="K1030" s="15" t="n">
        <v>4718.31955322865</v>
      </c>
      <c r="L1030" s="15" t="n">
        <v>25.7833111488442</v>
      </c>
      <c r="M1030" s="15" t="n">
        <v>0.440644778030023</v>
      </c>
      <c r="N1030" s="17" t="n">
        <v>0.524852299682615</v>
      </c>
      <c r="O1030" s="18" t="n">
        <v>0.0111237124523172</v>
      </c>
    </row>
    <row r="1031" ht="15" customHeight="1" s="12">
      <c r="A1031" s="14" t="inlineStr">
        <is>
          <t>Mastung</t>
        </is>
      </c>
      <c r="B1031" s="14" t="inlineStr">
        <is>
          <t>Balochistan</t>
        </is>
      </c>
      <c r="C1031" s="14" t="n">
        <v>2021</v>
      </c>
      <c r="D1031" s="15" t="n">
        <v>18.8797135762171</v>
      </c>
      <c r="E1031" s="15" t="n">
        <v>827.597797470409</v>
      </c>
      <c r="F1031" s="15" t="n">
        <v>50.4837809801102</v>
      </c>
      <c r="G1031" s="15" t="n">
        <v>8.26363778114319</v>
      </c>
      <c r="H1031" s="15" t="n">
        <v>10.5521082740404</v>
      </c>
      <c r="I1031" s="16" t="n">
        <v>55.8912519061358</v>
      </c>
      <c r="J1031" s="15" t="n">
        <v>2.63079262837717</v>
      </c>
      <c r="K1031" s="15" t="n">
        <v>4718.31955322865</v>
      </c>
      <c r="L1031" s="15" t="n">
        <v>25.7833111488442</v>
      </c>
      <c r="M1031" s="15" t="n">
        <v>-6.90359757262716</v>
      </c>
      <c r="N1031" s="17" t="n">
        <v>0.0364360740090762</v>
      </c>
      <c r="O1031" s="18" t="n">
        <v>0.000772225653604655</v>
      </c>
    </row>
    <row r="1032" ht="15" customHeight="1" s="12">
      <c r="A1032" s="14" t="inlineStr">
        <is>
          <t>Mastung</t>
        </is>
      </c>
      <c r="B1032" s="14" t="inlineStr">
        <is>
          <t>Balochistan</t>
        </is>
      </c>
      <c r="C1032" s="14" t="n">
        <v>2022</v>
      </c>
      <c r="D1032" s="15" t="n">
        <v>77.27559506195129</v>
      </c>
      <c r="E1032" s="15" t="n">
        <v>3387.39843765683</v>
      </c>
      <c r="F1032" s="15" t="n">
        <v>174.860985174775</v>
      </c>
      <c r="G1032" s="15" t="n">
        <v>35.7009961114964</v>
      </c>
      <c r="H1032" s="15" t="n">
        <v>41.8587126044948</v>
      </c>
      <c r="I1032" s="16" t="n">
        <v>54.1680883478632</v>
      </c>
      <c r="J1032" s="15" t="n">
        <v>19.1602254428341</v>
      </c>
      <c r="K1032" s="15" t="n">
        <v>4718.31955322865</v>
      </c>
      <c r="L1032" s="15" t="n">
        <v>25.7833111488442</v>
      </c>
      <c r="M1032" s="15" t="n">
        <v>51.4922839131071</v>
      </c>
      <c r="N1032" s="17" t="n">
        <v>0.644542482003483</v>
      </c>
      <c r="O1032" s="18" t="n">
        <v>0.0136604245374274</v>
      </c>
    </row>
    <row r="1033" ht="15" customHeight="1" s="12">
      <c r="A1033" s="14" t="inlineStr">
        <is>
          <t>Mastung</t>
        </is>
      </c>
      <c r="B1033" s="14" t="inlineStr">
        <is>
          <t>Balochistan</t>
        </is>
      </c>
      <c r="C1033" s="14" t="n">
        <v>2023</v>
      </c>
      <c r="D1033" s="15" t="n">
        <v>22.2769833179163</v>
      </c>
      <c r="E1033" s="15" t="n">
        <v>976.518115794776</v>
      </c>
      <c r="F1033" s="15" t="n">
        <v>68.54060924053189</v>
      </c>
      <c r="G1033" s="15" t="n">
        <v>8.340953707695011</v>
      </c>
      <c r="H1033" s="15" t="n">
        <v>14.5419190748557</v>
      </c>
      <c r="I1033" s="16" t="n">
        <v>65.277775124787</v>
      </c>
      <c r="J1033" s="15" t="n">
        <v>4.21604938271605</v>
      </c>
      <c r="K1033" s="15" t="n">
        <v>4718.31955322865</v>
      </c>
      <c r="L1033" s="15" t="n">
        <v>25.7833111488442</v>
      </c>
      <c r="M1033" s="15" t="n">
        <v>-3.50632783092796</v>
      </c>
      <c r="N1033" s="17" t="n">
        <v>0.435348029779412</v>
      </c>
      <c r="O1033" s="18" t="n">
        <v>0.009226760181631009</v>
      </c>
    </row>
    <row r="1034" ht="15" customHeight="1" s="12">
      <c r="A1034" s="14" t="inlineStr">
        <is>
          <t>Mastung</t>
        </is>
      </c>
      <c r="B1034" s="14" t="inlineStr">
        <is>
          <t>Balochistan</t>
        </is>
      </c>
      <c r="C1034" s="14" t="n">
        <v>2024</v>
      </c>
      <c r="D1034" s="15" t="n">
        <v>44.5451756195271</v>
      </c>
      <c r="E1034" s="15" t="n">
        <v>1952.65087480421</v>
      </c>
      <c r="F1034" s="15" t="n">
        <v>101.003582680598</v>
      </c>
      <c r="G1034" s="15" t="n">
        <v>24.2416854139256</v>
      </c>
      <c r="H1034" s="15" t="n">
        <v>21.3088802977139</v>
      </c>
      <c r="I1034" s="16" t="n">
        <v>47.8365614263575</v>
      </c>
      <c r="J1034" s="15" t="n">
        <v>12.423689389873</v>
      </c>
      <c r="K1034" s="15" t="n">
        <v>4718.31955322865</v>
      </c>
      <c r="L1034" s="15" t="n">
        <v>25.7833111488442</v>
      </c>
      <c r="M1034" s="15" t="n">
        <v>18.7618644706829</v>
      </c>
      <c r="N1034" s="17" t="n">
        <v>0.119716903368662</v>
      </c>
      <c r="O1034" s="18" t="n">
        <v>0.00253727841063122</v>
      </c>
    </row>
    <row r="1035" ht="15" customHeight="1" s="12">
      <c r="A1035" s="14" t="inlineStr">
        <is>
          <t>Mastung</t>
        </is>
      </c>
      <c r="B1035" s="14" t="inlineStr">
        <is>
          <t>Balochistan</t>
        </is>
      </c>
      <c r="C1035" s="14" t="n">
        <v>2025</v>
      </c>
      <c r="D1035" s="15" t="n">
        <v>35.1697839628358</v>
      </c>
      <c r="E1035" s="15" t="n">
        <v>1541.67782406502</v>
      </c>
      <c r="F1035" s="15" t="n">
        <v>89.55854435986841</v>
      </c>
      <c r="G1035" s="15" t="n">
        <v>15.834248654206</v>
      </c>
      <c r="H1035" s="15" t="n">
        <v>20.1376146272799</v>
      </c>
      <c r="I1035" s="16" t="n">
        <v>57.2582835554505</v>
      </c>
      <c r="J1035" s="15" t="n">
        <v>6.20164609053498</v>
      </c>
      <c r="K1035" s="15" t="n">
        <v>4718.31955322865</v>
      </c>
      <c r="L1035" s="15" t="n">
        <v>25.7833111488442</v>
      </c>
      <c r="M1035" s="15" t="n">
        <v>9.386472813991629</v>
      </c>
      <c r="N1035" s="17" t="n">
        <v>0.0565939289481368</v>
      </c>
      <c r="O1035" s="18" t="n">
        <v>0.00119945095514802</v>
      </c>
    </row>
    <row r="1036" ht="15" customHeight="1" s="12">
      <c r="A1036" s="14" t="inlineStr">
        <is>
          <t>Matiari</t>
        </is>
      </c>
      <c r="B1036" s="14" t="inlineStr">
        <is>
          <t>Sindh</t>
        </is>
      </c>
      <c r="C1036" s="14" t="n">
        <v>2015</v>
      </c>
      <c r="D1036" s="15" t="n">
        <v>116.256287334404</v>
      </c>
      <c r="E1036" s="15" t="n">
        <v>1518.62624749372</v>
      </c>
      <c r="F1036" s="15" t="n">
        <v>133.196672990918</v>
      </c>
      <c r="G1036" s="15" t="n">
        <v>97.94684568047521</v>
      </c>
      <c r="H1036" s="15" t="n">
        <v>9.808506530261321</v>
      </c>
      <c r="I1036" s="16" t="n">
        <v>8.436968662217639</v>
      </c>
      <c r="J1036" s="15" t="n">
        <v>10.6022215550886</v>
      </c>
      <c r="K1036" s="15" t="n">
        <v>1460.78489812586</v>
      </c>
      <c r="L1036" s="15" t="n">
        <v>183.093384239259</v>
      </c>
      <c r="M1036" s="15" t="n">
        <v>-66.8370969048551</v>
      </c>
      <c r="N1036" s="17" t="n">
        <v>32.9950352350871</v>
      </c>
      <c r="O1036" s="18" t="n">
        <v>2.25871962924992</v>
      </c>
    </row>
    <row r="1037" ht="15" customHeight="1" s="12">
      <c r="A1037" s="14" t="inlineStr">
        <is>
          <t>Matiari</t>
        </is>
      </c>
      <c r="B1037" s="14" t="inlineStr">
        <is>
          <t>Sindh</t>
        </is>
      </c>
      <c r="C1037" s="14" t="n">
        <v>2016</v>
      </c>
      <c r="D1037" s="15" t="n">
        <v>123.083242827173</v>
      </c>
      <c r="E1037" s="15" t="n">
        <v>1607.80502689142</v>
      </c>
      <c r="F1037" s="15" t="n">
        <v>177.179698228836</v>
      </c>
      <c r="G1037" s="15" t="n">
        <v>104.25086826086</v>
      </c>
      <c r="H1037" s="15" t="n">
        <v>21.9862330886671</v>
      </c>
      <c r="I1037" s="16" t="n">
        <v>17.8628971610206</v>
      </c>
      <c r="J1037" s="15" t="n">
        <v>17.2824977484239</v>
      </c>
      <c r="K1037" s="15" t="n">
        <v>1460.78489812586</v>
      </c>
      <c r="L1037" s="15" t="n">
        <v>183.093384239259</v>
      </c>
      <c r="M1037" s="15" t="n">
        <v>-60.0101414120862</v>
      </c>
      <c r="N1037" s="17" t="n">
        <v>33.62092688368</v>
      </c>
      <c r="O1037" s="18" t="n">
        <v>2.3015658860394</v>
      </c>
    </row>
    <row r="1038" ht="15" customHeight="1" s="12">
      <c r="A1038" s="14" t="inlineStr">
        <is>
          <t>Matiari</t>
        </is>
      </c>
      <c r="B1038" s="14" t="inlineStr">
        <is>
          <t>Sindh</t>
        </is>
      </c>
      <c r="C1038" s="14" t="n">
        <v>2017</v>
      </c>
      <c r="D1038" s="15" t="n">
        <v>214.182068858064</v>
      </c>
      <c r="E1038" s="15" t="n">
        <v>2797.80577006358</v>
      </c>
      <c r="F1038" s="15" t="n">
        <v>239.826346158981</v>
      </c>
      <c r="G1038" s="15" t="n">
        <v>184.980434238911</v>
      </c>
      <c r="H1038" s="15" t="n">
        <v>16.2245805182434</v>
      </c>
      <c r="I1038" s="16" t="n">
        <v>7.57513483960004</v>
      </c>
      <c r="J1038" s="15" t="n">
        <v>24.647253077154</v>
      </c>
      <c r="K1038" s="15" t="n">
        <v>1460.78489812586</v>
      </c>
      <c r="L1038" s="15" t="n">
        <v>183.093384239259</v>
      </c>
      <c r="M1038" s="15" t="n">
        <v>31.0886846188054</v>
      </c>
      <c r="N1038" s="17" t="n">
        <v>39.5144078359114</v>
      </c>
      <c r="O1038" s="18" t="n">
        <v>2.7050120717025</v>
      </c>
    </row>
    <row r="1039" ht="15" customHeight="1" s="12">
      <c r="A1039" s="14" t="inlineStr">
        <is>
          <t>Matiari</t>
        </is>
      </c>
      <c r="B1039" s="14" t="inlineStr">
        <is>
          <t>Sindh</t>
        </is>
      </c>
      <c r="C1039" s="14" t="n">
        <v>2018</v>
      </c>
      <c r="D1039" s="15" t="n">
        <v>37.7884401170558</v>
      </c>
      <c r="E1039" s="15" t="n">
        <v>493.620760901619</v>
      </c>
      <c r="F1039" s="15" t="n">
        <v>47.9441462028772</v>
      </c>
      <c r="G1039" s="15" t="n">
        <v>30.0009632594883</v>
      </c>
      <c r="H1039" s="15" t="n">
        <v>5.66941168016855</v>
      </c>
      <c r="I1039" s="16" t="n">
        <v>15.0030317806362</v>
      </c>
      <c r="J1039" s="15" t="n">
        <v>8.102071450015011</v>
      </c>
      <c r="K1039" s="15" t="n">
        <v>1460.78489812586</v>
      </c>
      <c r="L1039" s="15" t="n">
        <v>183.093384239259</v>
      </c>
      <c r="M1039" s="15" t="n">
        <v>-145.304944122203</v>
      </c>
      <c r="N1039" s="17" t="n">
        <v>17.962355017749</v>
      </c>
      <c r="O1039" s="18" t="n">
        <v>1.22963723411942</v>
      </c>
    </row>
    <row r="1040" ht="15" customHeight="1" s="12">
      <c r="A1040" s="14" t="inlineStr">
        <is>
          <t>Matiari</t>
        </is>
      </c>
      <c r="B1040" s="14" t="inlineStr">
        <is>
          <t>Sindh</t>
        </is>
      </c>
      <c r="C1040" s="14" t="n">
        <v>2019</v>
      </c>
      <c r="D1040" s="15" t="n">
        <v>241.842014159063</v>
      </c>
      <c r="E1040" s="15" t="n">
        <v>3159.12058495623</v>
      </c>
      <c r="F1040" s="15" t="n">
        <v>279.889732778072</v>
      </c>
      <c r="G1040" s="15" t="n">
        <v>220.580107048094</v>
      </c>
      <c r="H1040" s="15" t="n">
        <v>15.1210720268058</v>
      </c>
      <c r="I1040" s="16" t="n">
        <v>6.25245868853064</v>
      </c>
      <c r="J1040" s="15" t="n">
        <v>19.1128790153107</v>
      </c>
      <c r="K1040" s="15" t="n">
        <v>1460.78489812586</v>
      </c>
      <c r="L1040" s="15" t="n">
        <v>183.093384239259</v>
      </c>
      <c r="M1040" s="15" t="n">
        <v>58.748629919804</v>
      </c>
      <c r="N1040" s="17" t="n">
        <v>45.0715700376876</v>
      </c>
      <c r="O1040" s="18" t="n">
        <v>3.08543510379338</v>
      </c>
    </row>
    <row r="1041" ht="15" customHeight="1" s="12">
      <c r="A1041" s="14" t="inlineStr">
        <is>
          <t>Matiari</t>
        </is>
      </c>
      <c r="B1041" s="14" t="inlineStr">
        <is>
          <t>Sindh</t>
        </is>
      </c>
      <c r="C1041" s="14" t="n">
        <v>2020</v>
      </c>
      <c r="D1041" s="15" t="n">
        <v>255.171266061439</v>
      </c>
      <c r="E1041" s="15" t="n">
        <v>3333.23720490452</v>
      </c>
      <c r="F1041" s="15" t="n">
        <v>311.203592646321</v>
      </c>
      <c r="G1041" s="15" t="n">
        <v>218.290146859503</v>
      </c>
      <c r="H1041" s="15" t="n">
        <v>28.0870332619785</v>
      </c>
      <c r="I1041" s="16" t="n">
        <v>11.0071301112782</v>
      </c>
      <c r="J1041" s="15" t="n">
        <v>27.2104473131192</v>
      </c>
      <c r="K1041" s="15" t="n">
        <v>1460.78489812586</v>
      </c>
      <c r="L1041" s="15" t="n">
        <v>183.093384239259</v>
      </c>
      <c r="M1041" s="15" t="n">
        <v>72.0778818221801</v>
      </c>
      <c r="N1041" s="17" t="n">
        <v>29.5749945338456</v>
      </c>
      <c r="O1041" s="18" t="n">
        <v>2.02459613128459</v>
      </c>
    </row>
    <row r="1042" ht="15" customHeight="1" s="12">
      <c r="A1042" s="14" t="inlineStr">
        <is>
          <t>Matiari</t>
        </is>
      </c>
      <c r="B1042" s="14" t="inlineStr">
        <is>
          <t>Sindh</t>
        </is>
      </c>
      <c r="C1042" s="14" t="n">
        <v>2021</v>
      </c>
      <c r="D1042" s="15" t="n">
        <v>86.1151678177758</v>
      </c>
      <c r="E1042" s="15" t="n">
        <v>1124.90048627848</v>
      </c>
      <c r="F1042" s="15" t="n">
        <v>108.186433076859</v>
      </c>
      <c r="G1042" s="15" t="n">
        <v>76.0711242556572</v>
      </c>
      <c r="H1042" s="15" t="n">
        <v>9.095968695568089</v>
      </c>
      <c r="I1042" s="16" t="n">
        <v>10.5625628168265</v>
      </c>
      <c r="J1042" s="15" t="n">
        <v>16.2275592915041</v>
      </c>
      <c r="K1042" s="15" t="n">
        <v>1460.78489812586</v>
      </c>
      <c r="L1042" s="15" t="n">
        <v>183.093384239259</v>
      </c>
      <c r="M1042" s="15" t="n">
        <v>-96.9782164214829</v>
      </c>
      <c r="N1042" s="17" t="n">
        <v>17.5243463235356</v>
      </c>
      <c r="O1042" s="18" t="n">
        <v>1.1996527583232</v>
      </c>
    </row>
    <row r="1043" ht="15" customHeight="1" s="12">
      <c r="A1043" s="14" t="inlineStr">
        <is>
          <t>Matiari</t>
        </is>
      </c>
      <c r="B1043" s="14" t="inlineStr">
        <is>
          <t>Sindh</t>
        </is>
      </c>
      <c r="C1043" s="14" t="n">
        <v>2022</v>
      </c>
      <c r="D1043" s="15" t="n">
        <v>409.98285818653</v>
      </c>
      <c r="E1043" s="15" t="n">
        <v>5355.50157105621</v>
      </c>
      <c r="F1043" s="15" t="n">
        <v>447.154114201672</v>
      </c>
      <c r="G1043" s="15" t="n">
        <v>380.890313773634</v>
      </c>
      <c r="H1043" s="15" t="n">
        <v>16.4804419761048</v>
      </c>
      <c r="I1043" s="16" t="n">
        <v>4.01978805870138</v>
      </c>
      <c r="J1043" s="15" t="n">
        <v>32.9219453617532</v>
      </c>
      <c r="K1043" s="15" t="n">
        <v>1460.78489812586</v>
      </c>
      <c r="L1043" s="15" t="n">
        <v>183.093384239259</v>
      </c>
      <c r="M1043" s="15" t="n">
        <v>226.889473947272</v>
      </c>
      <c r="N1043" s="17" t="n">
        <v>51.5419817300837</v>
      </c>
      <c r="O1043" s="18" t="n">
        <v>3.52837586123806</v>
      </c>
    </row>
    <row r="1044" ht="15" customHeight="1" s="12">
      <c r="A1044" s="14" t="inlineStr">
        <is>
          <t>Matiari</t>
        </is>
      </c>
      <c r="B1044" s="14" t="inlineStr">
        <is>
          <t>Sindh</t>
        </is>
      </c>
      <c r="C1044" s="14" t="n">
        <v>2023</v>
      </c>
      <c r="D1044" s="15" t="n">
        <v>124.238133878706</v>
      </c>
      <c r="E1044" s="15" t="n">
        <v>1622.8910743136</v>
      </c>
      <c r="F1044" s="15" t="n">
        <v>150.214786112309</v>
      </c>
      <c r="G1044" s="15" t="n">
        <v>90.21888780593871</v>
      </c>
      <c r="H1044" s="15" t="n">
        <v>18.7151718898513</v>
      </c>
      <c r="I1044" s="16" t="n">
        <v>15.0639512246079</v>
      </c>
      <c r="J1044" s="15" t="n">
        <v>16.2644851395977</v>
      </c>
      <c r="K1044" s="15" t="n">
        <v>1460.78489812586</v>
      </c>
      <c r="L1044" s="15" t="n">
        <v>183.093384239259</v>
      </c>
      <c r="M1044" s="15" t="n">
        <v>-58.855250360553</v>
      </c>
      <c r="N1044" s="17" t="n">
        <v>42.2303015596218</v>
      </c>
      <c r="O1044" s="18" t="n">
        <v>2.8909322388123</v>
      </c>
    </row>
    <row r="1045" ht="15" customHeight="1" s="12">
      <c r="A1045" s="14" t="inlineStr">
        <is>
          <t>Matiari</t>
        </is>
      </c>
      <c r="B1045" s="14" t="inlineStr">
        <is>
          <t>Sindh</t>
        </is>
      </c>
      <c r="C1045" s="14" t="n">
        <v>2024</v>
      </c>
      <c r="D1045" s="15" t="n">
        <v>237.605935131163</v>
      </c>
      <c r="E1045" s="15" t="n">
        <v>3103.78576439962</v>
      </c>
      <c r="F1045" s="15" t="n">
        <v>274.790982771624</v>
      </c>
      <c r="G1045" s="15" t="n">
        <v>193.669881822818</v>
      </c>
      <c r="H1045" s="15" t="n">
        <v>20.2852920729146</v>
      </c>
      <c r="I1045" s="16" t="n">
        <v>8.537367579524799</v>
      </c>
      <c r="J1045" s="15" t="n">
        <v>29.3428399879916</v>
      </c>
      <c r="K1045" s="15" t="n">
        <v>1460.78489812586</v>
      </c>
      <c r="L1045" s="15" t="n">
        <v>183.093384239259</v>
      </c>
      <c r="M1045" s="15" t="n">
        <v>54.5125508919042</v>
      </c>
      <c r="N1045" s="17" t="n">
        <v>48.1968306903261</v>
      </c>
      <c r="O1045" s="18" t="n">
        <v>3.29937903603475</v>
      </c>
    </row>
    <row r="1046" ht="15" customHeight="1" s="12">
      <c r="A1046" s="14" t="inlineStr">
        <is>
          <t>Matiari</t>
        </is>
      </c>
      <c r="B1046" s="14" t="inlineStr">
        <is>
          <t>Sindh</t>
        </is>
      </c>
      <c r="C1046" s="14" t="n">
        <v>2025</v>
      </c>
      <c r="D1046" s="15" t="n">
        <v>167.761812260473</v>
      </c>
      <c r="E1046" s="15" t="n">
        <v>2191.42979074368</v>
      </c>
      <c r="F1046" s="15" t="n">
        <v>200.555048179381</v>
      </c>
      <c r="G1046" s="15" t="n">
        <v>150.953447449756</v>
      </c>
      <c r="H1046" s="15" t="n">
        <v>15.0776524160003</v>
      </c>
      <c r="I1046" s="16" t="n">
        <v>8.987535490252201</v>
      </c>
      <c r="J1046" s="15" t="n">
        <v>17.6841789252477</v>
      </c>
      <c r="K1046" s="15" t="n">
        <v>1460.78489812586</v>
      </c>
      <c r="L1046" s="15" t="n">
        <v>183.093384239259</v>
      </c>
      <c r="M1046" s="15" t="n">
        <v>-15.3315719787853</v>
      </c>
      <c r="N1046" s="17" t="n">
        <v>41.1828235154211</v>
      </c>
      <c r="O1046" s="18" t="n">
        <v>2.81922571682234</v>
      </c>
    </row>
    <row r="1047" ht="15" customHeight="1" s="12">
      <c r="A1047" s="14" t="inlineStr">
        <is>
          <t>Mianwali</t>
        </is>
      </c>
      <c r="B1047" s="14" t="inlineStr">
        <is>
          <t>Punjab</t>
        </is>
      </c>
      <c r="C1047" s="14" t="n">
        <v>2015</v>
      </c>
      <c r="D1047" s="15" t="n">
        <v>466.778146637842</v>
      </c>
      <c r="E1047" s="15" t="n">
        <v>26699.7099876846</v>
      </c>
      <c r="F1047" s="15" t="n">
        <v>540.073832511902</v>
      </c>
      <c r="G1047" s="15" t="n">
        <v>386.312004566193</v>
      </c>
      <c r="H1047" s="15" t="n">
        <v>37.197518502876</v>
      </c>
      <c r="I1047" s="16" t="n">
        <v>7.96899314391775</v>
      </c>
      <c r="J1047" s="15" t="n">
        <v>26.514740161799</v>
      </c>
      <c r="K1047" s="15" t="n">
        <v>5963.7212127764</v>
      </c>
      <c r="L1047" s="15" t="n">
        <v>381.378204910049</v>
      </c>
      <c r="M1047" s="15" t="n">
        <v>85.39994172779291</v>
      </c>
      <c r="N1047" s="17" t="n">
        <v>85.0967389343097</v>
      </c>
      <c r="O1047" s="18" t="n">
        <v>1.42690672313793</v>
      </c>
    </row>
    <row r="1048" ht="15" customHeight="1" s="12">
      <c r="A1048" s="14" t="inlineStr">
        <is>
          <t>Mianwali</t>
        </is>
      </c>
      <c r="B1048" s="14" t="inlineStr">
        <is>
          <t>Punjab</t>
        </is>
      </c>
      <c r="C1048" s="14" t="n">
        <v>2016</v>
      </c>
      <c r="D1048" s="15" t="n">
        <v>446.642536339202</v>
      </c>
      <c r="E1048" s="15" t="n">
        <v>25547.9530786024</v>
      </c>
      <c r="F1048" s="15" t="n">
        <v>533.375781536102</v>
      </c>
      <c r="G1048" s="15" t="n">
        <v>348.784624397755</v>
      </c>
      <c r="H1048" s="15" t="n">
        <v>43.1168601346344</v>
      </c>
      <c r="I1048" s="16" t="n">
        <v>9.65354990324731</v>
      </c>
      <c r="J1048" s="15" t="n">
        <v>27.59159467983</v>
      </c>
      <c r="K1048" s="15" t="n">
        <v>5963.7212127764</v>
      </c>
      <c r="L1048" s="15" t="n">
        <v>381.378204910049</v>
      </c>
      <c r="M1048" s="15" t="n">
        <v>65.264331429153</v>
      </c>
      <c r="N1048" s="17" t="n">
        <v>58.5156224174195</v>
      </c>
      <c r="O1048" s="18" t="n">
        <v>0.981193123046367</v>
      </c>
    </row>
    <row r="1049" ht="15" customHeight="1" s="12">
      <c r="A1049" s="14" t="inlineStr">
        <is>
          <t>Mianwali</t>
        </is>
      </c>
      <c r="B1049" s="14" t="inlineStr">
        <is>
          <t>Punjab</t>
        </is>
      </c>
      <c r="C1049" s="14" t="n">
        <v>2017</v>
      </c>
      <c r="D1049" s="15" t="n">
        <v>371.168610293978</v>
      </c>
      <c r="E1049" s="15" t="n">
        <v>21230.8445088155</v>
      </c>
      <c r="F1049" s="15" t="n">
        <v>541.047541975975</v>
      </c>
      <c r="G1049" s="15" t="n">
        <v>236.185664236546</v>
      </c>
      <c r="H1049" s="15" t="n">
        <v>82.0090572682425</v>
      </c>
      <c r="I1049" s="16" t="n">
        <v>22.0948256382157</v>
      </c>
      <c r="J1049" s="15" t="n">
        <v>24.0197449609214</v>
      </c>
      <c r="K1049" s="15" t="n">
        <v>5963.7212127764</v>
      </c>
      <c r="L1049" s="15" t="n">
        <v>381.378204910049</v>
      </c>
      <c r="M1049" s="15" t="n">
        <v>-10.2095946160713</v>
      </c>
      <c r="N1049" s="17" t="n">
        <v>59.5537047453582</v>
      </c>
      <c r="O1049" s="18" t="n">
        <v>0.998599743693134</v>
      </c>
    </row>
    <row r="1050" ht="15" customHeight="1" s="12">
      <c r="A1050" s="14" t="inlineStr">
        <is>
          <t>Mianwali</t>
        </is>
      </c>
      <c r="B1050" s="14" t="inlineStr">
        <is>
          <t>Punjab</t>
        </is>
      </c>
      <c r="C1050" s="14" t="n">
        <v>2018</v>
      </c>
      <c r="D1050" s="15" t="n">
        <v>303.810081564108</v>
      </c>
      <c r="E1050" s="15" t="n">
        <v>17377.936665467</v>
      </c>
      <c r="F1050" s="15" t="n">
        <v>437.797758758068</v>
      </c>
      <c r="G1050" s="15" t="n">
        <v>219.856175601482</v>
      </c>
      <c r="H1050" s="15" t="n">
        <v>64.0835107253919</v>
      </c>
      <c r="I1050" s="16" t="n">
        <v>21.093279852818</v>
      </c>
      <c r="J1050" s="15" t="n">
        <v>22.4886192239133</v>
      </c>
      <c r="K1050" s="15" t="n">
        <v>5963.7212127764</v>
      </c>
      <c r="L1050" s="15" t="n">
        <v>381.378204910049</v>
      </c>
      <c r="M1050" s="15" t="n">
        <v>-77.568123345941</v>
      </c>
      <c r="N1050" s="17" t="n">
        <v>61.8282397875398</v>
      </c>
      <c r="O1050" s="18" t="n">
        <v>1.03673927035828</v>
      </c>
    </row>
    <row r="1051" ht="15" customHeight="1" s="12">
      <c r="A1051" s="14" t="inlineStr">
        <is>
          <t>Mianwali</t>
        </is>
      </c>
      <c r="B1051" s="14" t="inlineStr">
        <is>
          <t>Punjab</t>
        </is>
      </c>
      <c r="C1051" s="14" t="n">
        <v>2019</v>
      </c>
      <c r="D1051" s="15" t="n">
        <v>398.576894067402</v>
      </c>
      <c r="E1051" s="15" t="n">
        <v>22798.5983406554</v>
      </c>
      <c r="F1051" s="15" t="n">
        <v>452.507009267807</v>
      </c>
      <c r="G1051" s="15" t="n">
        <v>338.60267249987</v>
      </c>
      <c r="H1051" s="15" t="n">
        <v>25.8853131481718</v>
      </c>
      <c r="I1051" s="16" t="n">
        <v>6.49443395577126</v>
      </c>
      <c r="J1051" s="15" t="n">
        <v>22.2705333881804</v>
      </c>
      <c r="K1051" s="15" t="n">
        <v>5963.7212127764</v>
      </c>
      <c r="L1051" s="15" t="n">
        <v>381.378204910049</v>
      </c>
      <c r="M1051" s="15" t="n">
        <v>17.1986891573528</v>
      </c>
      <c r="N1051" s="17" t="n">
        <v>54.5786704744071</v>
      </c>
      <c r="O1051" s="18" t="n">
        <v>0.915178099832705</v>
      </c>
    </row>
    <row r="1052" ht="15" customHeight="1" s="12">
      <c r="A1052" s="14" t="inlineStr">
        <is>
          <t>Mianwali</t>
        </is>
      </c>
      <c r="B1052" s="14" t="inlineStr">
        <is>
          <t>Punjab</t>
        </is>
      </c>
      <c r="C1052" s="14" t="n">
        <v>2020</v>
      </c>
      <c r="D1052" s="15" t="n">
        <v>330.727132066302</v>
      </c>
      <c r="E1052" s="15" t="n">
        <v>18917.5919541925</v>
      </c>
      <c r="F1052" s="15" t="n">
        <v>385.998055134087</v>
      </c>
      <c r="G1052" s="15" t="n">
        <v>276.732337232264</v>
      </c>
      <c r="H1052" s="15" t="n">
        <v>26.4945013251383</v>
      </c>
      <c r="I1052" s="16" t="n">
        <v>8.010985116221679</v>
      </c>
      <c r="J1052" s="15" t="n">
        <v>23.584601672837</v>
      </c>
      <c r="K1052" s="15" t="n">
        <v>5963.7212127764</v>
      </c>
      <c r="L1052" s="15" t="n">
        <v>381.378204910049</v>
      </c>
      <c r="M1052" s="15" t="n">
        <v>-50.6510728437465</v>
      </c>
      <c r="N1052" s="17" t="n">
        <v>69.34120819383659</v>
      </c>
      <c r="O1052" s="18" t="n">
        <v>1.16271713113086</v>
      </c>
    </row>
    <row r="1053" ht="15" customHeight="1" s="12">
      <c r="A1053" s="14" t="inlineStr">
        <is>
          <t>Mianwali</t>
        </is>
      </c>
      <c r="B1053" s="14" t="inlineStr">
        <is>
          <t>Punjab</t>
        </is>
      </c>
      <c r="C1053" s="14" t="n">
        <v>2021</v>
      </c>
      <c r="D1053" s="15" t="n">
        <v>365.286987643808</v>
      </c>
      <c r="E1053" s="15" t="n">
        <v>20894.4156932258</v>
      </c>
      <c r="F1053" s="15" t="n">
        <v>478.137807846069</v>
      </c>
      <c r="G1053" s="15" t="n">
        <v>259.73157453537</v>
      </c>
      <c r="H1053" s="15" t="n">
        <v>54.814636056566</v>
      </c>
      <c r="I1053" s="16" t="n">
        <v>15.0059098491666</v>
      </c>
      <c r="J1053" s="15" t="n">
        <v>16.4548882490059</v>
      </c>
      <c r="K1053" s="15" t="n">
        <v>5963.7212127764</v>
      </c>
      <c r="L1053" s="15" t="n">
        <v>381.378204910049</v>
      </c>
      <c r="M1053" s="15" t="n">
        <v>-16.0912172662411</v>
      </c>
      <c r="N1053" s="17" t="n">
        <v>54.3590040622252</v>
      </c>
      <c r="O1053" s="18" t="n">
        <v>0.911494721546825</v>
      </c>
    </row>
    <row r="1054" ht="15" customHeight="1" s="12">
      <c r="A1054" s="14" t="inlineStr">
        <is>
          <t>Mianwali</t>
        </is>
      </c>
      <c r="B1054" s="14" t="inlineStr">
        <is>
          <t>Punjab</t>
        </is>
      </c>
      <c r="C1054" s="14" t="n">
        <v>2022</v>
      </c>
      <c r="D1054" s="15" t="n">
        <v>401.745809343963</v>
      </c>
      <c r="E1054" s="15" t="n">
        <v>22979.8602944747</v>
      </c>
      <c r="F1054" s="15" t="n">
        <v>529.3971696577501</v>
      </c>
      <c r="G1054" s="15" t="n">
        <v>315.645067786528</v>
      </c>
      <c r="H1054" s="15" t="n">
        <v>49.8774310177077</v>
      </c>
      <c r="I1054" s="16" t="n">
        <v>12.4151714486221</v>
      </c>
      <c r="J1054" s="15" t="n">
        <v>29.0050733580145</v>
      </c>
      <c r="K1054" s="15" t="n">
        <v>5963.7212127764</v>
      </c>
      <c r="L1054" s="15" t="n">
        <v>381.378204910049</v>
      </c>
      <c r="M1054" s="15" t="n">
        <v>20.3676044339144</v>
      </c>
      <c r="N1054" s="17" t="n">
        <v>63.2256926939508</v>
      </c>
      <c r="O1054" s="18" t="n">
        <v>1.06017183631084</v>
      </c>
    </row>
    <row r="1055" ht="15" customHeight="1" s="12">
      <c r="A1055" s="14" t="inlineStr">
        <is>
          <t>Mianwali</t>
        </is>
      </c>
      <c r="B1055" s="14" t="inlineStr">
        <is>
          <t>Punjab</t>
        </is>
      </c>
      <c r="C1055" s="14" t="n">
        <v>2023</v>
      </c>
      <c r="D1055" s="15" t="n">
        <v>300.067926786547</v>
      </c>
      <c r="E1055" s="15" t="n">
        <v>17163.8854121905</v>
      </c>
      <c r="F1055" s="15" t="n">
        <v>374.871967434883</v>
      </c>
      <c r="G1055" s="15" t="n">
        <v>225.954618811607</v>
      </c>
      <c r="H1055" s="15" t="n">
        <v>37.2298268728328</v>
      </c>
      <c r="I1055" s="16" t="n">
        <v>12.4071330353531</v>
      </c>
      <c r="J1055" s="15" t="n">
        <v>18.9463183874949</v>
      </c>
      <c r="K1055" s="15" t="n">
        <v>5963.7212127764</v>
      </c>
      <c r="L1055" s="15" t="n">
        <v>381.378204910049</v>
      </c>
      <c r="M1055" s="15" t="n">
        <v>-81.3102781235022</v>
      </c>
      <c r="N1055" s="17" t="n">
        <v>64.3036211322153</v>
      </c>
      <c r="O1055" s="18" t="n">
        <v>1.07824659869167</v>
      </c>
    </row>
    <row r="1056" ht="15" customHeight="1" s="12">
      <c r="A1056" s="14" t="inlineStr">
        <is>
          <t>Mianwali</t>
        </is>
      </c>
      <c r="B1056" s="14" t="inlineStr">
        <is>
          <t>Punjab</t>
        </is>
      </c>
      <c r="C1056" s="14" t="n">
        <v>2024</v>
      </c>
      <c r="D1056" s="15" t="n">
        <v>367.322654211557</v>
      </c>
      <c r="E1056" s="15" t="n">
        <v>21010.8558209011</v>
      </c>
      <c r="F1056" s="15" t="n">
        <v>446.073363368079</v>
      </c>
      <c r="G1056" s="15" t="n">
        <v>310.208333492279</v>
      </c>
      <c r="H1056" s="15" t="n">
        <v>27.6069306110361</v>
      </c>
      <c r="I1056" s="16" t="n">
        <v>7.51571684852741</v>
      </c>
      <c r="J1056" s="15" t="n">
        <v>30.8892773892774</v>
      </c>
      <c r="K1056" s="15" t="n">
        <v>5963.7212127764</v>
      </c>
      <c r="L1056" s="15" t="n">
        <v>381.378204910049</v>
      </c>
      <c r="M1056" s="15" t="n">
        <v>-14.0555506984921</v>
      </c>
      <c r="N1056" s="17" t="n">
        <v>77.510175249493</v>
      </c>
      <c r="O1056" s="18" t="n">
        <v>1.2996948127528</v>
      </c>
    </row>
    <row r="1057" ht="15" customHeight="1" s="12">
      <c r="A1057" s="14" t="inlineStr">
        <is>
          <t>Mianwali</t>
        </is>
      </c>
      <c r="B1057" s="14" t="inlineStr">
        <is>
          <t>Punjab</t>
        </is>
      </c>
      <c r="C1057" s="14" t="n">
        <v>2025</v>
      </c>
      <c r="D1057" s="15" t="n">
        <v>443.03347505583</v>
      </c>
      <c r="E1057" s="15" t="n">
        <v>25341.5147731935</v>
      </c>
      <c r="F1057" s="15" t="n">
        <v>507.541124018433</v>
      </c>
      <c r="G1057" s="15" t="n">
        <v>351.823074466144</v>
      </c>
      <c r="H1057" s="15" t="n">
        <v>35.1698889619889</v>
      </c>
      <c r="I1057" s="16" t="n">
        <v>7.93842699077239</v>
      </c>
      <c r="J1057" s="15" t="n">
        <v>29.146716029069</v>
      </c>
      <c r="K1057" s="15" t="n">
        <v>5963.7212127764</v>
      </c>
      <c r="L1057" s="15" t="n">
        <v>381.378204910049</v>
      </c>
      <c r="M1057" s="15" t="n">
        <v>61.6552701457811</v>
      </c>
      <c r="N1057" s="17" t="n">
        <v>53.2243878875644</v>
      </c>
      <c r="O1057" s="18" t="n">
        <v>0.89246941613466</v>
      </c>
    </row>
    <row r="1058" ht="15" customHeight="1" s="12">
      <c r="A1058" s="14" t="inlineStr">
        <is>
          <t>Mirpur</t>
        </is>
      </c>
      <c r="B1058" s="14" t="inlineStr">
        <is>
          <t>Azad Kashmir</t>
        </is>
      </c>
      <c r="C1058" s="14" t="n">
        <v>2015</v>
      </c>
      <c r="D1058" s="15" t="n">
        <v>794.328851780596</v>
      </c>
      <c r="E1058" s="15" t="n">
        <v>6887.29839720352</v>
      </c>
      <c r="F1058" s="15" t="n">
        <v>908.4821636676789</v>
      </c>
      <c r="G1058" s="15" t="n">
        <v>686.754434943199</v>
      </c>
      <c r="H1058" s="15" t="n">
        <v>70.63039375721419</v>
      </c>
      <c r="I1058" s="16" t="n">
        <v>8.8918328471749</v>
      </c>
      <c r="J1058" s="15" t="n">
        <v>38.3075531433741</v>
      </c>
      <c r="K1058" s="15" t="n">
        <v>897.336205621897</v>
      </c>
      <c r="L1058" s="15" t="n">
        <v>837.083580332864</v>
      </c>
      <c r="M1058" s="15" t="n">
        <v>-42.7547285522682</v>
      </c>
      <c r="N1058" s="17" t="n">
        <v>13.3084131017277</v>
      </c>
      <c r="O1058" s="18" t="n">
        <v>1.48310221055934</v>
      </c>
    </row>
    <row r="1059" ht="15" customHeight="1" s="12">
      <c r="A1059" s="14" t="inlineStr">
        <is>
          <t>Mirpur</t>
        </is>
      </c>
      <c r="B1059" s="14" t="inlineStr">
        <is>
          <t>Azad Kashmir</t>
        </is>
      </c>
      <c r="C1059" s="14" t="n">
        <v>2016</v>
      </c>
      <c r="D1059" s="15" t="n">
        <v>778.806124466245</v>
      </c>
      <c r="E1059" s="15" t="n">
        <v>6752.70722037203</v>
      </c>
      <c r="F1059" s="15" t="n">
        <v>852.338893175125</v>
      </c>
      <c r="G1059" s="15" t="n">
        <v>707.81308722496</v>
      </c>
      <c r="H1059" s="15" t="n">
        <v>40.4868986254732</v>
      </c>
      <c r="I1059" s="16" t="n">
        <v>5.19858503337027</v>
      </c>
      <c r="J1059" s="15" t="n">
        <v>35.5897783808232</v>
      </c>
      <c r="K1059" s="15" t="n">
        <v>897.336205621897</v>
      </c>
      <c r="L1059" s="15" t="n">
        <v>837.083580332864</v>
      </c>
      <c r="M1059" s="15" t="n">
        <v>-58.2774558666187</v>
      </c>
      <c r="N1059" s="17" t="n">
        <v>87.4857015506512</v>
      </c>
      <c r="O1059" s="18" t="n">
        <v>9.74948976788688</v>
      </c>
    </row>
    <row r="1060" ht="15" customHeight="1" s="12">
      <c r="A1060" s="14" t="inlineStr">
        <is>
          <t>Mirpur</t>
        </is>
      </c>
      <c r="B1060" s="14" t="inlineStr">
        <is>
          <t>Azad Kashmir</t>
        </is>
      </c>
      <c r="C1060" s="14" t="n">
        <v>2017</v>
      </c>
      <c r="D1060" s="15" t="n">
        <v>706.424268086535</v>
      </c>
      <c r="E1060" s="15" t="n">
        <v>6125.11394799737</v>
      </c>
      <c r="F1060" s="15" t="n">
        <v>761.388587474823</v>
      </c>
      <c r="G1060" s="15" t="n">
        <v>647.3421518802641</v>
      </c>
      <c r="H1060" s="15" t="n">
        <v>32.0842676378969</v>
      </c>
      <c r="I1060" s="16" t="n">
        <v>4.54178446117124</v>
      </c>
      <c r="J1060" s="15" t="n">
        <v>35.3387607417458</v>
      </c>
      <c r="K1060" s="15" t="n">
        <v>897.336205621897</v>
      </c>
      <c r="L1060" s="15" t="n">
        <v>837.083580332864</v>
      </c>
      <c r="M1060" s="15" t="n">
        <v>-130.659312246328</v>
      </c>
      <c r="N1060" s="17" t="n">
        <v>83.73288880549789</v>
      </c>
      <c r="O1060" s="18" t="n">
        <v>9.331272747149089</v>
      </c>
    </row>
    <row r="1061" ht="15" customHeight="1" s="12">
      <c r="A1061" s="14" t="inlineStr">
        <is>
          <t>Mirpur</t>
        </is>
      </c>
      <c r="B1061" s="14" t="inlineStr">
        <is>
          <t>Azad Kashmir</t>
        </is>
      </c>
      <c r="C1061" s="14" t="n">
        <v>2018</v>
      </c>
      <c r="D1061" s="15" t="n">
        <v>658.4107433855939</v>
      </c>
      <c r="E1061" s="15" t="n">
        <v>5708.80844559039</v>
      </c>
      <c r="F1061" s="15" t="n">
        <v>767.350759476423</v>
      </c>
      <c r="G1061" s="15" t="n">
        <v>583.0455319583421</v>
      </c>
      <c r="H1061" s="15" t="n">
        <v>60.3979008404933</v>
      </c>
      <c r="I1061" s="16" t="n">
        <v>9.17328604480587</v>
      </c>
      <c r="J1061" s="15" t="n">
        <v>32.3609226594301</v>
      </c>
      <c r="K1061" s="15" t="n">
        <v>897.336205621897</v>
      </c>
      <c r="L1061" s="15" t="n">
        <v>837.083580332864</v>
      </c>
      <c r="M1061" s="15" t="n">
        <v>-178.67283694727</v>
      </c>
      <c r="N1061" s="17" t="n">
        <v>66.2239349594613</v>
      </c>
      <c r="O1061" s="18" t="n">
        <v>7.38005828189724</v>
      </c>
    </row>
    <row r="1062" ht="15" customHeight="1" s="12">
      <c r="A1062" s="14" t="inlineStr">
        <is>
          <t>Mirpur</t>
        </is>
      </c>
      <c r="B1062" s="14" t="inlineStr">
        <is>
          <t>Azad Kashmir</t>
        </is>
      </c>
      <c r="C1062" s="14" t="n">
        <v>2019</v>
      </c>
      <c r="D1062" s="15" t="n">
        <v>778.377228050429</v>
      </c>
      <c r="E1062" s="15" t="n">
        <v>6748.9884361549</v>
      </c>
      <c r="F1062" s="15" t="n">
        <v>902.899880536646</v>
      </c>
      <c r="G1062" s="15" t="n">
        <v>661.21856179793</v>
      </c>
      <c r="H1062" s="15" t="n">
        <v>64.60735812389581</v>
      </c>
      <c r="I1062" s="16" t="n">
        <v>8.300263136643309</v>
      </c>
      <c r="J1062" s="15" t="n">
        <v>34.6653098145636</v>
      </c>
      <c r="K1062" s="15" t="n">
        <v>897.336205621897</v>
      </c>
      <c r="L1062" s="15" t="n">
        <v>837.083580332864</v>
      </c>
      <c r="M1062" s="15" t="n">
        <v>-58.7063522824348</v>
      </c>
      <c r="N1062" s="17" t="n">
        <v>90.02637270383261</v>
      </c>
      <c r="O1062" s="18" t="n">
        <v>10.0326245770324</v>
      </c>
    </row>
    <row r="1063" ht="15" customHeight="1" s="12">
      <c r="A1063" s="14" t="inlineStr">
        <is>
          <t>Mirpur</t>
        </is>
      </c>
      <c r="B1063" s="14" t="inlineStr">
        <is>
          <t>Azad Kashmir</t>
        </is>
      </c>
      <c r="C1063" s="14" t="n">
        <v>2020</v>
      </c>
      <c r="D1063" s="15" t="n">
        <v>782.340708345254</v>
      </c>
      <c r="E1063" s="15" t="n">
        <v>6783.35414177002</v>
      </c>
      <c r="F1063" s="15" t="n">
        <v>853.889886491001</v>
      </c>
      <c r="G1063" s="15" t="n">
        <v>720.670982494019</v>
      </c>
      <c r="H1063" s="15" t="n">
        <v>31.3292304175857</v>
      </c>
      <c r="I1063" s="16" t="n">
        <v>4.00455071344183</v>
      </c>
      <c r="J1063" s="15" t="n">
        <v>34.7516960651289</v>
      </c>
      <c r="K1063" s="15" t="n">
        <v>897.336205621897</v>
      </c>
      <c r="L1063" s="15" t="n">
        <v>837.083580332864</v>
      </c>
      <c r="M1063" s="15" t="n">
        <v>-54.7428719876103</v>
      </c>
      <c r="N1063" s="17" t="n">
        <v>9.60430439173439</v>
      </c>
      <c r="O1063" s="18" t="n">
        <v>1.07031281381076</v>
      </c>
    </row>
    <row r="1064" ht="15" customHeight="1" s="12">
      <c r="A1064" s="14" t="inlineStr">
        <is>
          <t>Mirpur</t>
        </is>
      </c>
      <c r="B1064" s="14" t="inlineStr">
        <is>
          <t>Azad Kashmir</t>
        </is>
      </c>
      <c r="C1064" s="14" t="n">
        <v>2021</v>
      </c>
      <c r="D1064" s="15" t="n">
        <v>1080.48367979666</v>
      </c>
      <c r="E1064" s="15" t="n">
        <v>9368.42908247219</v>
      </c>
      <c r="F1064" s="15" t="n">
        <v>1157.79725599289</v>
      </c>
      <c r="G1064" s="15" t="n">
        <v>969.310034036636</v>
      </c>
      <c r="H1064" s="15" t="n">
        <v>54.7679206196033</v>
      </c>
      <c r="I1064" s="16" t="n">
        <v>5.06883367548046</v>
      </c>
      <c r="J1064" s="15" t="n">
        <v>21.9995477159656</v>
      </c>
      <c r="K1064" s="15" t="n">
        <v>897.336205621897</v>
      </c>
      <c r="L1064" s="15" t="n">
        <v>837.083580332864</v>
      </c>
      <c r="M1064" s="15" t="n">
        <v>243.400099463792</v>
      </c>
      <c r="N1064" s="17" t="n">
        <v>96.601135249137</v>
      </c>
      <c r="O1064" s="18" t="n">
        <v>10.765322366792</v>
      </c>
    </row>
    <row r="1065" ht="15" customHeight="1" s="12">
      <c r="A1065" s="14" t="inlineStr">
        <is>
          <t>Mirpur</t>
        </is>
      </c>
      <c r="B1065" s="14" t="inlineStr">
        <is>
          <t>Azad Kashmir</t>
        </is>
      </c>
      <c r="C1065" s="14" t="n">
        <v>2022</v>
      </c>
      <c r="D1065" s="15" t="n">
        <v>822.3612088249311</v>
      </c>
      <c r="E1065" s="15" t="n">
        <v>7130.35542239969</v>
      </c>
      <c r="F1065" s="15" t="n">
        <v>919.943805456162</v>
      </c>
      <c r="G1065" s="15" t="n">
        <v>694.5069553256041</v>
      </c>
      <c r="H1065" s="15" t="n">
        <v>61.5955175041499</v>
      </c>
      <c r="I1065" s="16" t="n">
        <v>7.49008061702759</v>
      </c>
      <c r="J1065" s="15" t="n">
        <v>34.592039800995</v>
      </c>
      <c r="K1065" s="15" t="n">
        <v>897.336205621897</v>
      </c>
      <c r="L1065" s="15" t="n">
        <v>837.083580332864</v>
      </c>
      <c r="M1065" s="15" t="n">
        <v>-14.7223715079332</v>
      </c>
      <c r="N1065" s="17" t="n">
        <v>79.62407477068579</v>
      </c>
      <c r="O1065" s="18" t="n">
        <v>8.87338260418262</v>
      </c>
    </row>
    <row r="1066" ht="15" customHeight="1" s="12">
      <c r="A1066" s="14" t="inlineStr">
        <is>
          <t>Mirpur</t>
        </is>
      </c>
      <c r="B1066" s="14" t="inlineStr">
        <is>
          <t>Azad Kashmir</t>
        </is>
      </c>
      <c r="C1066" s="14" t="n">
        <v>2023</v>
      </c>
      <c r="D1066" s="15" t="n">
        <v>838.076294669195</v>
      </c>
      <c r="E1066" s="15" t="n">
        <v>7266.61446083761</v>
      </c>
      <c r="F1066" s="15" t="n">
        <v>993.8448419570919</v>
      </c>
      <c r="G1066" s="15" t="n">
        <v>675.388731002808</v>
      </c>
      <c r="H1066" s="15" t="n">
        <v>93.5052396312115</v>
      </c>
      <c r="I1066" s="16" t="n">
        <v>11.1571273672786</v>
      </c>
      <c r="J1066" s="15" t="n">
        <v>25.0253279059249</v>
      </c>
      <c r="K1066" s="15" t="n">
        <v>897.336205621897</v>
      </c>
      <c r="L1066" s="15" t="n">
        <v>837.083580332864</v>
      </c>
      <c r="M1066" s="15" t="n">
        <v>0.992714336330892</v>
      </c>
      <c r="N1066" s="17" t="n">
        <v>103.076677131803</v>
      </c>
      <c r="O1066" s="18" t="n">
        <v>11.4869629115617</v>
      </c>
    </row>
    <row r="1067" ht="15" customHeight="1" s="12">
      <c r="A1067" s="14" t="inlineStr">
        <is>
          <t>Mirpur</t>
        </is>
      </c>
      <c r="B1067" s="14" t="inlineStr">
        <is>
          <t>Azad Kashmir</t>
        </is>
      </c>
      <c r="C1067" s="14" t="n">
        <v>2024</v>
      </c>
      <c r="D1067" s="15" t="n">
        <v>904.850891206681</v>
      </c>
      <c r="E1067" s="15" t="n">
        <v>7845.58949199205</v>
      </c>
      <c r="F1067" s="15" t="n">
        <v>990.081728707068</v>
      </c>
      <c r="G1067" s="15" t="n">
        <v>796.60658672452</v>
      </c>
      <c r="H1067" s="15" t="n">
        <v>47.776193546772</v>
      </c>
      <c r="I1067" s="16" t="n">
        <v>5.28000734828908</v>
      </c>
      <c r="J1067" s="15" t="n">
        <v>44.3279059249208</v>
      </c>
      <c r="K1067" s="15" t="n">
        <v>897.336205621897</v>
      </c>
      <c r="L1067" s="15" t="n">
        <v>837.083580332864</v>
      </c>
      <c r="M1067" s="15" t="n">
        <v>67.767310873817</v>
      </c>
      <c r="N1067" s="17" t="n">
        <v>79.07339656184951</v>
      </c>
      <c r="O1067" s="18" t="n">
        <v>8.812014500969321</v>
      </c>
    </row>
    <row r="1068" ht="15" customHeight="1" s="12">
      <c r="A1068" s="14" t="inlineStr">
        <is>
          <t>Mirpur</t>
        </is>
      </c>
      <c r="B1068" s="14" t="inlineStr">
        <is>
          <t>Azad Kashmir</t>
        </is>
      </c>
      <c r="C1068" s="14" t="n">
        <v>2025</v>
      </c>
      <c r="D1068" s="15" t="n">
        <v>1063.45938504939</v>
      </c>
      <c r="E1068" s="15" t="n">
        <v>9220.818432722341</v>
      </c>
      <c r="F1068" s="15" t="n">
        <v>1163.6857879309</v>
      </c>
      <c r="G1068" s="15" t="n">
        <v>973.712898063939</v>
      </c>
      <c r="H1068" s="15" t="n">
        <v>52.8109895096155</v>
      </c>
      <c r="I1068" s="16" t="n">
        <v>4.96596205290557</v>
      </c>
      <c r="J1068" s="15" t="n">
        <v>46.3283582089552</v>
      </c>
      <c r="K1068" s="15" t="n">
        <v>897.336205621897</v>
      </c>
      <c r="L1068" s="15" t="n">
        <v>837.083580332864</v>
      </c>
      <c r="M1068" s="15" t="n">
        <v>226.375804716524</v>
      </c>
      <c r="N1068" s="17" t="n">
        <v>96.53548101586721</v>
      </c>
      <c r="O1068" s="18" t="n">
        <v>10.7580057966081</v>
      </c>
    </row>
    <row r="1069" ht="15" customHeight="1" s="12">
      <c r="A1069" s="14" t="inlineStr">
        <is>
          <t>Mirpur Khas</t>
        </is>
      </c>
      <c r="B1069" s="14" t="inlineStr">
        <is>
          <t>Sindh</t>
        </is>
      </c>
      <c r="C1069" s="14" t="n">
        <v>2015</v>
      </c>
      <c r="D1069" s="15" t="n">
        <v>195.029953503667</v>
      </c>
      <c r="E1069" s="15" t="n">
        <v>6037.51550179586</v>
      </c>
      <c r="F1069" s="15" t="n">
        <v>252.314074039459</v>
      </c>
      <c r="G1069" s="15" t="n">
        <v>145.705693006516</v>
      </c>
      <c r="H1069" s="15" t="n">
        <v>28.3142377389006</v>
      </c>
      <c r="I1069" s="16" t="n">
        <v>14.5178918572466</v>
      </c>
      <c r="J1069" s="15" t="n">
        <v>14.1648087154801</v>
      </c>
      <c r="K1069" s="15" t="n">
        <v>3470.18515153834</v>
      </c>
      <c r="L1069" s="15" t="n">
        <v>244.184620162754</v>
      </c>
      <c r="M1069" s="15" t="n">
        <v>-49.1546666590874</v>
      </c>
      <c r="N1069" s="17" t="n">
        <v>33.4165293905334</v>
      </c>
      <c r="O1069" s="18" t="n">
        <v>0.962960992894567</v>
      </c>
    </row>
    <row r="1070" ht="15" customHeight="1" s="12">
      <c r="A1070" s="14" t="inlineStr">
        <is>
          <t>Mirpur Khas</t>
        </is>
      </c>
      <c r="B1070" s="14" t="inlineStr">
        <is>
          <t>Sindh</t>
        </is>
      </c>
      <c r="C1070" s="14" t="n">
        <v>2016</v>
      </c>
      <c r="D1070" s="15" t="n">
        <v>172.222370791897</v>
      </c>
      <c r="E1070" s="15" t="n">
        <v>5331.46429424014</v>
      </c>
      <c r="F1070" s="15" t="n">
        <v>204.543235421181</v>
      </c>
      <c r="G1070" s="15" t="n">
        <v>133.731577575207</v>
      </c>
      <c r="H1070" s="15" t="n">
        <v>17.5527142416427</v>
      </c>
      <c r="I1070" s="16" t="n">
        <v>10.1918897997591</v>
      </c>
      <c r="J1070" s="15" t="n">
        <v>20.8362047124398</v>
      </c>
      <c r="K1070" s="15" t="n">
        <v>3470.18515153834</v>
      </c>
      <c r="L1070" s="15" t="n">
        <v>244.184620162754</v>
      </c>
      <c r="M1070" s="15" t="n">
        <v>-71.9622493708567</v>
      </c>
      <c r="N1070" s="17" t="n">
        <v>29.9875013977748</v>
      </c>
      <c r="O1070" s="18" t="n">
        <v>0.864147014878481</v>
      </c>
    </row>
    <row r="1071" ht="15" customHeight="1" s="12">
      <c r="A1071" s="14" t="inlineStr">
        <is>
          <t>Mirpur Khas</t>
        </is>
      </c>
      <c r="B1071" s="14" t="inlineStr">
        <is>
          <t>Sindh</t>
        </is>
      </c>
      <c r="C1071" s="14" t="n">
        <v>2017</v>
      </c>
      <c r="D1071" s="15" t="n">
        <v>269.569594552309</v>
      </c>
      <c r="E1071" s="15" t="n">
        <v>8345.02893880754</v>
      </c>
      <c r="F1071" s="15" t="n">
        <v>325.848850369453</v>
      </c>
      <c r="G1071" s="15" t="n">
        <v>229.159274697304</v>
      </c>
      <c r="H1071" s="15" t="n">
        <v>26.1388535176179</v>
      </c>
      <c r="I1071" s="16" t="n">
        <v>9.69651401562121</v>
      </c>
      <c r="J1071" s="15" t="n">
        <v>29.0097542437294</v>
      </c>
      <c r="K1071" s="15" t="n">
        <v>3470.18515153834</v>
      </c>
      <c r="L1071" s="15" t="n">
        <v>244.184620162754</v>
      </c>
      <c r="M1071" s="15" t="n">
        <v>25.3849743895548</v>
      </c>
      <c r="N1071" s="17" t="n">
        <v>24.4072588669296</v>
      </c>
      <c r="O1071" s="18" t="n">
        <v>0.703341689307552</v>
      </c>
    </row>
    <row r="1072" ht="15" customHeight="1" s="12">
      <c r="A1072" s="14" t="inlineStr">
        <is>
          <t>Mirpur Khas</t>
        </is>
      </c>
      <c r="B1072" s="14" t="inlineStr">
        <is>
          <t>Sindh</t>
        </is>
      </c>
      <c r="C1072" s="14" t="n">
        <v>2018</v>
      </c>
      <c r="D1072" s="15" t="n">
        <v>69.3269808805244</v>
      </c>
      <c r="E1072" s="15" t="n">
        <v>2146.14583165043</v>
      </c>
      <c r="F1072" s="15" t="n">
        <v>82.0716215334833</v>
      </c>
      <c r="G1072" s="15" t="n">
        <v>55.5483269356191</v>
      </c>
      <c r="H1072" s="15" t="n">
        <v>6.61337048031946</v>
      </c>
      <c r="I1072" s="16" t="n">
        <v>9.539389132950561</v>
      </c>
      <c r="J1072" s="15" t="n">
        <v>13.1744362807195</v>
      </c>
      <c r="K1072" s="15" t="n">
        <v>3470.18515153834</v>
      </c>
      <c r="L1072" s="15" t="n">
        <v>244.184620162754</v>
      </c>
      <c r="M1072" s="15" t="n">
        <v>-174.857639282229</v>
      </c>
      <c r="N1072" s="17" t="n">
        <v>11.3920591058079</v>
      </c>
      <c r="O1072" s="18" t="n">
        <v>0.328283898648974</v>
      </c>
    </row>
    <row r="1073" ht="15" customHeight="1" s="12">
      <c r="A1073" s="14" t="inlineStr">
        <is>
          <t>Mirpur Khas</t>
        </is>
      </c>
      <c r="B1073" s="14" t="inlineStr">
        <is>
          <t>Sindh</t>
        </is>
      </c>
      <c r="C1073" s="14" t="n">
        <v>2019</v>
      </c>
      <c r="D1073" s="15" t="n">
        <v>265.838837806461</v>
      </c>
      <c r="E1073" s="15" t="n">
        <v>8229.536414291</v>
      </c>
      <c r="F1073" s="15" t="n">
        <v>311.361614582129</v>
      </c>
      <c r="G1073" s="15" t="n">
        <v>235.140802681446</v>
      </c>
      <c r="H1073" s="15" t="n">
        <v>16.1308173418465</v>
      </c>
      <c r="I1073" s="16" t="n">
        <v>6.0678934180378</v>
      </c>
      <c r="J1073" s="15" t="n">
        <v>21.6853306308589</v>
      </c>
      <c r="K1073" s="15" t="n">
        <v>3470.18515153834</v>
      </c>
      <c r="L1073" s="15" t="n">
        <v>244.184620162754</v>
      </c>
      <c r="M1073" s="15" t="n">
        <v>21.6542176437073</v>
      </c>
      <c r="N1073" s="17" t="n">
        <v>25.9254441043004</v>
      </c>
      <c r="O1073" s="18" t="n">
        <v>0.747091090883367</v>
      </c>
    </row>
    <row r="1074" ht="15" customHeight="1" s="12">
      <c r="A1074" s="14" t="inlineStr">
        <is>
          <t>Mirpur Khas</t>
        </is>
      </c>
      <c r="B1074" s="14" t="inlineStr">
        <is>
          <t>Sindh</t>
        </is>
      </c>
      <c r="C1074" s="14" t="n">
        <v>2020</v>
      </c>
      <c r="D1074" s="15" t="n">
        <v>322.846309724616</v>
      </c>
      <c r="E1074" s="15" t="n">
        <v>9994.30889790634</v>
      </c>
      <c r="F1074" s="15" t="n">
        <v>363.150249018567</v>
      </c>
      <c r="G1074" s="15" t="n">
        <v>285.909351885072</v>
      </c>
      <c r="H1074" s="15" t="n">
        <v>19.009285091955</v>
      </c>
      <c r="I1074" s="16" t="n">
        <v>5.88802923229004</v>
      </c>
      <c r="J1074" s="15" t="n">
        <v>29.1629085381302</v>
      </c>
      <c r="K1074" s="15" t="n">
        <v>3470.18515153834</v>
      </c>
      <c r="L1074" s="15" t="n">
        <v>244.184620162754</v>
      </c>
      <c r="M1074" s="15" t="n">
        <v>78.661689561862</v>
      </c>
      <c r="N1074" s="17" t="n">
        <v>30.3927758138934</v>
      </c>
      <c r="O1074" s="18" t="n">
        <v>0.875825769712036</v>
      </c>
    </row>
    <row r="1075" ht="15" customHeight="1" s="12">
      <c r="A1075" s="14" t="inlineStr">
        <is>
          <t>Mirpur Khas</t>
        </is>
      </c>
      <c r="B1075" s="14" t="inlineStr">
        <is>
          <t>Sindh</t>
        </is>
      </c>
      <c r="C1075" s="14" t="n">
        <v>2021</v>
      </c>
      <c r="D1075" s="15" t="n">
        <v>164.507423615241</v>
      </c>
      <c r="E1075" s="15" t="n">
        <v>5092.63373340672</v>
      </c>
      <c r="F1075" s="15" t="n">
        <v>254.984347760677</v>
      </c>
      <c r="G1075" s="15" t="n">
        <v>101.655426651239</v>
      </c>
      <c r="H1075" s="15" t="n">
        <v>41.9427509804333</v>
      </c>
      <c r="I1075" s="16" t="n">
        <v>25.4959624670381</v>
      </c>
      <c r="J1075" s="15" t="n">
        <v>21.7208006080568</v>
      </c>
      <c r="K1075" s="15" t="n">
        <v>3470.18515153834</v>
      </c>
      <c r="L1075" s="15" t="n">
        <v>244.184620162754</v>
      </c>
      <c r="M1075" s="15" t="n">
        <v>-79.67719654751259</v>
      </c>
      <c r="N1075" s="17" t="n">
        <v>12.4828074150264</v>
      </c>
      <c r="O1075" s="18" t="n">
        <v>0.359715890360857</v>
      </c>
    </row>
    <row r="1076" ht="15" customHeight="1" s="12">
      <c r="A1076" s="14" t="inlineStr">
        <is>
          <t>Mirpur Khas</t>
        </is>
      </c>
      <c r="B1076" s="14" t="inlineStr">
        <is>
          <t>Sindh</t>
        </is>
      </c>
      <c r="C1076" s="14" t="n">
        <v>2022</v>
      </c>
      <c r="D1076" s="15" t="n">
        <v>452.689299710789</v>
      </c>
      <c r="E1076" s="15" t="n">
        <v>14013.8405173215</v>
      </c>
      <c r="F1076" s="15" t="n">
        <v>539.879957483609</v>
      </c>
      <c r="G1076" s="15" t="n">
        <v>368.199925294861</v>
      </c>
      <c r="H1076" s="15" t="n">
        <v>41.6660674136407</v>
      </c>
      <c r="I1076" s="16" t="n">
        <v>9.204120229981131</v>
      </c>
      <c r="J1076" s="15" t="n">
        <v>34.3877628578667</v>
      </c>
      <c r="K1076" s="15" t="n">
        <v>3470.18515153834</v>
      </c>
      <c r="L1076" s="15" t="n">
        <v>244.184620162754</v>
      </c>
      <c r="M1076" s="15" t="n">
        <v>208.504679548036</v>
      </c>
      <c r="N1076" s="17" t="n">
        <v>44.6518398557325</v>
      </c>
      <c r="O1076" s="18" t="n">
        <v>1.28672788067052</v>
      </c>
    </row>
    <row r="1077" ht="15" customHeight="1" s="12">
      <c r="A1077" s="14" t="inlineStr">
        <is>
          <t>Mirpur Khas</t>
        </is>
      </c>
      <c r="B1077" s="14" t="inlineStr">
        <is>
          <t>Sindh</t>
        </is>
      </c>
      <c r="C1077" s="14" t="n">
        <v>2023</v>
      </c>
      <c r="D1077" s="15" t="n">
        <v>224.734269841815</v>
      </c>
      <c r="E1077" s="15" t="n">
        <v>6957.06794561289</v>
      </c>
      <c r="F1077" s="15" t="n">
        <v>250.178009539843</v>
      </c>
      <c r="G1077" s="15" t="n">
        <v>177.200855731964</v>
      </c>
      <c r="H1077" s="15" t="n">
        <v>19.9979891562269</v>
      </c>
      <c r="I1077" s="16" t="n">
        <v>8.898504518382101</v>
      </c>
      <c r="J1077" s="15" t="n">
        <v>19.3577400557385</v>
      </c>
      <c r="K1077" s="15" t="n">
        <v>3470.18515153834</v>
      </c>
      <c r="L1077" s="15" t="n">
        <v>244.184620162754</v>
      </c>
      <c r="M1077" s="15" t="n">
        <v>-19.4503503209389</v>
      </c>
      <c r="N1077" s="17" t="n">
        <v>17.5372202512856</v>
      </c>
      <c r="O1077" s="18" t="n">
        <v>0.505368430947016</v>
      </c>
    </row>
    <row r="1078" ht="15" customHeight="1" s="12">
      <c r="A1078" s="14" t="inlineStr">
        <is>
          <t>Mirpur Khas</t>
        </is>
      </c>
      <c r="B1078" s="14" t="inlineStr">
        <is>
          <t>Sindh</t>
        </is>
      </c>
      <c r="C1078" s="14" t="n">
        <v>2024</v>
      </c>
      <c r="D1078" s="15" t="n">
        <v>306.93268147444</v>
      </c>
      <c r="E1078" s="15" t="n">
        <v>9501.672892389121</v>
      </c>
      <c r="F1078" s="15" t="n">
        <v>354.941801773056</v>
      </c>
      <c r="G1078" s="15" t="n">
        <v>271.529969751084</v>
      </c>
      <c r="H1078" s="15" t="n">
        <v>23.9345483053945</v>
      </c>
      <c r="I1078" s="16" t="n">
        <v>7.79797973627898</v>
      </c>
      <c r="J1078" s="15" t="n">
        <v>30.6681023562199</v>
      </c>
      <c r="K1078" s="15" t="n">
        <v>3470.18515153834</v>
      </c>
      <c r="L1078" s="15" t="n">
        <v>244.184620162754</v>
      </c>
      <c r="M1078" s="15" t="n">
        <v>62.7480613116859</v>
      </c>
      <c r="N1078" s="17" t="n">
        <v>31.3743225707724</v>
      </c>
      <c r="O1078" s="18" t="n">
        <v>0.904110910533523</v>
      </c>
    </row>
    <row r="1079" ht="15" customHeight="1" s="12">
      <c r="A1079" s="14" t="inlineStr">
        <is>
          <t>Mirpur Khas</t>
        </is>
      </c>
      <c r="B1079" s="14" t="inlineStr">
        <is>
          <t>Sindh</t>
        </is>
      </c>
      <c r="C1079" s="14" t="n">
        <v>2025</v>
      </c>
      <c r="D1079" s="15" t="n">
        <v>242.333099888534</v>
      </c>
      <c r="E1079" s="15" t="n">
        <v>7501.87251184349</v>
      </c>
      <c r="F1079" s="15" t="n">
        <v>298.953257695337</v>
      </c>
      <c r="G1079" s="15" t="n">
        <v>203.719470521157</v>
      </c>
      <c r="H1079" s="15" t="n">
        <v>23.5170285925382</v>
      </c>
      <c r="I1079" s="16" t="n">
        <v>9.70442279794025</v>
      </c>
      <c r="J1079" s="15" t="n">
        <v>20.6031162908538</v>
      </c>
      <c r="K1079" s="15" t="n">
        <v>3470.18515153834</v>
      </c>
      <c r="L1079" s="15" t="n">
        <v>244.184620162754</v>
      </c>
      <c r="M1079" s="15" t="n">
        <v>-1.85152027421967</v>
      </c>
      <c r="N1079" s="17" t="n">
        <v>23.7571967024399</v>
      </c>
      <c r="O1079" s="18" t="n">
        <v>0.68460890889088</v>
      </c>
    </row>
    <row r="1080" ht="15" customHeight="1" s="12">
      <c r="A1080" s="14" t="inlineStr">
        <is>
          <t>Mohmand</t>
        </is>
      </c>
      <c r="B1080" s="14" t="inlineStr">
        <is>
          <t>Khyber Pakhtunkhwa</t>
        </is>
      </c>
      <c r="C1080" s="14" t="n">
        <v>2015</v>
      </c>
      <c r="D1080" s="15" t="n">
        <v>165.441526742949</v>
      </c>
      <c r="E1080" s="15" t="n">
        <v>3671.50431309155</v>
      </c>
      <c r="F1080" s="15" t="n">
        <v>391.524851202965</v>
      </c>
      <c r="G1080" s="15" t="n">
        <v>66.9863069057465</v>
      </c>
      <c r="H1080" s="15" t="n">
        <v>80.8457479047414</v>
      </c>
      <c r="I1080" s="16" t="n">
        <v>48.866659717396</v>
      </c>
      <c r="J1080" s="15" t="n">
        <v>18.9475172291924</v>
      </c>
      <c r="K1080" s="15" t="n">
        <v>2262.37928631009</v>
      </c>
      <c r="L1080" s="15" t="n">
        <v>129.421619651145</v>
      </c>
      <c r="M1080" s="15" t="n">
        <v>36.0199070918035</v>
      </c>
      <c r="N1080" s="17" t="n">
        <v>0.337443344469257</v>
      </c>
      <c r="O1080" s="18" t="n">
        <v>0.0149154187589661</v>
      </c>
    </row>
    <row r="1081" ht="15" customHeight="1" s="12">
      <c r="A1081" s="14" t="inlineStr">
        <is>
          <t>Mohmand</t>
        </is>
      </c>
      <c r="B1081" s="14" t="inlineStr">
        <is>
          <t>Khyber Pakhtunkhwa</t>
        </is>
      </c>
      <c r="C1081" s="14" t="n">
        <v>2016</v>
      </c>
      <c r="D1081" s="15" t="n">
        <v>165.5680021543</v>
      </c>
      <c r="E1081" s="15" t="n">
        <v>3674.31107525954</v>
      </c>
      <c r="F1081" s="15" t="n">
        <v>318.411710739136</v>
      </c>
      <c r="G1081" s="15" t="n">
        <v>82.6551645994186</v>
      </c>
      <c r="H1081" s="15" t="n">
        <v>65.72032172258071</v>
      </c>
      <c r="I1081" s="16" t="n">
        <v>39.693854408736</v>
      </c>
      <c r="J1081" s="15" t="n">
        <v>11.35819049302</v>
      </c>
      <c r="K1081" s="15" t="n">
        <v>2262.37928631009</v>
      </c>
      <c r="L1081" s="15" t="n">
        <v>129.421619651145</v>
      </c>
      <c r="M1081" s="15" t="n">
        <v>36.1463825031547</v>
      </c>
      <c r="N1081" s="17" t="n">
        <v>0.143703062563907</v>
      </c>
      <c r="O1081" s="18" t="n">
        <v>0.00635185547505102</v>
      </c>
    </row>
    <row r="1082" ht="15" customHeight="1" s="12">
      <c r="A1082" s="14" t="inlineStr">
        <is>
          <t>Mohmand</t>
        </is>
      </c>
      <c r="B1082" s="14" t="inlineStr">
        <is>
          <t>Khyber Pakhtunkhwa</t>
        </is>
      </c>
      <c r="C1082" s="14" t="n">
        <v>2017</v>
      </c>
      <c r="D1082" s="15" t="n">
        <v>177.39742414811</v>
      </c>
      <c r="E1082" s="15" t="n">
        <v>3936.83146374179</v>
      </c>
      <c r="F1082" s="15" t="n">
        <v>470.66467666626</v>
      </c>
      <c r="G1082" s="15" t="n">
        <v>66.8860827684403</v>
      </c>
      <c r="H1082" s="15" t="n">
        <v>94.69859409681681</v>
      </c>
      <c r="I1082" s="16" t="n">
        <v>53.3821697533513</v>
      </c>
      <c r="J1082" s="15" t="n">
        <v>15.7681569181834</v>
      </c>
      <c r="K1082" s="15" t="n">
        <v>2262.37928631009</v>
      </c>
      <c r="L1082" s="15" t="n">
        <v>129.421619651145</v>
      </c>
      <c r="M1082" s="15" t="n">
        <v>47.9758044969652</v>
      </c>
      <c r="N1082" s="17" t="n">
        <v>0.268313347057627</v>
      </c>
      <c r="O1082" s="18" t="n">
        <v>0.0118597862295337</v>
      </c>
    </row>
    <row r="1083" ht="15" customHeight="1" s="12">
      <c r="A1083" s="14" t="inlineStr">
        <is>
          <t>Mohmand</t>
        </is>
      </c>
      <c r="B1083" s="14" t="inlineStr">
        <is>
          <t>Khyber Pakhtunkhwa</t>
        </is>
      </c>
      <c r="C1083" s="14" t="n">
        <v>2018</v>
      </c>
      <c r="D1083" s="15" t="n">
        <v>140.487814835786</v>
      </c>
      <c r="E1083" s="15" t="n">
        <v>3117.72762414006</v>
      </c>
      <c r="F1083" s="15" t="n">
        <v>329.298535108566</v>
      </c>
      <c r="G1083" s="15" t="n">
        <v>70.8180831223726</v>
      </c>
      <c r="H1083" s="15" t="n">
        <v>61.2584326000733</v>
      </c>
      <c r="I1083" s="16" t="n">
        <v>43.6040895587117</v>
      </c>
      <c r="J1083" s="15" t="n">
        <v>15.7750485951582</v>
      </c>
      <c r="K1083" s="15" t="n">
        <v>2262.37928631009</v>
      </c>
      <c r="L1083" s="15" t="n">
        <v>129.421619651145</v>
      </c>
      <c r="M1083" s="15" t="n">
        <v>11.0661951846411</v>
      </c>
      <c r="N1083" s="17" t="n">
        <v>0.312645656965906</v>
      </c>
      <c r="O1083" s="18" t="n">
        <v>0.0138193298912239</v>
      </c>
    </row>
    <row r="1084" ht="15" customHeight="1" s="12">
      <c r="A1084" s="14" t="inlineStr">
        <is>
          <t>Mohmand</t>
        </is>
      </c>
      <c r="B1084" s="14" t="inlineStr">
        <is>
          <t>Khyber Pakhtunkhwa</t>
        </is>
      </c>
      <c r="C1084" s="14" t="n">
        <v>2019</v>
      </c>
      <c r="D1084" s="15" t="n">
        <v>98.1793800130624</v>
      </c>
      <c r="E1084" s="15" t="n">
        <v>2178.81220193694</v>
      </c>
      <c r="F1084" s="15" t="n">
        <v>212.079644702375</v>
      </c>
      <c r="G1084" s="15" t="n">
        <v>43.9011782407761</v>
      </c>
      <c r="H1084" s="15" t="n">
        <v>43.9414385003613</v>
      </c>
      <c r="I1084" s="16" t="n">
        <v>44.7562802846331</v>
      </c>
      <c r="J1084" s="15" t="n">
        <v>12.6306767980209</v>
      </c>
      <c r="K1084" s="15" t="n">
        <v>2262.37928631009</v>
      </c>
      <c r="L1084" s="15" t="n">
        <v>129.421619651145</v>
      </c>
      <c r="M1084" s="15" t="n">
        <v>-31.2422396380827</v>
      </c>
      <c r="N1084" s="17" t="n">
        <v>0.116330449294864</v>
      </c>
      <c r="O1084" s="18" t="n">
        <v>0.00514195166119108</v>
      </c>
    </row>
    <row r="1085" ht="15" customHeight="1" s="12">
      <c r="A1085" s="14" t="inlineStr">
        <is>
          <t>Mohmand</t>
        </is>
      </c>
      <c r="B1085" s="14" t="inlineStr">
        <is>
          <t>Khyber Pakhtunkhwa</t>
        </is>
      </c>
      <c r="C1085" s="14" t="n">
        <v>2020</v>
      </c>
      <c r="D1085" s="15" t="n">
        <v>87.4754627492038</v>
      </c>
      <c r="E1085" s="15" t="n">
        <v>1941.26919097155</v>
      </c>
      <c r="F1085" s="15" t="n">
        <v>200.942158281803</v>
      </c>
      <c r="G1085" s="15" t="n">
        <v>40.0458423588425</v>
      </c>
      <c r="H1085" s="15" t="n">
        <v>44.382795450423</v>
      </c>
      <c r="I1085" s="16" t="n">
        <v>50.7374228789969</v>
      </c>
      <c r="J1085" s="15" t="n">
        <v>15.943452906874</v>
      </c>
      <c r="K1085" s="15" t="n">
        <v>2262.37928631009</v>
      </c>
      <c r="L1085" s="15" t="n">
        <v>129.421619651145</v>
      </c>
      <c r="M1085" s="15" t="n">
        <v>-41.9461569019413</v>
      </c>
      <c r="N1085" s="17" t="n">
        <v>0.164577043420889</v>
      </c>
      <c r="O1085" s="18" t="n">
        <v>0.00727451159125984</v>
      </c>
    </row>
    <row r="1086" ht="15" customHeight="1" s="12">
      <c r="A1086" s="14" t="inlineStr">
        <is>
          <t>Mohmand</t>
        </is>
      </c>
      <c r="B1086" s="14" t="inlineStr">
        <is>
          <t>Khyber Pakhtunkhwa</t>
        </is>
      </c>
      <c r="C1086" s="14" t="n">
        <v>2021</v>
      </c>
      <c r="D1086" s="15" t="n">
        <v>105.990539738348</v>
      </c>
      <c r="E1086" s="15" t="n">
        <v>2352.15868384043</v>
      </c>
      <c r="F1086" s="15" t="n">
        <v>209.081804513931</v>
      </c>
      <c r="G1086" s="15" t="n">
        <v>54.5013327598572</v>
      </c>
      <c r="H1086" s="15" t="n">
        <v>46.2748418311839</v>
      </c>
      <c r="I1086" s="16" t="n">
        <v>43.6594076654574</v>
      </c>
      <c r="J1086" s="15" t="n">
        <v>16.2240678565118</v>
      </c>
      <c r="K1086" s="15" t="n">
        <v>2262.37928631009</v>
      </c>
      <c r="L1086" s="15" t="n">
        <v>129.421619651145</v>
      </c>
      <c r="M1086" s="15" t="n">
        <v>-23.4310799127972</v>
      </c>
      <c r="N1086" s="17" t="n">
        <v>0.15181920482441</v>
      </c>
      <c r="O1086" s="18" t="n">
        <v>0.00671059913530351</v>
      </c>
    </row>
    <row r="1087" ht="15" customHeight="1" s="12">
      <c r="A1087" s="14" t="inlineStr">
        <is>
          <t>Mohmand</t>
        </is>
      </c>
      <c r="B1087" s="14" t="inlineStr">
        <is>
          <t>Khyber Pakhtunkhwa</t>
        </is>
      </c>
      <c r="C1087" s="14" t="n">
        <v>2022</v>
      </c>
      <c r="D1087" s="15" t="n">
        <v>170.294156274498</v>
      </c>
      <c r="E1087" s="15" t="n">
        <v>3779.19462885248</v>
      </c>
      <c r="F1087" s="15" t="n">
        <v>335.768366158009</v>
      </c>
      <c r="G1087" s="15" t="n">
        <v>79.5384644269943</v>
      </c>
      <c r="H1087" s="15" t="n">
        <v>79.34852700068269</v>
      </c>
      <c r="I1087" s="16" t="n">
        <v>46.5949793795511</v>
      </c>
      <c r="J1087" s="15" t="n">
        <v>14.9305531012546</v>
      </c>
      <c r="K1087" s="15" t="n">
        <v>2262.37928631009</v>
      </c>
      <c r="L1087" s="15" t="n">
        <v>129.421619651145</v>
      </c>
      <c r="M1087" s="15" t="n">
        <v>40.8725366233526</v>
      </c>
      <c r="N1087" s="17" t="n">
        <v>0.585733287443752</v>
      </c>
      <c r="O1087" s="18" t="n">
        <v>0.0258901454317625</v>
      </c>
    </row>
    <row r="1088" ht="15" customHeight="1" s="12">
      <c r="A1088" s="14" t="inlineStr">
        <is>
          <t>Mohmand</t>
        </is>
      </c>
      <c r="B1088" s="14" t="inlineStr">
        <is>
          <t>Khyber Pakhtunkhwa</t>
        </is>
      </c>
      <c r="C1088" s="14" t="n">
        <v>2023</v>
      </c>
      <c r="D1088" s="15" t="n">
        <v>99.02023248193041</v>
      </c>
      <c r="E1088" s="15" t="n">
        <v>2197.47253182449</v>
      </c>
      <c r="F1088" s="15" t="n">
        <v>223.132699668407</v>
      </c>
      <c r="G1088" s="15" t="n">
        <v>45.467975974083</v>
      </c>
      <c r="H1088" s="15" t="n">
        <v>41.3501741660441</v>
      </c>
      <c r="I1088" s="16" t="n">
        <v>41.7593184035292</v>
      </c>
      <c r="J1088" s="15" t="n">
        <v>11.6101784767627</v>
      </c>
      <c r="K1088" s="15" t="n">
        <v>2262.37928631009</v>
      </c>
      <c r="L1088" s="15" t="n">
        <v>129.421619651145</v>
      </c>
      <c r="M1088" s="15" t="n">
        <v>-30.4013871692147</v>
      </c>
      <c r="N1088" s="17" t="n">
        <v>0.13371880825698</v>
      </c>
      <c r="O1088" s="18" t="n">
        <v>0.00591053892095491</v>
      </c>
    </row>
    <row r="1089" ht="15" customHeight="1" s="12">
      <c r="A1089" s="14" t="inlineStr">
        <is>
          <t>Mohmand</t>
        </is>
      </c>
      <c r="B1089" s="14" t="inlineStr">
        <is>
          <t>Khyber Pakhtunkhwa</t>
        </is>
      </c>
      <c r="C1089" s="14" t="n">
        <v>2024</v>
      </c>
      <c r="D1089" s="15" t="n">
        <v>104.151545202138</v>
      </c>
      <c r="E1089" s="15" t="n">
        <v>2311.34742862314</v>
      </c>
      <c r="F1089" s="15" t="n">
        <v>230.526034301147</v>
      </c>
      <c r="G1089" s="15" t="n">
        <v>51.1325882710517</v>
      </c>
      <c r="H1089" s="15" t="n">
        <v>46.3718664806847</v>
      </c>
      <c r="I1089" s="16" t="n">
        <v>44.5234551159907</v>
      </c>
      <c r="J1089" s="15" t="n">
        <v>17.028273546563</v>
      </c>
      <c r="K1089" s="15" t="n">
        <v>2262.37928631009</v>
      </c>
      <c r="L1089" s="15" t="n">
        <v>129.421619651145</v>
      </c>
      <c r="M1089" s="15" t="n">
        <v>-25.2700744490069</v>
      </c>
      <c r="N1089" s="17" t="n">
        <v>0.159002280319633</v>
      </c>
      <c r="O1089" s="18" t="n">
        <v>0.00702810007507467</v>
      </c>
    </row>
    <row r="1090" ht="15" customHeight="1" s="12">
      <c r="A1090" s="14" t="inlineStr">
        <is>
          <t>Mohmand</t>
        </is>
      </c>
      <c r="B1090" s="14" t="inlineStr">
        <is>
          <t>Khyber Pakhtunkhwa</t>
        </is>
      </c>
      <c r="C1090" s="14" t="n">
        <v>2025</v>
      </c>
      <c r="D1090" s="15" t="n">
        <v>109.631731822271</v>
      </c>
      <c r="E1090" s="15" t="n">
        <v>2432.96458973424</v>
      </c>
      <c r="F1090" s="15" t="n">
        <v>265.213971853256</v>
      </c>
      <c r="G1090" s="15" t="n">
        <v>50.6375006735325</v>
      </c>
      <c r="H1090" s="15" t="n">
        <v>55.049090316829</v>
      </c>
      <c r="I1090" s="16" t="n">
        <v>50.212734398898</v>
      </c>
      <c r="J1090" s="15" t="n">
        <v>19.0802261883725</v>
      </c>
      <c r="K1090" s="15" t="n">
        <v>2262.37928631009</v>
      </c>
      <c r="L1090" s="15" t="n">
        <v>129.421619651145</v>
      </c>
      <c r="M1090" s="15" t="n">
        <v>-19.7898878288742</v>
      </c>
      <c r="N1090" s="17" t="n">
        <v>0.181783972964537</v>
      </c>
      <c r="O1090" s="18" t="n">
        <v>0.00803507944333352</v>
      </c>
    </row>
    <row r="1091" ht="15" customHeight="1" s="12">
      <c r="A1091" s="14" t="inlineStr">
        <is>
          <t>Multan</t>
        </is>
      </c>
      <c r="B1091" s="14" t="inlineStr">
        <is>
          <t>Punjab</t>
        </is>
      </c>
      <c r="C1091" s="14" t="n">
        <v>2015</v>
      </c>
      <c r="D1091" s="15" t="n">
        <v>149.745106636063</v>
      </c>
      <c r="E1091" s="15" t="n">
        <v>5101.3166327352</v>
      </c>
      <c r="F1091" s="15" t="n">
        <v>192.842675209045</v>
      </c>
      <c r="G1091" s="15" t="n">
        <v>113.89876806736</v>
      </c>
      <c r="H1091" s="15" t="n">
        <v>23.590910456132</v>
      </c>
      <c r="I1091" s="16" t="n">
        <v>15.7540443130919</v>
      </c>
      <c r="J1091" s="15" t="n">
        <v>19.809024979855</v>
      </c>
      <c r="K1091" s="15" t="n">
        <v>3652.41404988711</v>
      </c>
      <c r="L1091" s="15" t="n">
        <v>125.687757667462</v>
      </c>
      <c r="M1091" s="15" t="n">
        <v>24.057348968601</v>
      </c>
      <c r="N1091" s="17" t="n">
        <v>22.8886004383187</v>
      </c>
      <c r="O1091" s="18" t="n">
        <v>0.6266704739849021</v>
      </c>
    </row>
    <row r="1092" ht="15" customHeight="1" s="12">
      <c r="A1092" s="14" t="inlineStr">
        <is>
          <t>Multan</t>
        </is>
      </c>
      <c r="B1092" s="14" t="inlineStr">
        <is>
          <t>Punjab</t>
        </is>
      </c>
      <c r="C1092" s="14" t="n">
        <v>2016</v>
      </c>
      <c r="D1092" s="15" t="n">
        <v>105.531860770279</v>
      </c>
      <c r="E1092" s="15" t="n">
        <v>3595.11872357416</v>
      </c>
      <c r="F1092" s="15" t="n">
        <v>134.0075481534</v>
      </c>
      <c r="G1092" s="15" t="n">
        <v>86.71897765994071</v>
      </c>
      <c r="H1092" s="15" t="n">
        <v>10.5982734342472</v>
      </c>
      <c r="I1092" s="16" t="n">
        <v>10.042723928954</v>
      </c>
      <c r="J1092" s="15" t="n">
        <v>17.1845286059629</v>
      </c>
      <c r="K1092" s="15" t="n">
        <v>3652.41404988711</v>
      </c>
      <c r="L1092" s="15" t="n">
        <v>125.687757667462</v>
      </c>
      <c r="M1092" s="15" t="n">
        <v>-20.155896897183</v>
      </c>
      <c r="N1092" s="17" t="n">
        <v>25.847724441572</v>
      </c>
      <c r="O1092" s="18" t="n">
        <v>0.707688780311501</v>
      </c>
    </row>
    <row r="1093" ht="15" customHeight="1" s="12">
      <c r="A1093" s="14" t="inlineStr">
        <is>
          <t>Multan</t>
        </is>
      </c>
      <c r="B1093" s="14" t="inlineStr">
        <is>
          <t>Punjab</t>
        </is>
      </c>
      <c r="C1093" s="14" t="n">
        <v>2017</v>
      </c>
      <c r="D1093" s="15" t="n">
        <v>121.935185916587</v>
      </c>
      <c r="E1093" s="15" t="n">
        <v>4153.9253335584</v>
      </c>
      <c r="F1093" s="15" t="n">
        <v>143.287620186806</v>
      </c>
      <c r="G1093" s="15" t="n">
        <v>109.46596634388</v>
      </c>
      <c r="H1093" s="15" t="n">
        <v>7.89819521557753</v>
      </c>
      <c r="I1093" s="16" t="n">
        <v>6.47737169235178</v>
      </c>
      <c r="J1093" s="15" t="n">
        <v>18.7696558075285</v>
      </c>
      <c r="K1093" s="15" t="n">
        <v>3652.41404988711</v>
      </c>
      <c r="L1093" s="15" t="n">
        <v>125.687757667462</v>
      </c>
      <c r="M1093" s="15" t="n">
        <v>-3.75257175087457</v>
      </c>
      <c r="N1093" s="17" t="n">
        <v>13.2204756829985</v>
      </c>
      <c r="O1093" s="18" t="n">
        <v>0.361965415268487</v>
      </c>
    </row>
    <row r="1094" ht="15" customHeight="1" s="12">
      <c r="A1094" s="14" t="inlineStr">
        <is>
          <t>Multan</t>
        </is>
      </c>
      <c r="B1094" s="14" t="inlineStr">
        <is>
          <t>Punjab</t>
        </is>
      </c>
      <c r="C1094" s="14" t="n">
        <v>2018</v>
      </c>
      <c r="D1094" s="15" t="n">
        <v>68.4691235668639</v>
      </c>
      <c r="E1094" s="15" t="n">
        <v>2332.51480951116</v>
      </c>
      <c r="F1094" s="15" t="n">
        <v>97.66509242355821</v>
      </c>
      <c r="G1094" s="15" t="n">
        <v>57.4767497181892</v>
      </c>
      <c r="H1094" s="15" t="n">
        <v>9.67384859304191</v>
      </c>
      <c r="I1094" s="16" t="n">
        <v>14.1287752626114</v>
      </c>
      <c r="J1094" s="15" t="n">
        <v>11.1481524116496</v>
      </c>
      <c r="K1094" s="15" t="n">
        <v>3652.41404988711</v>
      </c>
      <c r="L1094" s="15" t="n">
        <v>125.687757667462</v>
      </c>
      <c r="M1094" s="15" t="n">
        <v>-57.2186341005979</v>
      </c>
      <c r="N1094" s="17" t="n">
        <v>10.5417150952043</v>
      </c>
      <c r="O1094" s="18" t="n">
        <v>0.288623221552061</v>
      </c>
    </row>
    <row r="1095" ht="15" customHeight="1" s="12">
      <c r="A1095" s="14" t="inlineStr">
        <is>
          <t>Multan</t>
        </is>
      </c>
      <c r="B1095" s="14" t="inlineStr">
        <is>
          <t>Punjab</t>
        </is>
      </c>
      <c r="C1095" s="14" t="n">
        <v>2019</v>
      </c>
      <c r="D1095" s="15" t="n">
        <v>99.608105679822</v>
      </c>
      <c r="E1095" s="15" t="n">
        <v>3393.3161334926</v>
      </c>
      <c r="F1095" s="15" t="n">
        <v>127.145263776183</v>
      </c>
      <c r="G1095" s="15" t="n">
        <v>85.5694156140089</v>
      </c>
      <c r="H1095" s="15" t="n">
        <v>11.7574784993644</v>
      </c>
      <c r="I1095" s="16" t="n">
        <v>11.8037366729544</v>
      </c>
      <c r="J1095" s="15" t="n">
        <v>16.6194313341775</v>
      </c>
      <c r="K1095" s="15" t="n">
        <v>3652.41404988711</v>
      </c>
      <c r="L1095" s="15" t="n">
        <v>125.687757667462</v>
      </c>
      <c r="M1095" s="15" t="n">
        <v>-26.0796519876398</v>
      </c>
      <c r="N1095" s="17" t="n">
        <v>16.4361035424517</v>
      </c>
      <c r="O1095" s="18" t="n">
        <v>0.450006579701984</v>
      </c>
    </row>
    <row r="1096" ht="15" customHeight="1" s="12">
      <c r="A1096" s="14" t="inlineStr">
        <is>
          <t>Multan</t>
        </is>
      </c>
      <c r="B1096" s="14" t="inlineStr">
        <is>
          <t>Punjab</t>
        </is>
      </c>
      <c r="C1096" s="14" t="n">
        <v>2020</v>
      </c>
      <c r="D1096" s="15" t="n">
        <v>96.6382252390876</v>
      </c>
      <c r="E1096" s="15" t="n">
        <v>3292.14220647825</v>
      </c>
      <c r="F1096" s="15" t="n">
        <v>134.928431423236</v>
      </c>
      <c r="G1096" s="15" t="n">
        <v>81.7583486610081</v>
      </c>
      <c r="H1096" s="15" t="n">
        <v>14.625176212072</v>
      </c>
      <c r="I1096" s="16" t="n">
        <v>15.1339453677761</v>
      </c>
      <c r="J1096" s="15" t="n">
        <v>18.4091170714861</v>
      </c>
      <c r="K1096" s="15" t="n">
        <v>3652.41404988711</v>
      </c>
      <c r="L1096" s="15" t="n">
        <v>125.687757667462</v>
      </c>
      <c r="M1096" s="15" t="n">
        <v>-29.0495324283742</v>
      </c>
      <c r="N1096" s="17" t="n">
        <v>21.3598057815209</v>
      </c>
      <c r="O1096" s="18" t="n">
        <v>0.584813372464741</v>
      </c>
    </row>
    <row r="1097" ht="15" customHeight="1" s="12">
      <c r="A1097" s="14" t="inlineStr">
        <is>
          <t>Multan</t>
        </is>
      </c>
      <c r="B1097" s="14" t="inlineStr">
        <is>
          <t>Punjab</t>
        </is>
      </c>
      <c r="C1097" s="14" t="n">
        <v>2021</v>
      </c>
      <c r="D1097" s="15" t="n">
        <v>69.82270821354849</v>
      </c>
      <c r="E1097" s="15" t="n">
        <v>2378.62692647489</v>
      </c>
      <c r="F1097" s="15" t="n">
        <v>109.74367493391</v>
      </c>
      <c r="G1097" s="15" t="n">
        <v>49.1178252696991</v>
      </c>
      <c r="H1097" s="15" t="n">
        <v>16.979751704805</v>
      </c>
      <c r="I1097" s="16" t="n">
        <v>24.3183802794836</v>
      </c>
      <c r="J1097" s="15" t="n">
        <v>11.1557499712214</v>
      </c>
      <c r="K1097" s="15" t="n">
        <v>3652.41404988711</v>
      </c>
      <c r="L1097" s="15" t="n">
        <v>125.687757667462</v>
      </c>
      <c r="M1097" s="15" t="n">
        <v>-55.8650494539133</v>
      </c>
      <c r="N1097" s="17" t="n">
        <v>9.406889838455969</v>
      </c>
      <c r="O1097" s="18" t="n">
        <v>0.25755266817974</v>
      </c>
    </row>
    <row r="1098" ht="15" customHeight="1" s="12">
      <c r="A1098" s="14" t="inlineStr">
        <is>
          <t>Multan</t>
        </is>
      </c>
      <c r="B1098" s="14" t="inlineStr">
        <is>
          <t>Punjab</t>
        </is>
      </c>
      <c r="C1098" s="14" t="n">
        <v>2022</v>
      </c>
      <c r="D1098" s="15" t="n">
        <v>228.510642861282</v>
      </c>
      <c r="E1098" s="15" t="n">
        <v>7784.59590014101</v>
      </c>
      <c r="F1098" s="15" t="n">
        <v>291.242016912442</v>
      </c>
      <c r="G1098" s="15" t="n">
        <v>189.322590181158</v>
      </c>
      <c r="H1098" s="15" t="n">
        <v>21.6481479994905</v>
      </c>
      <c r="I1098" s="16" t="n">
        <v>9.473584130885341</v>
      </c>
      <c r="J1098" s="15" t="n">
        <v>28.9745596868885</v>
      </c>
      <c r="K1098" s="15" t="n">
        <v>3652.41404988711</v>
      </c>
      <c r="L1098" s="15" t="n">
        <v>125.687757667462</v>
      </c>
      <c r="M1098" s="15" t="n">
        <v>102.82288519382</v>
      </c>
      <c r="N1098" s="17" t="n">
        <v>26.6024768150542</v>
      </c>
      <c r="O1098" s="18" t="n">
        <v>0.728353260383401</v>
      </c>
    </row>
    <row r="1099" ht="15" customHeight="1" s="12">
      <c r="A1099" s="14" t="inlineStr">
        <is>
          <t>Multan</t>
        </is>
      </c>
      <c r="B1099" s="14" t="inlineStr">
        <is>
          <t>Punjab</t>
        </is>
      </c>
      <c r="C1099" s="14" t="n">
        <v>2023</v>
      </c>
      <c r="D1099" s="15" t="n">
        <v>120.026755923863</v>
      </c>
      <c r="E1099" s="15" t="n">
        <v>4088.91148513959</v>
      </c>
      <c r="F1099" s="15" t="n">
        <v>138.266114473343</v>
      </c>
      <c r="G1099" s="15" t="n">
        <v>108.59379607439</v>
      </c>
      <c r="H1099" s="15" t="n">
        <v>8.49799019574098</v>
      </c>
      <c r="I1099" s="16" t="n">
        <v>7.08007987913259</v>
      </c>
      <c r="J1099" s="15" t="n">
        <v>15.8825831702544</v>
      </c>
      <c r="K1099" s="15" t="n">
        <v>3652.41404988711</v>
      </c>
      <c r="L1099" s="15" t="n">
        <v>125.687757667462</v>
      </c>
      <c r="M1099" s="15" t="n">
        <v>-5.66100174359914</v>
      </c>
      <c r="N1099" s="17" t="n">
        <v>18.9359308875572</v>
      </c>
      <c r="O1099" s="18" t="n">
        <v>0.51844973294149</v>
      </c>
    </row>
    <row r="1100" ht="15" customHeight="1" s="12">
      <c r="A1100" s="14" t="inlineStr">
        <is>
          <t>Multan</t>
        </is>
      </c>
      <c r="B1100" s="14" t="inlineStr">
        <is>
          <t>Punjab</t>
        </is>
      </c>
      <c r="C1100" s="14" t="n">
        <v>2024</v>
      </c>
      <c r="D1100" s="15" t="n">
        <v>188.925874485315</v>
      </c>
      <c r="E1100" s="15" t="n">
        <v>6436.07479079974</v>
      </c>
      <c r="F1100" s="15" t="n">
        <v>254.024768238443</v>
      </c>
      <c r="G1100" s="15" t="n">
        <v>151.537963183631</v>
      </c>
      <c r="H1100" s="15" t="n">
        <v>23.7030997824986</v>
      </c>
      <c r="I1100" s="16" t="n">
        <v>12.546243253907</v>
      </c>
      <c r="J1100" s="15" t="n">
        <v>26.1606998963969</v>
      </c>
      <c r="K1100" s="15" t="n">
        <v>3652.41404988711</v>
      </c>
      <c r="L1100" s="15" t="n">
        <v>125.687757667462</v>
      </c>
      <c r="M1100" s="15" t="n">
        <v>63.2381168178533</v>
      </c>
      <c r="N1100" s="17" t="n">
        <v>24.2138778869315</v>
      </c>
      <c r="O1100" s="18" t="n">
        <v>0.6629554468962749</v>
      </c>
    </row>
    <row r="1101" ht="15" customHeight="1" s="12">
      <c r="A1101" s="14" t="inlineStr">
        <is>
          <t>Multan</t>
        </is>
      </c>
      <c r="B1101" s="14" t="inlineStr">
        <is>
          <t>Punjab</t>
        </is>
      </c>
      <c r="C1101" s="14" t="n">
        <v>2025</v>
      </c>
      <c r="D1101" s="15" t="n">
        <v>133.351745049369</v>
      </c>
      <c r="E1101" s="15" t="n">
        <v>4542.84944801517</v>
      </c>
      <c r="F1101" s="15" t="n">
        <v>181.326487962749</v>
      </c>
      <c r="G1101" s="15" t="n">
        <v>99.9124425088558</v>
      </c>
      <c r="H1101" s="15" t="n">
        <v>20.0597805333695</v>
      </c>
      <c r="I1101" s="16" t="n">
        <v>15.0427581775874</v>
      </c>
      <c r="J1101" s="15" t="n">
        <v>18.6830896742259</v>
      </c>
      <c r="K1101" s="15" t="n">
        <v>3652.41404988711</v>
      </c>
      <c r="L1101" s="15" t="n">
        <v>125.687757667462</v>
      </c>
      <c r="M1101" s="15" t="n">
        <v>7.6639873819073</v>
      </c>
      <c r="N1101" s="17" t="n">
        <v>22.5575969258033</v>
      </c>
      <c r="O1101" s="18" t="n">
        <v>0.617607878452348</v>
      </c>
    </row>
    <row r="1102" ht="15" customHeight="1" s="12">
      <c r="A1102" s="14" t="inlineStr">
        <is>
          <t>Musakhel</t>
        </is>
      </c>
      <c r="B1102" s="14" t="inlineStr">
        <is>
          <t>Balochistan</t>
        </is>
      </c>
      <c r="C1102" s="14" t="n">
        <v>2015</v>
      </c>
      <c r="D1102" s="15" t="n">
        <v>236.920915660967</v>
      </c>
      <c r="E1102" s="15" t="n">
        <v>13180.2357237901</v>
      </c>
      <c r="F1102" s="15" t="n">
        <v>301.134699940682</v>
      </c>
      <c r="G1102" s="15" t="n">
        <v>172.864825725555</v>
      </c>
      <c r="H1102" s="15" t="n">
        <v>31.7074888457005</v>
      </c>
      <c r="I1102" s="16" t="n">
        <v>13.3831530902378</v>
      </c>
      <c r="J1102" s="15" t="n">
        <v>25.1435217820386</v>
      </c>
      <c r="K1102" s="15" t="n">
        <v>5906.32662593627</v>
      </c>
      <c r="L1102" s="15" t="n">
        <v>236.085489769623</v>
      </c>
      <c r="M1102" s="15" t="n">
        <v>0.83542589134413</v>
      </c>
      <c r="N1102" s="17" t="n">
        <v>0.427841792249014</v>
      </c>
      <c r="O1102" s="18" t="n">
        <v>0.00724378821804818</v>
      </c>
    </row>
    <row r="1103" ht="15" customHeight="1" s="12">
      <c r="A1103" s="14" t="inlineStr">
        <is>
          <t>Musakhel</t>
        </is>
      </c>
      <c r="B1103" s="14" t="inlineStr">
        <is>
          <t>Balochistan</t>
        </is>
      </c>
      <c r="C1103" s="14" t="n">
        <v>2016</v>
      </c>
      <c r="D1103" s="15" t="n">
        <v>243.716313002729</v>
      </c>
      <c r="E1103" s="15" t="n">
        <v>13558.2730049283</v>
      </c>
      <c r="F1103" s="15" t="n">
        <v>319.200286865234</v>
      </c>
      <c r="G1103" s="15" t="n">
        <v>180.50446498394</v>
      </c>
      <c r="H1103" s="15" t="n">
        <v>34.1856637998196</v>
      </c>
      <c r="I1103" s="16" t="n">
        <v>14.0268262631385</v>
      </c>
      <c r="J1103" s="15" t="n">
        <v>25.7632877484844</v>
      </c>
      <c r="K1103" s="15" t="n">
        <v>5906.32662593627</v>
      </c>
      <c r="L1103" s="15" t="n">
        <v>236.085489769623</v>
      </c>
      <c r="M1103" s="15" t="n">
        <v>7.63082323310613</v>
      </c>
      <c r="N1103" s="17" t="n">
        <v>0.305956316923014</v>
      </c>
      <c r="O1103" s="18" t="n">
        <v>0.00518014556762706</v>
      </c>
    </row>
    <row r="1104" ht="15" customHeight="1" s="12">
      <c r="A1104" s="14" t="inlineStr">
        <is>
          <t>Musakhel</t>
        </is>
      </c>
      <c r="B1104" s="14" t="inlineStr">
        <is>
          <t>Balochistan</t>
        </is>
      </c>
      <c r="C1104" s="14" t="n">
        <v>2017</v>
      </c>
      <c r="D1104" s="15" t="n">
        <v>200.025954974327</v>
      </c>
      <c r="E1104" s="15" t="n">
        <v>11127.7184206502</v>
      </c>
      <c r="F1104" s="15" t="n">
        <v>256.024978280067</v>
      </c>
      <c r="G1104" s="15" t="n">
        <v>169.426901519299</v>
      </c>
      <c r="H1104" s="15" t="n">
        <v>24.1288871612201</v>
      </c>
      <c r="I1104" s="16" t="n">
        <v>12.0628781221502</v>
      </c>
      <c r="J1104" s="15" t="n">
        <v>25.4753982799944</v>
      </c>
      <c r="K1104" s="15" t="n">
        <v>5906.32662593627</v>
      </c>
      <c r="L1104" s="15" t="n">
        <v>236.085489769623</v>
      </c>
      <c r="M1104" s="15" t="n">
        <v>-36.0595347952959</v>
      </c>
      <c r="N1104" s="17" t="n">
        <v>0.34694844909668</v>
      </c>
      <c r="O1104" s="18" t="n">
        <v>0.00587418324569345</v>
      </c>
    </row>
    <row r="1105" ht="15" customHeight="1" s="12">
      <c r="A1105" s="14" t="inlineStr">
        <is>
          <t>Musakhel</t>
        </is>
      </c>
      <c r="B1105" s="14" t="inlineStr">
        <is>
          <t>Balochistan</t>
        </is>
      </c>
      <c r="C1105" s="14" t="n">
        <v>2018</v>
      </c>
      <c r="D1105" s="15" t="n">
        <v>186.553041457515</v>
      </c>
      <c r="E1105" s="15" t="n">
        <v>10378.2017494757</v>
      </c>
      <c r="F1105" s="15" t="n">
        <v>221.068413972855</v>
      </c>
      <c r="G1105" s="15" t="n">
        <v>147.837471211329</v>
      </c>
      <c r="H1105" s="15" t="n">
        <v>16.1433201021026</v>
      </c>
      <c r="I1105" s="16" t="n">
        <v>8.653474623612089</v>
      </c>
      <c r="J1105" s="15" t="n">
        <v>31.1957563795291</v>
      </c>
      <c r="K1105" s="15" t="n">
        <v>5906.32662593627</v>
      </c>
      <c r="L1105" s="15" t="n">
        <v>236.085489769623</v>
      </c>
      <c r="M1105" s="15" t="n">
        <v>-49.5324483121078</v>
      </c>
      <c r="N1105" s="17" t="n">
        <v>0.465675348205567</v>
      </c>
      <c r="O1105" s="18" t="n">
        <v>0.007884348050794561</v>
      </c>
    </row>
    <row r="1106" ht="15" customHeight="1" s="12">
      <c r="A1106" s="14" t="inlineStr">
        <is>
          <t>Musakhel</t>
        </is>
      </c>
      <c r="B1106" s="14" t="inlineStr">
        <is>
          <t>Balochistan</t>
        </is>
      </c>
      <c r="C1106" s="14" t="n">
        <v>2019</v>
      </c>
      <c r="D1106" s="15" t="n">
        <v>217.619986389574</v>
      </c>
      <c r="E1106" s="15" t="n">
        <v>12106.498536951</v>
      </c>
      <c r="F1106" s="15" t="n">
        <v>276.264675080776</v>
      </c>
      <c r="G1106" s="15" t="n">
        <v>184.315895199776</v>
      </c>
      <c r="H1106" s="15" t="n">
        <v>19.4567868819145</v>
      </c>
      <c r="I1106" s="16" t="n">
        <v>8.940716891271069</v>
      </c>
      <c r="J1106" s="15" t="n">
        <v>29.338784717327</v>
      </c>
      <c r="K1106" s="15" t="n">
        <v>5906.32662593627</v>
      </c>
      <c r="L1106" s="15" t="n">
        <v>236.085489769623</v>
      </c>
      <c r="M1106" s="15" t="n">
        <v>-18.4655033800487</v>
      </c>
      <c r="N1106" s="17" t="n">
        <v>0.389126280883789</v>
      </c>
      <c r="O1106" s="18" t="n">
        <v>0.00658829600068223</v>
      </c>
    </row>
    <row r="1107" ht="15" customHeight="1" s="12">
      <c r="A1107" s="14" t="inlineStr">
        <is>
          <t>Musakhel</t>
        </is>
      </c>
      <c r="B1107" s="14" t="inlineStr">
        <is>
          <t>Balochistan</t>
        </is>
      </c>
      <c r="C1107" s="14" t="n">
        <v>2020</v>
      </c>
      <c r="D1107" s="15" t="n">
        <v>173.676582319215</v>
      </c>
      <c r="E1107" s="15" t="n">
        <v>9661.86665404073</v>
      </c>
      <c r="F1107" s="15" t="n">
        <v>232.251147497445</v>
      </c>
      <c r="G1107" s="15" t="n">
        <v>122.274283911567</v>
      </c>
      <c r="H1107" s="15" t="n">
        <v>23.7724757562186</v>
      </c>
      <c r="I1107" s="16" t="n">
        <v>13.6877841783673</v>
      </c>
      <c r="J1107" s="15" t="n">
        <v>25.7824615818413</v>
      </c>
      <c r="K1107" s="15" t="n">
        <v>5906.32662593627</v>
      </c>
      <c r="L1107" s="15" t="n">
        <v>236.085489769623</v>
      </c>
      <c r="M1107" s="15" t="n">
        <v>-62.4089074504079</v>
      </c>
      <c r="N1107" s="17" t="n">
        <v>0.200614455943627</v>
      </c>
      <c r="O1107" s="18" t="n">
        <v>0.00339660280660191</v>
      </c>
    </row>
    <row r="1108" ht="15" customHeight="1" s="12">
      <c r="A1108" s="14" t="inlineStr">
        <is>
          <t>Musakhel</t>
        </is>
      </c>
      <c r="B1108" s="14" t="inlineStr">
        <is>
          <t>Balochistan</t>
        </is>
      </c>
      <c r="C1108" s="14" t="n">
        <v>2021</v>
      </c>
      <c r="D1108" s="15" t="n">
        <v>179.854612688231</v>
      </c>
      <c r="E1108" s="15" t="n">
        <v>10005.5589631186</v>
      </c>
      <c r="F1108" s="15" t="n">
        <v>217.583856582642</v>
      </c>
      <c r="G1108" s="15" t="n">
        <v>152.187505602837</v>
      </c>
      <c r="H1108" s="15" t="n">
        <v>17.5248196529631</v>
      </c>
      <c r="I1108" s="16" t="n">
        <v>9.743881122104741</v>
      </c>
      <c r="J1108" s="15" t="n">
        <v>18.2657549696884</v>
      </c>
      <c r="K1108" s="15" t="n">
        <v>5906.32662593627</v>
      </c>
      <c r="L1108" s="15" t="n">
        <v>236.085489769623</v>
      </c>
      <c r="M1108" s="15" t="n">
        <v>-56.2308770813924</v>
      </c>
      <c r="N1108" s="17" t="n">
        <v>0.616879612975117</v>
      </c>
      <c r="O1108" s="18" t="n">
        <v>0.0104443870453461</v>
      </c>
    </row>
    <row r="1109" ht="15" customHeight="1" s="12">
      <c r="A1109" s="14" t="inlineStr">
        <is>
          <t>Musakhel</t>
        </is>
      </c>
      <c r="B1109" s="14" t="inlineStr">
        <is>
          <t>Balochistan</t>
        </is>
      </c>
      <c r="C1109" s="14" t="n">
        <v>2022</v>
      </c>
      <c r="D1109" s="15" t="n">
        <v>391.768977577796</v>
      </c>
      <c r="E1109" s="15" t="n">
        <v>21794.6459447789</v>
      </c>
      <c r="F1109" s="15" t="n">
        <v>503.07803842982</v>
      </c>
      <c r="G1109" s="15" t="n">
        <v>295.46930980897</v>
      </c>
      <c r="H1109" s="15" t="n">
        <v>52.500420859813</v>
      </c>
      <c r="I1109" s="16" t="n">
        <v>13.4008622082354</v>
      </c>
      <c r="J1109" s="15" t="n">
        <v>31.7357958550684</v>
      </c>
      <c r="K1109" s="15" t="n">
        <v>5906.32662593627</v>
      </c>
      <c r="L1109" s="15" t="n">
        <v>236.085489769623</v>
      </c>
      <c r="M1109" s="15" t="n">
        <v>155.683487808173</v>
      </c>
      <c r="N1109" s="17" t="n">
        <v>0.803563122740742</v>
      </c>
      <c r="O1109" s="18" t="n">
        <v>0.0136051250401913</v>
      </c>
    </row>
    <row r="1110" ht="15" customHeight="1" s="12">
      <c r="A1110" s="14" t="inlineStr">
        <is>
          <t>Musakhel</t>
        </is>
      </c>
      <c r="B1110" s="14" t="inlineStr">
        <is>
          <t>Balochistan</t>
        </is>
      </c>
      <c r="C1110" s="14" t="n">
        <v>2023</v>
      </c>
      <c r="D1110" s="15" t="n">
        <v>240.690341119082</v>
      </c>
      <c r="E1110" s="15" t="n">
        <v>13389.9340357463</v>
      </c>
      <c r="F1110" s="15" t="n">
        <v>311.052627205849</v>
      </c>
      <c r="G1110" s="15" t="n">
        <v>180.810696840286</v>
      </c>
      <c r="H1110" s="15" t="n">
        <v>37.8050890553644</v>
      </c>
      <c r="I1110" s="16" t="n">
        <v>15.7069406605977</v>
      </c>
      <c r="J1110" s="15" t="n">
        <v>23.5879740589314</v>
      </c>
      <c r="K1110" s="15" t="n">
        <v>5906.32662593627</v>
      </c>
      <c r="L1110" s="15" t="n">
        <v>236.085489769623</v>
      </c>
      <c r="M1110" s="15" t="n">
        <v>4.60485134945884</v>
      </c>
      <c r="N1110" s="17" t="n">
        <v>0.271167317138672</v>
      </c>
      <c r="O1110" s="18" t="n">
        <v>0.00459113310713132</v>
      </c>
    </row>
    <row r="1111" ht="15" customHeight="1" s="12">
      <c r="A1111" s="14" t="inlineStr">
        <is>
          <t>Musakhel</t>
        </is>
      </c>
      <c r="B1111" s="14" t="inlineStr">
        <is>
          <t>Balochistan</t>
        </is>
      </c>
      <c r="C1111" s="14" t="n">
        <v>2024</v>
      </c>
      <c r="D1111" s="15" t="n">
        <v>264.294838625341</v>
      </c>
      <c r="E1111" s="15" t="n">
        <v>14703.0846303494</v>
      </c>
      <c r="F1111" s="15" t="n">
        <v>335.576518565313</v>
      </c>
      <c r="G1111" s="15" t="n">
        <v>215.246765392417</v>
      </c>
      <c r="H1111" s="15" t="n">
        <v>30.8649834726135</v>
      </c>
      <c r="I1111" s="16" t="n">
        <v>11.6782392093426</v>
      </c>
      <c r="J1111" s="15" t="n">
        <v>31.4286620611871</v>
      </c>
      <c r="K1111" s="15" t="n">
        <v>5906.32662593627</v>
      </c>
      <c r="L1111" s="15" t="n">
        <v>236.085489769623</v>
      </c>
      <c r="M1111" s="15" t="n">
        <v>28.2093488557183</v>
      </c>
      <c r="N1111" s="17" t="n">
        <v>0.258709483764648</v>
      </c>
      <c r="O1111" s="18" t="n">
        <v>0.00438020956424227</v>
      </c>
    </row>
    <row r="1112" ht="15" customHeight="1" s="12">
      <c r="A1112" s="14" t="inlineStr">
        <is>
          <t>Musakhel</t>
        </is>
      </c>
      <c r="B1112" s="14" t="inlineStr">
        <is>
          <t>Balochistan</t>
        </is>
      </c>
      <c r="C1112" s="14" t="n">
        <v>2025</v>
      </c>
      <c r="D1112" s="15" t="n">
        <v>261.818823651075</v>
      </c>
      <c r="E1112" s="15" t="n">
        <v>14565.340518879</v>
      </c>
      <c r="F1112" s="15" t="n">
        <v>302.380517110229</v>
      </c>
      <c r="G1112" s="15" t="n">
        <v>220.745543122292</v>
      </c>
      <c r="H1112" s="15" t="n">
        <v>17.6569685263663</v>
      </c>
      <c r="I1112" s="16" t="n">
        <v>6.74396450191744</v>
      </c>
      <c r="J1112" s="15" t="n">
        <v>31.8162977583533</v>
      </c>
      <c r="K1112" s="15" t="n">
        <v>5906.32662593627</v>
      </c>
      <c r="L1112" s="15" t="n">
        <v>236.085489769623</v>
      </c>
      <c r="M1112" s="15" t="n">
        <v>25.7333338814522</v>
      </c>
      <c r="N1112" s="17" t="n">
        <v>0.582455089782715</v>
      </c>
      <c r="O1112" s="18" t="n">
        <v>0.00986154553703477</v>
      </c>
    </row>
    <row r="1113" ht="15" customHeight="1" s="12">
      <c r="A1113" s="14" t="inlineStr">
        <is>
          <t>Muzaffarabad</t>
        </is>
      </c>
      <c r="B1113" s="14" t="inlineStr">
        <is>
          <t>Azad Kashmir</t>
        </is>
      </c>
      <c r="C1113" s="14" t="n">
        <v>2015</v>
      </c>
      <c r="D1113" s="15" t="n">
        <v>613.832013127081</v>
      </c>
      <c r="E1113" s="15" t="n">
        <v>8174.7981042336</v>
      </c>
      <c r="F1113" s="15" t="n">
        <v>981.78759843111</v>
      </c>
      <c r="G1113" s="15" t="n">
        <v>437.543489098549</v>
      </c>
      <c r="H1113" s="15" t="n">
        <v>138.645809473625</v>
      </c>
      <c r="I1113" s="16" t="n">
        <v>22.5869303830071</v>
      </c>
      <c r="J1113" s="15" t="n">
        <v>28.8159599528858</v>
      </c>
      <c r="K1113" s="15" t="n">
        <v>1361.30459699073</v>
      </c>
      <c r="L1113" s="15" t="n">
        <v>611.788102012453</v>
      </c>
      <c r="M1113" s="15" t="n">
        <v>2.0439111146286</v>
      </c>
      <c r="N1113" s="17" t="n">
        <v>0.699543593146829</v>
      </c>
      <c r="O1113" s="18" t="n">
        <v>0.0513877345814614</v>
      </c>
    </row>
    <row r="1114" ht="15" customHeight="1" s="12">
      <c r="A1114" s="14" t="inlineStr">
        <is>
          <t>Muzaffarabad</t>
        </is>
      </c>
      <c r="B1114" s="14" t="inlineStr">
        <is>
          <t>Azad Kashmir</t>
        </is>
      </c>
      <c r="C1114" s="14" t="n">
        <v>2016</v>
      </c>
      <c r="D1114" s="15" t="n">
        <v>519.7673113716791</v>
      </c>
      <c r="E1114" s="15" t="n">
        <v>6922.07760556165</v>
      </c>
      <c r="F1114" s="15" t="n">
        <v>822.629789352417</v>
      </c>
      <c r="G1114" s="15" t="n">
        <v>375.506522476673</v>
      </c>
      <c r="H1114" s="15" t="n">
        <v>121.56572418601</v>
      </c>
      <c r="I1114" s="16" t="n">
        <v>23.3884897196008</v>
      </c>
      <c r="J1114" s="15" t="n">
        <v>23.7529446407538</v>
      </c>
      <c r="K1114" s="15" t="n">
        <v>1361.30459699073</v>
      </c>
      <c r="L1114" s="15" t="n">
        <v>611.788102012453</v>
      </c>
      <c r="M1114" s="15" t="n">
        <v>-92.02079064077419</v>
      </c>
      <c r="N1114" s="17" t="n">
        <v>2.06018192563237</v>
      </c>
      <c r="O1114" s="18" t="n">
        <v>0.151338791493584</v>
      </c>
    </row>
    <row r="1115" ht="15" customHeight="1" s="12">
      <c r="A1115" s="14" t="inlineStr">
        <is>
          <t>Muzaffarabad</t>
        </is>
      </c>
      <c r="B1115" s="14" t="inlineStr">
        <is>
          <t>Azad Kashmir</t>
        </is>
      </c>
      <c r="C1115" s="14" t="n">
        <v>2017</v>
      </c>
      <c r="D1115" s="15" t="n">
        <v>463.056580437753</v>
      </c>
      <c r="E1115" s="15" t="n">
        <v>6166.82410653572</v>
      </c>
      <c r="F1115" s="15" t="n">
        <v>768.782977044582</v>
      </c>
      <c r="G1115" s="15" t="n">
        <v>315.259224057198</v>
      </c>
      <c r="H1115" s="15" t="n">
        <v>119.727544951832</v>
      </c>
      <c r="I1115" s="16" t="n">
        <v>25.8559212869076</v>
      </c>
      <c r="J1115" s="15" t="n">
        <v>35.1174911660777</v>
      </c>
      <c r="K1115" s="15" t="n">
        <v>1361.30459699073</v>
      </c>
      <c r="L1115" s="15" t="n">
        <v>611.788102012453</v>
      </c>
      <c r="M1115" s="15" t="n">
        <v>-148.7315215747</v>
      </c>
      <c r="N1115" s="17" t="n">
        <v>0.212798098815918</v>
      </c>
      <c r="O1115" s="18" t="n">
        <v>0.0156319239122768</v>
      </c>
    </row>
    <row r="1116" ht="15" customHeight="1" s="12">
      <c r="A1116" s="14" t="inlineStr">
        <is>
          <t>Muzaffarabad</t>
        </is>
      </c>
      <c r="B1116" s="14" t="inlineStr">
        <is>
          <t>Azad Kashmir</t>
        </is>
      </c>
      <c r="C1116" s="14" t="n">
        <v>2018</v>
      </c>
      <c r="D1116" s="15" t="n">
        <v>637.220957185937</v>
      </c>
      <c r="E1116" s="15" t="n">
        <v>8486.283806288009</v>
      </c>
      <c r="F1116" s="15" t="n">
        <v>1083.80308055878</v>
      </c>
      <c r="G1116" s="15" t="n">
        <v>460.49619269371</v>
      </c>
      <c r="H1116" s="15" t="n">
        <v>156.325305078833</v>
      </c>
      <c r="I1116" s="16" t="n">
        <v>24.532354643386</v>
      </c>
      <c r="J1116" s="15" t="n">
        <v>34.7582449941107</v>
      </c>
      <c r="K1116" s="15" t="n">
        <v>1361.30459699073</v>
      </c>
      <c r="L1116" s="15" t="n">
        <v>611.788102012453</v>
      </c>
      <c r="M1116" s="15" t="n">
        <v>25.4328551734843</v>
      </c>
      <c r="N1116" s="17" t="n">
        <v>0.246602750418869</v>
      </c>
      <c r="O1116" s="18" t="n">
        <v>0.0181151779670768</v>
      </c>
    </row>
    <row r="1117" ht="15" customHeight="1" s="12">
      <c r="A1117" s="14" t="inlineStr">
        <is>
          <t>Muzaffarabad</t>
        </is>
      </c>
      <c r="B1117" s="14" t="inlineStr">
        <is>
          <t>Azad Kashmir</t>
        </is>
      </c>
      <c r="C1117" s="14" t="n">
        <v>2019</v>
      </c>
      <c r="D1117" s="15" t="n">
        <v>590.87688909523</v>
      </c>
      <c r="E1117" s="15" t="n">
        <v>7869.08986418588</v>
      </c>
      <c r="F1117" s="15" t="n">
        <v>934.114626124501</v>
      </c>
      <c r="G1117" s="15" t="n">
        <v>420.562566913664</v>
      </c>
      <c r="H1117" s="15" t="n">
        <v>132.803829125425</v>
      </c>
      <c r="I1117" s="16" t="n">
        <v>22.4757189824734</v>
      </c>
      <c r="J1117" s="15" t="n">
        <v>26.2170200235571</v>
      </c>
      <c r="K1117" s="15" t="n">
        <v>1361.30459699073</v>
      </c>
      <c r="L1117" s="15" t="n">
        <v>611.788102012453</v>
      </c>
      <c r="M1117" s="15" t="n">
        <v>-20.9112129172232</v>
      </c>
      <c r="N1117" s="17" t="n">
        <v>0.214208721252441</v>
      </c>
      <c r="O1117" s="18" t="n">
        <v>0.015735546748756</v>
      </c>
    </row>
    <row r="1118" ht="15" customHeight="1" s="12">
      <c r="A1118" s="14" t="inlineStr">
        <is>
          <t>Muzaffarabad</t>
        </is>
      </c>
      <c r="B1118" s="14" t="inlineStr">
        <is>
          <t>Azad Kashmir</t>
        </is>
      </c>
      <c r="C1118" s="14" t="n">
        <v>2020</v>
      </c>
      <c r="D1118" s="15" t="n">
        <v>563.046070780979</v>
      </c>
      <c r="E1118" s="15" t="n">
        <v>7498.44884851845</v>
      </c>
      <c r="F1118" s="15" t="n">
        <v>903.0706844329829</v>
      </c>
      <c r="G1118" s="15" t="n">
        <v>391.530937467494</v>
      </c>
      <c r="H1118" s="15" t="n">
        <v>130.672898482945</v>
      </c>
      <c r="I1118" s="16" t="n">
        <v>23.2082071546461</v>
      </c>
      <c r="J1118" s="15" t="n">
        <v>31.7809187279152</v>
      </c>
      <c r="K1118" s="15" t="n">
        <v>1361.30459699073</v>
      </c>
      <c r="L1118" s="15" t="n">
        <v>611.788102012453</v>
      </c>
      <c r="M1118" s="15" t="n">
        <v>-48.7420312314741</v>
      </c>
      <c r="N1118" s="17" t="n">
        <v>0.151972446508071</v>
      </c>
      <c r="O1118" s="18" t="n">
        <v>0.0111637356432953</v>
      </c>
    </row>
    <row r="1119" ht="15" customHeight="1" s="12">
      <c r="A1119" s="14" t="inlineStr">
        <is>
          <t>Muzaffarabad</t>
        </is>
      </c>
      <c r="B1119" s="14" t="inlineStr">
        <is>
          <t>Azad Kashmir</t>
        </is>
      </c>
      <c r="C1119" s="14" t="n">
        <v>2021</v>
      </c>
      <c r="D1119" s="15" t="n">
        <v>714.713522650187</v>
      </c>
      <c r="E1119" s="15" t="n">
        <v>9518.302442823669</v>
      </c>
      <c r="F1119" s="15" t="n">
        <v>1131.96300888062</v>
      </c>
      <c r="G1119" s="15" t="n">
        <v>508.438897371292</v>
      </c>
      <c r="H1119" s="15" t="n">
        <v>163.889429754211</v>
      </c>
      <c r="I1119" s="16" t="n">
        <v>22.9307861905988</v>
      </c>
      <c r="J1119" s="15" t="n">
        <v>19.037691401649</v>
      </c>
      <c r="K1119" s="15" t="n">
        <v>1361.30459699073</v>
      </c>
      <c r="L1119" s="15" t="n">
        <v>611.788102012453</v>
      </c>
      <c r="M1119" s="15" t="n">
        <v>102.925420637735</v>
      </c>
      <c r="N1119" s="17" t="n">
        <v>0.157339475204408</v>
      </c>
      <c r="O1119" s="18" t="n">
        <v>0.0115579919110109</v>
      </c>
    </row>
    <row r="1120" ht="15" customHeight="1" s="12">
      <c r="A1120" s="14" t="inlineStr">
        <is>
          <t>Muzaffarabad</t>
        </is>
      </c>
      <c r="B1120" s="14" t="inlineStr">
        <is>
          <t>Azad Kashmir</t>
        </is>
      </c>
      <c r="C1120" s="14" t="n">
        <v>2022</v>
      </c>
      <c r="D1120" s="15" t="n">
        <v>580.345048798773</v>
      </c>
      <c r="E1120" s="15" t="n">
        <v>7728.83053223778</v>
      </c>
      <c r="F1120" s="15" t="n">
        <v>944.164823591709</v>
      </c>
      <c r="G1120" s="15" t="n">
        <v>389.680842995644</v>
      </c>
      <c r="H1120" s="15" t="n">
        <v>146.488987626286</v>
      </c>
      <c r="I1120" s="16" t="n">
        <v>25.2417054180951</v>
      </c>
      <c r="J1120" s="15" t="n">
        <v>31.7470553592462</v>
      </c>
      <c r="K1120" s="15" t="n">
        <v>1361.30459699073</v>
      </c>
      <c r="L1120" s="15" t="n">
        <v>611.788102012453</v>
      </c>
      <c r="M1120" s="15" t="n">
        <v>-31.4430532136794</v>
      </c>
      <c r="N1120" s="17" t="n">
        <v>0.352526276456945</v>
      </c>
      <c r="O1120" s="18" t="n">
        <v>0.0258962084779727</v>
      </c>
    </row>
    <row r="1121" ht="15" customHeight="1" s="12">
      <c r="A1121" s="14" t="inlineStr">
        <is>
          <t>Muzaffarabad</t>
        </is>
      </c>
      <c r="B1121" s="14" t="inlineStr">
        <is>
          <t>Azad Kashmir</t>
        </is>
      </c>
      <c r="C1121" s="14" t="n">
        <v>2023</v>
      </c>
      <c r="D1121" s="15" t="n">
        <v>707.981002065262</v>
      </c>
      <c r="E1121" s="15" t="n">
        <v>9428.64110985737</v>
      </c>
      <c r="F1121" s="15" t="n">
        <v>1208.89790391922</v>
      </c>
      <c r="G1121" s="15" t="n">
        <v>488.865516901016</v>
      </c>
      <c r="H1121" s="15" t="n">
        <v>184.593394232109</v>
      </c>
      <c r="I1121" s="16" t="n">
        <v>26.0732129384304</v>
      </c>
      <c r="J1121" s="15" t="n">
        <v>23.4455241460542</v>
      </c>
      <c r="K1121" s="15" t="n">
        <v>1361.30459699073</v>
      </c>
      <c r="L1121" s="15" t="n">
        <v>611.788102012453</v>
      </c>
      <c r="M1121" s="15" t="n">
        <v>96.19290005280909</v>
      </c>
      <c r="N1121" s="17" t="n">
        <v>0.3476047426169</v>
      </c>
      <c r="O1121" s="18" t="n">
        <v>0.0255346777925607</v>
      </c>
    </row>
    <row r="1122" ht="15" customHeight="1" s="12">
      <c r="A1122" s="14" t="inlineStr">
        <is>
          <t>Muzaffarabad</t>
        </is>
      </c>
      <c r="B1122" s="14" t="inlineStr">
        <is>
          <t>Azad Kashmir</t>
        </is>
      </c>
      <c r="C1122" s="14" t="n">
        <v>2024</v>
      </c>
      <c r="D1122" s="15" t="n">
        <v>551.3895917736349</v>
      </c>
      <c r="E1122" s="15" t="n">
        <v>7343.21197515005</v>
      </c>
      <c r="F1122" s="15" t="n">
        <v>921.364750266075</v>
      </c>
      <c r="G1122" s="15" t="n">
        <v>382.32638412714</v>
      </c>
      <c r="H1122" s="15" t="n">
        <v>139.736344591007</v>
      </c>
      <c r="I1122" s="16" t="n">
        <v>25.3425793079485</v>
      </c>
      <c r="J1122" s="15" t="n">
        <v>32.5506478209658</v>
      </c>
      <c r="K1122" s="15" t="n">
        <v>1361.30459699073</v>
      </c>
      <c r="L1122" s="15" t="n">
        <v>611.788102012453</v>
      </c>
      <c r="M1122" s="15" t="n">
        <v>-60.3985102388183</v>
      </c>
      <c r="N1122" s="17" t="n">
        <v>0.08850533654043161</v>
      </c>
      <c r="O1122" s="18" t="n">
        <v>0.00650150868042902</v>
      </c>
    </row>
    <row r="1123" ht="15" customHeight="1" s="12">
      <c r="A1123" s="14" t="inlineStr">
        <is>
          <t>Muzaffarabad</t>
        </is>
      </c>
      <c r="B1123" s="14" t="inlineStr">
        <is>
          <t>Azad Kashmir</t>
        </is>
      </c>
      <c r="C1123" s="14" t="n">
        <v>2025</v>
      </c>
      <c r="D1123" s="15" t="n">
        <v>787.440134850464</v>
      </c>
      <c r="E1123" s="15" t="n">
        <v>10486.8497958909</v>
      </c>
      <c r="F1123" s="15" t="n">
        <v>1237.98360866308</v>
      </c>
      <c r="G1123" s="15" t="n">
        <v>527.365493357182</v>
      </c>
      <c r="H1123" s="15" t="n">
        <v>188.424372639136</v>
      </c>
      <c r="I1123" s="16" t="n">
        <v>23.9287235054279</v>
      </c>
      <c r="J1123" s="15" t="n">
        <v>39.7759128386337</v>
      </c>
      <c r="K1123" s="15" t="n">
        <v>1361.30459699073</v>
      </c>
      <c r="L1123" s="15" t="n">
        <v>611.788102012453</v>
      </c>
      <c r="M1123" s="15" t="n">
        <v>175.652032838012</v>
      </c>
      <c r="N1123" s="17" t="n">
        <v>0.159343872314453</v>
      </c>
      <c r="O1123" s="18" t="n">
        <v>0.0117052328087847</v>
      </c>
    </row>
    <row r="1124" ht="15" customHeight="1" s="12">
      <c r="A1124" s="14" t="inlineStr">
        <is>
          <t>Muzaffargarh</t>
        </is>
      </c>
      <c r="B1124" s="14" t="inlineStr">
        <is>
          <t>Punjab</t>
        </is>
      </c>
      <c r="C1124" s="14" t="n">
        <v>2015</v>
      </c>
      <c r="D1124" s="15" t="n">
        <v>175.822933113559</v>
      </c>
      <c r="E1124" s="15" t="n">
        <v>12617.8810822672</v>
      </c>
      <c r="F1124" s="15" t="n">
        <v>298.786575317383</v>
      </c>
      <c r="G1124" s="15" t="n">
        <v>115.698607474566</v>
      </c>
      <c r="H1124" s="15" t="n">
        <v>36.1275350846781</v>
      </c>
      <c r="I1124" s="16" t="n">
        <v>20.5476808087057</v>
      </c>
      <c r="J1124" s="15" t="n">
        <v>20.5307650273224</v>
      </c>
      <c r="K1124" s="15" t="n">
        <v>7696.68137167853</v>
      </c>
      <c r="L1124" s="15" t="n">
        <v>145.046729514695</v>
      </c>
      <c r="M1124" s="15" t="n">
        <v>30.7762035988636</v>
      </c>
      <c r="N1124" s="17" t="n">
        <v>117.224618638752</v>
      </c>
      <c r="O1124" s="18" t="n">
        <v>1.52305406678394</v>
      </c>
    </row>
    <row r="1125" ht="15" customHeight="1" s="12">
      <c r="A1125" s="14" t="inlineStr">
        <is>
          <t>Muzaffargarh</t>
        </is>
      </c>
      <c r="B1125" s="14" t="inlineStr">
        <is>
          <t>Punjab</t>
        </is>
      </c>
      <c r="C1125" s="14" t="n">
        <v>2016</v>
      </c>
      <c r="D1125" s="15" t="n">
        <v>129.254839428819</v>
      </c>
      <c r="E1125" s="15" t="n">
        <v>9275.935535479941</v>
      </c>
      <c r="F1125" s="15" t="n">
        <v>255.983688116074</v>
      </c>
      <c r="G1125" s="15" t="n">
        <v>87.9768917560577</v>
      </c>
      <c r="H1125" s="15" t="n">
        <v>29.0573366290934</v>
      </c>
      <c r="I1125" s="16" t="n">
        <v>22.4806566295689</v>
      </c>
      <c r="J1125" s="15" t="n">
        <v>18.5520765027322</v>
      </c>
      <c r="K1125" s="15" t="n">
        <v>7696.68137167853</v>
      </c>
      <c r="L1125" s="15" t="n">
        <v>145.046729514695</v>
      </c>
      <c r="M1125" s="15" t="n">
        <v>-15.7918900858763</v>
      </c>
      <c r="N1125" s="17" t="n">
        <v>99.6690401245891</v>
      </c>
      <c r="O1125" s="18" t="n">
        <v>1.29496123473866</v>
      </c>
    </row>
    <row r="1126" ht="15" customHeight="1" s="12">
      <c r="A1126" s="14" t="inlineStr">
        <is>
          <t>Muzaffargarh</t>
        </is>
      </c>
      <c r="B1126" s="14" t="inlineStr">
        <is>
          <t>Punjab</t>
        </is>
      </c>
      <c r="C1126" s="14" t="n">
        <v>2017</v>
      </c>
      <c r="D1126" s="15" t="n">
        <v>140.399821536371</v>
      </c>
      <c r="E1126" s="15" t="n">
        <v>10075.7518984925</v>
      </c>
      <c r="F1126" s="15" t="n">
        <v>326.292740821838</v>
      </c>
      <c r="G1126" s="15" t="n">
        <v>111.778250038624</v>
      </c>
      <c r="H1126" s="15" t="n">
        <v>35.7361554801944</v>
      </c>
      <c r="I1126" s="16" t="n">
        <v>25.4531345475656</v>
      </c>
      <c r="J1126" s="15" t="n">
        <v>19.3934426229508</v>
      </c>
      <c r="K1126" s="15" t="n">
        <v>7696.68137167853</v>
      </c>
      <c r="L1126" s="15" t="n">
        <v>145.046729514695</v>
      </c>
      <c r="M1126" s="15" t="n">
        <v>-4.64690797832427</v>
      </c>
      <c r="N1126" s="17" t="n">
        <v>74.8544379096018</v>
      </c>
      <c r="O1126" s="18" t="n">
        <v>0.972554719298159</v>
      </c>
    </row>
    <row r="1127" ht="15" customHeight="1" s="12">
      <c r="A1127" s="14" t="inlineStr">
        <is>
          <t>Muzaffargarh</t>
        </is>
      </c>
      <c r="B1127" s="14" t="inlineStr">
        <is>
          <t>Punjab</t>
        </is>
      </c>
      <c r="C1127" s="14" t="n">
        <v>2018</v>
      </c>
      <c r="D1127" s="15" t="n">
        <v>77.4416581047537</v>
      </c>
      <c r="E1127" s="15" t="n">
        <v>5557.57781692938</v>
      </c>
      <c r="F1127" s="15" t="n">
        <v>140.155022829771</v>
      </c>
      <c r="G1127" s="15" t="n">
        <v>56.1206156164408</v>
      </c>
      <c r="H1127" s="15" t="n">
        <v>15.539747145067</v>
      </c>
      <c r="I1127" s="16" t="n">
        <v>20.0663925920164</v>
      </c>
      <c r="J1127" s="15" t="n">
        <v>13.306393442623</v>
      </c>
      <c r="K1127" s="15" t="n">
        <v>7696.68137167853</v>
      </c>
      <c r="L1127" s="15" t="n">
        <v>145.046729514695</v>
      </c>
      <c r="M1127" s="15" t="n">
        <v>-67.6050714099414</v>
      </c>
      <c r="N1127" s="17" t="n">
        <v>64.6899733701717</v>
      </c>
      <c r="O1127" s="18" t="n">
        <v>0.840491768416078</v>
      </c>
    </row>
    <row r="1128" ht="15" customHeight="1" s="12">
      <c r="A1128" s="14" t="inlineStr">
        <is>
          <t>Muzaffargarh</t>
        </is>
      </c>
      <c r="B1128" s="14" t="inlineStr">
        <is>
          <t>Punjab</t>
        </is>
      </c>
      <c r="C1128" s="14" t="n">
        <v>2019</v>
      </c>
      <c r="D1128" s="15" t="n">
        <v>127.254718527988</v>
      </c>
      <c r="E1128" s="15" t="n">
        <v>9132.39744730265</v>
      </c>
      <c r="F1128" s="15" t="n">
        <v>197.988153249025</v>
      </c>
      <c r="G1128" s="15" t="n">
        <v>90.4842340052128</v>
      </c>
      <c r="H1128" s="15" t="n">
        <v>25.7667470963898</v>
      </c>
      <c r="I1128" s="16" t="n">
        <v>20.2481663504861</v>
      </c>
      <c r="J1128" s="15" t="n">
        <v>19.1744808743169</v>
      </c>
      <c r="K1128" s="15" t="n">
        <v>7696.68137167853</v>
      </c>
      <c r="L1128" s="15" t="n">
        <v>145.046729514695</v>
      </c>
      <c r="M1128" s="15" t="n">
        <v>-17.7920109867074</v>
      </c>
      <c r="N1128" s="17" t="n">
        <v>84.65134930672539</v>
      </c>
      <c r="O1128" s="18" t="n">
        <v>1.09984219456215</v>
      </c>
    </row>
    <row r="1129" ht="15" customHeight="1" s="12">
      <c r="A1129" s="14" t="inlineStr">
        <is>
          <t>Muzaffargarh</t>
        </is>
      </c>
      <c r="B1129" s="14" t="inlineStr">
        <is>
          <t>Punjab</t>
        </is>
      </c>
      <c r="C1129" s="14" t="n">
        <v>2020</v>
      </c>
      <c r="D1129" s="15" t="n">
        <v>114.222406531544</v>
      </c>
      <c r="E1129" s="15" t="n">
        <v>8197.137409910771</v>
      </c>
      <c r="F1129" s="15" t="n">
        <v>195.925571333792</v>
      </c>
      <c r="G1129" s="15" t="n">
        <v>82.0071277737607</v>
      </c>
      <c r="H1129" s="15" t="n">
        <v>24.7740989120907</v>
      </c>
      <c r="I1129" s="16" t="n">
        <v>21.689351209081</v>
      </c>
      <c r="J1129" s="15" t="n">
        <v>21.3843169398907</v>
      </c>
      <c r="K1129" s="15" t="n">
        <v>7696.68137167853</v>
      </c>
      <c r="L1129" s="15" t="n">
        <v>145.046729514695</v>
      </c>
      <c r="M1129" s="15" t="n">
        <v>-30.8243229831516</v>
      </c>
      <c r="N1129" s="17" t="n">
        <v>99.65296639102949</v>
      </c>
      <c r="O1129" s="18" t="n">
        <v>1.29475239494417</v>
      </c>
    </row>
    <row r="1130" ht="15" customHeight="1" s="12">
      <c r="A1130" s="14" t="inlineStr">
        <is>
          <t>Muzaffargarh</t>
        </is>
      </c>
      <c r="B1130" s="14" t="inlineStr">
        <is>
          <t>Punjab</t>
        </is>
      </c>
      <c r="C1130" s="14" t="n">
        <v>2021</v>
      </c>
      <c r="D1130" s="15" t="n">
        <v>92.9380864589674</v>
      </c>
      <c r="E1130" s="15" t="n">
        <v>6669.67443999648</v>
      </c>
      <c r="F1130" s="15" t="n">
        <v>168.566201210022</v>
      </c>
      <c r="G1130" s="15" t="n">
        <v>49.1178252696991</v>
      </c>
      <c r="H1130" s="15" t="n">
        <v>30.3487041794983</v>
      </c>
      <c r="I1130" s="16" t="n">
        <v>32.6547547252303</v>
      </c>
      <c r="J1130" s="15" t="n">
        <v>13.3670491803279</v>
      </c>
      <c r="K1130" s="15" t="n">
        <v>7696.68137167853</v>
      </c>
      <c r="L1130" s="15" t="n">
        <v>145.046729514695</v>
      </c>
      <c r="M1130" s="15" t="n">
        <v>-52.1086430557277</v>
      </c>
      <c r="N1130" s="17" t="n">
        <v>72.80078615381591</v>
      </c>
      <c r="O1130" s="18" t="n">
        <v>0.9458724174512519</v>
      </c>
    </row>
    <row r="1131" ht="15" customHeight="1" s="12">
      <c r="A1131" s="14" t="inlineStr">
        <is>
          <t>Muzaffargarh</t>
        </is>
      </c>
      <c r="B1131" s="14" t="inlineStr">
        <is>
          <t>Punjab</t>
        </is>
      </c>
      <c r="C1131" s="14" t="n">
        <v>2022</v>
      </c>
      <c r="D1131" s="15" t="n">
        <v>254.082714893195</v>
      </c>
      <c r="E1131" s="15" t="n">
        <v>18234.1713040998</v>
      </c>
      <c r="F1131" s="15" t="n">
        <v>562.067029715516</v>
      </c>
      <c r="G1131" s="15" t="n">
        <v>179.8390920151</v>
      </c>
      <c r="H1131" s="15" t="n">
        <v>68.0063934774407</v>
      </c>
      <c r="I1131" s="16" t="n">
        <v>26.7654545119402</v>
      </c>
      <c r="J1131" s="15" t="n">
        <v>27.6264480874317</v>
      </c>
      <c r="K1131" s="15" t="n">
        <v>7696.68137167853</v>
      </c>
      <c r="L1131" s="15" t="n">
        <v>145.046729514695</v>
      </c>
      <c r="M1131" s="15" t="n">
        <v>109.035985378499</v>
      </c>
      <c r="N1131" s="17" t="n">
        <v>98.3248327852243</v>
      </c>
      <c r="O1131" s="18" t="n">
        <v>1.27749646941382</v>
      </c>
    </row>
    <row r="1132" ht="15" customHeight="1" s="12">
      <c r="A1132" s="14" t="inlineStr">
        <is>
          <t>Muzaffargarh</t>
        </is>
      </c>
      <c r="B1132" s="14" t="inlineStr">
        <is>
          <t>Punjab</t>
        </is>
      </c>
      <c r="C1132" s="14" t="n">
        <v>2023</v>
      </c>
      <c r="D1132" s="15" t="n">
        <v>136.344174111673</v>
      </c>
      <c r="E1132" s="15" t="n">
        <v>9784.69955389652</v>
      </c>
      <c r="F1132" s="15" t="n">
        <v>266.778427600861</v>
      </c>
      <c r="G1132" s="15" t="n">
        <v>109.266614437103</v>
      </c>
      <c r="H1132" s="15" t="n">
        <v>24.2788697622031</v>
      </c>
      <c r="I1132" s="16" t="n">
        <v>17.8070459705286</v>
      </c>
      <c r="J1132" s="15" t="n">
        <v>17.9545355191257</v>
      </c>
      <c r="K1132" s="15" t="n">
        <v>7696.68137167853</v>
      </c>
      <c r="L1132" s="15" t="n">
        <v>145.046729514695</v>
      </c>
      <c r="M1132" s="15" t="n">
        <v>-8.702555403022361</v>
      </c>
      <c r="N1132" s="17" t="n">
        <v>63.1768727808495</v>
      </c>
      <c r="O1132" s="18" t="n">
        <v>0.820832638509909</v>
      </c>
    </row>
    <row r="1133" ht="15" customHeight="1" s="12">
      <c r="A1133" s="14" t="inlineStr">
        <is>
          <t>Muzaffargarh</t>
        </is>
      </c>
      <c r="B1133" s="14" t="inlineStr">
        <is>
          <t>Punjab</t>
        </is>
      </c>
      <c r="C1133" s="14" t="n">
        <v>2024</v>
      </c>
      <c r="D1133" s="15" t="n">
        <v>203.870031199417</v>
      </c>
      <c r="E1133" s="15" t="n">
        <v>14630.6728272523</v>
      </c>
      <c r="F1133" s="15" t="n">
        <v>386.385071865794</v>
      </c>
      <c r="G1133" s="15" t="n">
        <v>151.537963183631</v>
      </c>
      <c r="H1133" s="15" t="n">
        <v>36.1719640196393</v>
      </c>
      <c r="I1133" s="16" t="n">
        <v>17.742658794346</v>
      </c>
      <c r="J1133" s="15" t="n">
        <v>28.5218579234973</v>
      </c>
      <c r="K1133" s="15" t="n">
        <v>7696.68137167853</v>
      </c>
      <c r="L1133" s="15" t="n">
        <v>145.046729514695</v>
      </c>
      <c r="M1133" s="15" t="n">
        <v>58.8233016847218</v>
      </c>
      <c r="N1133" s="17" t="n">
        <v>87.3244148597943</v>
      </c>
      <c r="O1133" s="18" t="n">
        <v>1.13457229996713</v>
      </c>
    </row>
    <row r="1134" ht="15" customHeight="1" s="12">
      <c r="A1134" s="14" t="inlineStr">
        <is>
          <t>Muzaffargarh</t>
        </is>
      </c>
      <c r="B1134" s="14" t="inlineStr">
        <is>
          <t>Punjab</t>
        </is>
      </c>
      <c r="C1134" s="14" t="n">
        <v>2025</v>
      </c>
      <c r="D1134" s="15" t="n">
        <v>143.882640755361</v>
      </c>
      <c r="E1134" s="15" t="n">
        <v>10325.6953953847</v>
      </c>
      <c r="F1134" s="15" t="n">
        <v>216.989007087192</v>
      </c>
      <c r="G1134" s="15" t="n">
        <v>94.96216770916359</v>
      </c>
      <c r="H1134" s="15" t="n">
        <v>27.9844608102613</v>
      </c>
      <c r="I1134" s="16" t="n">
        <v>19.4495045846721</v>
      </c>
      <c r="J1134" s="15" t="n">
        <v>18.3631147540984</v>
      </c>
      <c r="K1134" s="15" t="n">
        <v>7696.68137167853</v>
      </c>
      <c r="L1134" s="15" t="n">
        <v>145.046729514695</v>
      </c>
      <c r="M1134" s="15" t="n">
        <v>-1.16408875933394</v>
      </c>
      <c r="N1134" s="17" t="n">
        <v>59.5987176542426</v>
      </c>
      <c r="O1134" s="18" t="n">
        <v>0.77434305483332</v>
      </c>
    </row>
    <row r="1135" ht="15" customHeight="1" s="12">
      <c r="A1135" s="14" t="inlineStr">
        <is>
          <t>Nagar</t>
        </is>
      </c>
      <c r="B1135" s="14" t="inlineStr">
        <is>
          <t>Gilgit Baltistan</t>
        </is>
      </c>
      <c r="C1135" s="14" t="n">
        <v>2015</v>
      </c>
      <c r="D1135" s="15" t="n">
        <v>144.042171575858</v>
      </c>
      <c r="E1135" s="15" t="n">
        <v>4361.37100681255</v>
      </c>
      <c r="F1135" s="15" t="n">
        <v>502.699432134628</v>
      </c>
      <c r="G1135" s="15" t="n">
        <v>17.5938587486744</v>
      </c>
      <c r="H1135" s="15" t="n">
        <v>105.924562069404</v>
      </c>
      <c r="I1135" s="16" t="n">
        <v>73.5371876934112</v>
      </c>
      <c r="J1135" s="15" t="n">
        <v>11.5202693951561</v>
      </c>
      <c r="K1135" s="15" t="n">
        <v>3021.51581780101</v>
      </c>
      <c r="L1135" s="15" t="n">
        <v>124.870743416384</v>
      </c>
      <c r="M1135" s="15" t="n">
        <v>19.1714281594741</v>
      </c>
      <c r="N1135" s="17" t="n">
        <v>1.38329749721512</v>
      </c>
      <c r="O1135" s="18" t="n">
        <v>0.0457815739062341</v>
      </c>
    </row>
    <row r="1136" ht="15" customHeight="1" s="12">
      <c r="A1136" s="14" t="inlineStr">
        <is>
          <t>Nagar</t>
        </is>
      </c>
      <c r="B1136" s="14" t="inlineStr">
        <is>
          <t>Gilgit Baltistan</t>
        </is>
      </c>
      <c r="C1136" s="14" t="n">
        <v>2016</v>
      </c>
      <c r="D1136" s="15" t="n">
        <v>117.401039960768</v>
      </c>
      <c r="E1136" s="15" t="n">
        <v>3554.71933151799</v>
      </c>
      <c r="F1136" s="15" t="n">
        <v>403.016078948975</v>
      </c>
      <c r="G1136" s="15" t="n">
        <v>9.305911958217621</v>
      </c>
      <c r="H1136" s="15" t="n">
        <v>85.4225499717046</v>
      </c>
      <c r="I1136" s="16" t="n">
        <v>72.761323068561</v>
      </c>
      <c r="J1136" s="15" t="n">
        <v>19.2682295039503</v>
      </c>
      <c r="K1136" s="15" t="n">
        <v>3021.51581780101</v>
      </c>
      <c r="L1136" s="15" t="n">
        <v>124.870743416384</v>
      </c>
      <c r="M1136" s="15" t="n">
        <v>-7.46970345561635</v>
      </c>
      <c r="N1136" s="17" t="n">
        <v>1.57222491944987</v>
      </c>
      <c r="O1136" s="18" t="n">
        <v>0.0520343104009994</v>
      </c>
    </row>
    <row r="1137" ht="15" customHeight="1" s="12">
      <c r="A1137" s="14" t="inlineStr">
        <is>
          <t>Nagar</t>
        </is>
      </c>
      <c r="B1137" s="14" t="inlineStr">
        <is>
          <t>Gilgit Baltistan</t>
        </is>
      </c>
      <c r="C1137" s="14" t="n">
        <v>2017</v>
      </c>
      <c r="D1137" s="15" t="n">
        <v>120.425530973949</v>
      </c>
      <c r="E1137" s="15" t="n">
        <v>3646.29617509748</v>
      </c>
      <c r="F1137" s="15" t="n">
        <v>412.082487046719</v>
      </c>
      <c r="G1137" s="15" t="n">
        <v>11.8297621011734</v>
      </c>
      <c r="H1137" s="15" t="n">
        <v>86.9678643962044</v>
      </c>
      <c r="I1137" s="16" t="n">
        <v>72.2171317766644</v>
      </c>
      <c r="J1137" s="15" t="n">
        <v>19.3114881492035</v>
      </c>
      <c r="K1137" s="15" t="n">
        <v>3021.51581780101</v>
      </c>
      <c r="L1137" s="15" t="n">
        <v>124.870743416384</v>
      </c>
      <c r="M1137" s="15" t="n">
        <v>-4.44521244243535</v>
      </c>
      <c r="N1137" s="17" t="n">
        <v>0.87458087869514</v>
      </c>
      <c r="O1137" s="18" t="n">
        <v>0.0289451034326089</v>
      </c>
    </row>
    <row r="1138" ht="15" customHeight="1" s="12">
      <c r="A1138" s="14" t="inlineStr">
        <is>
          <t>Nagar</t>
        </is>
      </c>
      <c r="B1138" s="14" t="inlineStr">
        <is>
          <t>Gilgit Baltistan</t>
        </is>
      </c>
      <c r="C1138" s="14" t="n">
        <v>2018</v>
      </c>
      <c r="D1138" s="15" t="n">
        <v>108.718371211465</v>
      </c>
      <c r="E1138" s="15" t="n">
        <v>3291.82174166166</v>
      </c>
      <c r="F1138" s="15" t="n">
        <v>377.409059047699</v>
      </c>
      <c r="G1138" s="15" t="n">
        <v>7.01793040987104</v>
      </c>
      <c r="H1138" s="15" t="n">
        <v>81.3201902435525</v>
      </c>
      <c r="I1138" s="16" t="n">
        <v>74.7989409125516</v>
      </c>
      <c r="J1138" s="15" t="n">
        <v>19.7453697707551</v>
      </c>
      <c r="K1138" s="15" t="n">
        <v>3021.51581780101</v>
      </c>
      <c r="L1138" s="15" t="n">
        <v>124.870743416384</v>
      </c>
      <c r="M1138" s="15" t="n">
        <v>-16.1523722049187</v>
      </c>
      <c r="N1138" s="17" t="n">
        <v>1.25181711532294</v>
      </c>
      <c r="O1138" s="18" t="n">
        <v>0.0414301029949259</v>
      </c>
    </row>
    <row r="1139" ht="15" customHeight="1" s="12">
      <c r="A1139" s="14" t="inlineStr">
        <is>
          <t>Nagar</t>
        </is>
      </c>
      <c r="B1139" s="14" t="inlineStr">
        <is>
          <t>Gilgit Baltistan</t>
        </is>
      </c>
      <c r="C1139" s="14" t="n">
        <v>2019</v>
      </c>
      <c r="D1139" s="15" t="n">
        <v>144.73132192852</v>
      </c>
      <c r="E1139" s="15" t="n">
        <v>4382.237398471</v>
      </c>
      <c r="F1139" s="15" t="n">
        <v>504.069180607796</v>
      </c>
      <c r="G1139" s="15" t="n">
        <v>19.2456879466772</v>
      </c>
      <c r="H1139" s="15" t="n">
        <v>106.712888800962</v>
      </c>
      <c r="I1139" s="16" t="n">
        <v>73.7317170734232</v>
      </c>
      <c r="J1139" s="15" t="n">
        <v>19.2735396969305</v>
      </c>
      <c r="K1139" s="15" t="n">
        <v>3021.51581780101</v>
      </c>
      <c r="L1139" s="15" t="n">
        <v>124.870743416384</v>
      </c>
      <c r="M1139" s="15" t="n">
        <v>19.8605785121361</v>
      </c>
      <c r="N1139" s="17" t="n">
        <v>1.26460323491737</v>
      </c>
      <c r="O1139" s="18" t="n">
        <v>0.0418532720387254</v>
      </c>
    </row>
    <row r="1140" ht="15" customHeight="1" s="12">
      <c r="A1140" s="14" t="inlineStr">
        <is>
          <t>Nagar</t>
        </is>
      </c>
      <c r="B1140" s="14" t="inlineStr">
        <is>
          <t>Gilgit Baltistan</t>
        </is>
      </c>
      <c r="C1140" s="14" t="n">
        <v>2020</v>
      </c>
      <c r="D1140" s="15" t="n">
        <v>123.333847438719</v>
      </c>
      <c r="E1140" s="15" t="n">
        <v>3734.35543558568</v>
      </c>
      <c r="F1140" s="15" t="n">
        <v>391.408726871014</v>
      </c>
      <c r="G1140" s="15" t="n">
        <v>12.7656171184499</v>
      </c>
      <c r="H1140" s="15" t="n">
        <v>85.5692927125415</v>
      </c>
      <c r="I1140" s="16" t="n">
        <v>69.3802183987316</v>
      </c>
      <c r="J1140" s="15" t="n">
        <v>23.0594482579977</v>
      </c>
      <c r="K1140" s="15" t="n">
        <v>3021.51581780101</v>
      </c>
      <c r="L1140" s="15" t="n">
        <v>124.870743416384</v>
      </c>
      <c r="M1140" s="15" t="n">
        <v>-1.5368959776653</v>
      </c>
      <c r="N1140" s="17" t="n">
        <v>1.20258063873746</v>
      </c>
      <c r="O1140" s="18" t="n">
        <v>0.0398005739917876</v>
      </c>
    </row>
    <row r="1141" ht="15" customHeight="1" s="12">
      <c r="A1141" s="14" t="inlineStr">
        <is>
          <t>Nagar</t>
        </is>
      </c>
      <c r="B1141" s="14" t="inlineStr">
        <is>
          <t>Gilgit Baltistan</t>
        </is>
      </c>
      <c r="C1141" s="14" t="n">
        <v>2021</v>
      </c>
      <c r="D1141" s="15" t="n">
        <v>120.09193326122</v>
      </c>
      <c r="E1141" s="15" t="n">
        <v>3636.19535964657</v>
      </c>
      <c r="F1141" s="15" t="n">
        <v>431.240366876125</v>
      </c>
      <c r="G1141" s="15" t="n">
        <v>8.21892601251602</v>
      </c>
      <c r="H1141" s="15" t="n">
        <v>91.6774107246534</v>
      </c>
      <c r="I1141" s="16" t="n">
        <v>76.33935788612889</v>
      </c>
      <c r="J1141" s="15" t="n">
        <v>16.4274057764538</v>
      </c>
      <c r="K1141" s="15" t="n">
        <v>3021.51581780101</v>
      </c>
      <c r="L1141" s="15" t="n">
        <v>124.870743416384</v>
      </c>
      <c r="M1141" s="15" t="n">
        <v>-4.77881015516454</v>
      </c>
      <c r="N1141" s="17" t="n">
        <v>1.26692650479545</v>
      </c>
      <c r="O1141" s="18" t="n">
        <v>0.0419301629113261</v>
      </c>
    </row>
    <row r="1142" ht="15" customHeight="1" s="12">
      <c r="A1142" s="14" t="inlineStr">
        <is>
          <t>Nagar</t>
        </is>
      </c>
      <c r="B1142" s="14" t="inlineStr">
        <is>
          <t>Gilgit Baltistan</t>
        </is>
      </c>
      <c r="C1142" s="14" t="n">
        <v>2022</v>
      </c>
      <c r="D1142" s="15" t="n">
        <v>121.372834901872</v>
      </c>
      <c r="E1142" s="15" t="n">
        <v>3674.97905206804</v>
      </c>
      <c r="F1142" s="15" t="n">
        <v>425.888156533241</v>
      </c>
      <c r="G1142" s="15" t="n">
        <v>11.8592554926872</v>
      </c>
      <c r="H1142" s="15" t="n">
        <v>91.47346662036379</v>
      </c>
      <c r="I1142" s="16" t="n">
        <v>75.36568351091</v>
      </c>
      <c r="J1142" s="15" t="n">
        <v>20.0588006734879</v>
      </c>
      <c r="K1142" s="15" t="n">
        <v>3021.51581780101</v>
      </c>
      <c r="L1142" s="15" t="n">
        <v>124.870743416384</v>
      </c>
      <c r="M1142" s="15" t="n">
        <v>-3.49790851451253</v>
      </c>
      <c r="N1142" s="17" t="n">
        <v>1.16630534137203</v>
      </c>
      <c r="O1142" s="18" t="n">
        <v>0.0386000078007481</v>
      </c>
    </row>
    <row r="1143" ht="15" customHeight="1" s="12">
      <c r="A1143" s="14" t="inlineStr">
        <is>
          <t>Nagar</t>
        </is>
      </c>
      <c r="B1143" s="14" t="inlineStr">
        <is>
          <t>Gilgit Baltistan</t>
        </is>
      </c>
      <c r="C1143" s="14" t="n">
        <v>2023</v>
      </c>
      <c r="D1143" s="15" t="n">
        <v>121.537258954165</v>
      </c>
      <c r="E1143" s="15" t="n">
        <v>3679.95755445139</v>
      </c>
      <c r="F1143" s="15" t="n">
        <v>436.32494699955</v>
      </c>
      <c r="G1143" s="15" t="n">
        <v>11.2087164521217</v>
      </c>
      <c r="H1143" s="15" t="n">
        <v>92.7783336180679</v>
      </c>
      <c r="I1143" s="16" t="n">
        <v>76.337358943612</v>
      </c>
      <c r="J1143" s="15" t="n">
        <v>20.9251392306696</v>
      </c>
      <c r="K1143" s="15" t="n">
        <v>3021.51581780101</v>
      </c>
      <c r="L1143" s="15" t="n">
        <v>124.870743416384</v>
      </c>
      <c r="M1143" s="15" t="n">
        <v>-3.33348446221949</v>
      </c>
      <c r="N1143" s="17" t="n">
        <v>1.10207388204059</v>
      </c>
      <c r="O1143" s="18" t="n">
        <v>0.0364742052829182</v>
      </c>
    </row>
    <row r="1144" ht="15" customHeight="1" s="12">
      <c r="A1144" s="14" t="inlineStr">
        <is>
          <t>Nagar</t>
        </is>
      </c>
      <c r="B1144" s="14" t="inlineStr">
        <is>
          <t>Gilgit Baltistan</t>
        </is>
      </c>
      <c r="C1144" s="14" t="n">
        <v>2024</v>
      </c>
      <c r="D1144" s="15" t="n">
        <v>119.540420464731</v>
      </c>
      <c r="E1144" s="15" t="n">
        <v>3619.496417287</v>
      </c>
      <c r="F1144" s="15" t="n">
        <v>408.055366128683</v>
      </c>
      <c r="G1144" s="15" t="n">
        <v>13.3787736799568</v>
      </c>
      <c r="H1144" s="15" t="n">
        <v>87.2039836966683</v>
      </c>
      <c r="I1144" s="16" t="n">
        <v>72.9493700604785</v>
      </c>
      <c r="J1144" s="15" t="n">
        <v>19.3325994042223</v>
      </c>
      <c r="K1144" s="15" t="n">
        <v>3021.51581780101</v>
      </c>
      <c r="L1144" s="15" t="n">
        <v>124.870743416384</v>
      </c>
      <c r="M1144" s="15" t="n">
        <v>-5.33032295165354</v>
      </c>
      <c r="N1144" s="17" t="n">
        <v>0.921375063325768</v>
      </c>
      <c r="O1144" s="18" t="n">
        <v>0.0304938024119405</v>
      </c>
    </row>
    <row r="1145" ht="15" customHeight="1" s="12">
      <c r="A1145" s="14" t="inlineStr">
        <is>
          <t>Nagar</t>
        </is>
      </c>
      <c r="B1145" s="14" t="inlineStr">
        <is>
          <t>Gilgit Baltistan</t>
        </is>
      </c>
      <c r="C1145" s="14" t="n">
        <v>2025</v>
      </c>
      <c r="D1145" s="15" t="n">
        <v>132.38344690896</v>
      </c>
      <c r="E1145" s="15" t="n">
        <v>4008.36311209443</v>
      </c>
      <c r="F1145" s="15" t="n">
        <v>517.291077164118</v>
      </c>
      <c r="G1145" s="15" t="n">
        <v>13.1270848361601</v>
      </c>
      <c r="H1145" s="15" t="n">
        <v>112.743934343435</v>
      </c>
      <c r="I1145" s="16" t="n">
        <v>85.164676533139</v>
      </c>
      <c r="J1145" s="15" t="n">
        <v>12.6619608858956</v>
      </c>
      <c r="K1145" s="15" t="n">
        <v>3021.51581780101</v>
      </c>
      <c r="L1145" s="15" t="n">
        <v>124.870743416384</v>
      </c>
      <c r="M1145" s="15" t="n">
        <v>7.5127034925757</v>
      </c>
      <c r="N1145" s="17" t="n">
        <v>1.05582103173014</v>
      </c>
      <c r="O1145" s="18" t="n">
        <v>0.0349434222885698</v>
      </c>
    </row>
    <row r="1146" ht="15" customHeight="1" s="12">
      <c r="A1146" s="14" t="inlineStr">
        <is>
          <t>Nankana Sahib</t>
        </is>
      </c>
      <c r="B1146" s="14" t="inlineStr">
        <is>
          <t>Punjab</t>
        </is>
      </c>
      <c r="C1146" s="14" t="n">
        <v>2015</v>
      </c>
      <c r="D1146" s="15" t="n">
        <v>337.04762148711</v>
      </c>
      <c r="E1146" s="15" t="n">
        <v>7009.26877155351</v>
      </c>
      <c r="F1146" s="15" t="n">
        <v>428.798598647118</v>
      </c>
      <c r="G1146" s="15" t="n">
        <v>230.742073714733</v>
      </c>
      <c r="H1146" s="15" t="n">
        <v>52.4049295159018</v>
      </c>
      <c r="I1146" s="16" t="n">
        <v>15.5482270679385</v>
      </c>
      <c r="J1146" s="15" t="n">
        <v>29.8025645860834</v>
      </c>
      <c r="K1146" s="15" t="n">
        <v>2196.44946417653</v>
      </c>
      <c r="L1146" s="15" t="n">
        <v>416.578818403724</v>
      </c>
      <c r="M1146" s="15" t="n">
        <v>-79.53119691661431</v>
      </c>
      <c r="N1146" s="17" t="n">
        <v>15.1981003025655</v>
      </c>
      <c r="O1146" s="18" t="n">
        <v>0.691939448206857</v>
      </c>
    </row>
    <row r="1147" ht="15" customHeight="1" s="12">
      <c r="A1147" s="14" t="inlineStr">
        <is>
          <t>Nankana Sahib</t>
        </is>
      </c>
      <c r="B1147" s="14" t="inlineStr">
        <is>
          <t>Punjab</t>
        </is>
      </c>
      <c r="C1147" s="14" t="n">
        <v>2016</v>
      </c>
      <c r="D1147" s="15" t="n">
        <v>342.650176574919</v>
      </c>
      <c r="E1147" s="15" t="n">
        <v>7125.77994657568</v>
      </c>
      <c r="F1147" s="15" t="n">
        <v>429.449865579605</v>
      </c>
      <c r="G1147" s="15" t="n">
        <v>231.741779088974</v>
      </c>
      <c r="H1147" s="15" t="n">
        <v>45.0770925186124</v>
      </c>
      <c r="I1147" s="16" t="n">
        <v>13.1554266129953</v>
      </c>
      <c r="J1147" s="15" t="n">
        <v>24.7563643220819</v>
      </c>
      <c r="K1147" s="15" t="n">
        <v>2196.44946417653</v>
      </c>
      <c r="L1147" s="15" t="n">
        <v>416.578818403724</v>
      </c>
      <c r="M1147" s="15" t="n">
        <v>-73.9286418288049</v>
      </c>
      <c r="N1147" s="17" t="n">
        <v>19.600178485874</v>
      </c>
      <c r="O1147" s="18" t="n">
        <v>0.892357361530388</v>
      </c>
    </row>
    <row r="1148" ht="15" customHeight="1" s="12">
      <c r="A1148" s="14" t="inlineStr">
        <is>
          <t>Nankana Sahib</t>
        </is>
      </c>
      <c r="B1148" s="14" t="inlineStr">
        <is>
          <t>Punjab</t>
        </is>
      </c>
      <c r="C1148" s="14" t="n">
        <v>2017</v>
      </c>
      <c r="D1148" s="15" t="n">
        <v>307.585580162321</v>
      </c>
      <c r="E1148" s="15" t="n">
        <v>6396.57384941485</v>
      </c>
      <c r="F1148" s="15" t="n">
        <v>388.933660149574</v>
      </c>
      <c r="G1148" s="15" t="n">
        <v>238.278055012226</v>
      </c>
      <c r="H1148" s="15" t="n">
        <v>42.4515592422858</v>
      </c>
      <c r="I1148" s="16" t="n">
        <v>13.8015440190282</v>
      </c>
      <c r="J1148" s="15" t="n">
        <v>24.3620592117669</v>
      </c>
      <c r="K1148" s="15" t="n">
        <v>2196.44946417653</v>
      </c>
      <c r="L1148" s="15" t="n">
        <v>416.578818403724</v>
      </c>
      <c r="M1148" s="15" t="n">
        <v>-108.993238241404</v>
      </c>
      <c r="N1148" s="17" t="n">
        <v>12.8535988245802</v>
      </c>
      <c r="O1148" s="18" t="n">
        <v>0.585198932833135</v>
      </c>
    </row>
    <row r="1149" ht="15" customHeight="1" s="12">
      <c r="A1149" s="14" t="inlineStr">
        <is>
          <t>Nankana Sahib</t>
        </is>
      </c>
      <c r="B1149" s="14" t="inlineStr">
        <is>
          <t>Punjab</t>
        </is>
      </c>
      <c r="C1149" s="14" t="n">
        <v>2018</v>
      </c>
      <c r="D1149" s="15" t="n">
        <v>367.292632413521</v>
      </c>
      <c r="E1149" s="15" t="n">
        <v>7638.24639093687</v>
      </c>
      <c r="F1149" s="15" t="n">
        <v>457.73179268837</v>
      </c>
      <c r="G1149" s="15" t="n">
        <v>253.882193952799</v>
      </c>
      <c r="H1149" s="15" t="n">
        <v>51.6032786454273</v>
      </c>
      <c r="I1149" s="16" t="n">
        <v>14.0496362005239</v>
      </c>
      <c r="J1149" s="15" t="n">
        <v>23.2924759570055</v>
      </c>
      <c r="K1149" s="15" t="n">
        <v>2196.44946417653</v>
      </c>
      <c r="L1149" s="15" t="n">
        <v>416.578818403724</v>
      </c>
      <c r="M1149" s="15" t="n">
        <v>-49.2861859902035</v>
      </c>
      <c r="N1149" s="17" t="n">
        <v>15.2006266666757</v>
      </c>
      <c r="O1149" s="18" t="n">
        <v>0.692054468568189</v>
      </c>
    </row>
    <row r="1150" ht="15" customHeight="1" s="12">
      <c r="A1150" s="14" t="inlineStr">
        <is>
          <t>Nankana Sahib</t>
        </is>
      </c>
      <c r="B1150" s="14" t="inlineStr">
        <is>
          <t>Punjab</t>
        </is>
      </c>
      <c r="C1150" s="14" t="n">
        <v>2019</v>
      </c>
      <c r="D1150" s="15" t="n">
        <v>330.041984078265</v>
      </c>
      <c r="E1150" s="15" t="n">
        <v>6863.5789865374</v>
      </c>
      <c r="F1150" s="15" t="n">
        <v>407.556012630463</v>
      </c>
      <c r="G1150" s="15" t="n">
        <v>240.91358730197</v>
      </c>
      <c r="H1150" s="15" t="n">
        <v>43.0077624144637</v>
      </c>
      <c r="I1150" s="16" t="n">
        <v>13.0309974152455</v>
      </c>
      <c r="J1150" s="15" t="n">
        <v>23.5623232132755</v>
      </c>
      <c r="K1150" s="15" t="n">
        <v>2196.44946417653</v>
      </c>
      <c r="L1150" s="15" t="n">
        <v>416.578818403724</v>
      </c>
      <c r="M1150" s="15" t="n">
        <v>-86.53683432545979</v>
      </c>
      <c r="N1150" s="17" t="n">
        <v>9.816727187718509</v>
      </c>
      <c r="O1150" s="18" t="n">
        <v>0.446936173484825</v>
      </c>
    </row>
    <row r="1151" ht="15" customHeight="1" s="12">
      <c r="A1151" s="14" t="inlineStr">
        <is>
          <t>Nankana Sahib</t>
        </is>
      </c>
      <c r="B1151" s="14" t="inlineStr">
        <is>
          <t>Punjab</t>
        </is>
      </c>
      <c r="C1151" s="14" t="n">
        <v>2020</v>
      </c>
      <c r="D1151" s="15" t="n">
        <v>467.4518968026</v>
      </c>
      <c r="E1151" s="15" t="n">
        <v>9721.166308800741</v>
      </c>
      <c r="F1151" s="15" t="n">
        <v>550.013038535079</v>
      </c>
      <c r="G1151" s="15" t="n">
        <v>355.268814207642</v>
      </c>
      <c r="H1151" s="15" t="n">
        <v>48.7212798696848</v>
      </c>
      <c r="I1151" s="16" t="n">
        <v>10.4227365859335</v>
      </c>
      <c r="J1151" s="15" t="n">
        <v>26.7322270412974</v>
      </c>
      <c r="K1151" s="15" t="n">
        <v>2196.44946417653</v>
      </c>
      <c r="L1151" s="15" t="n">
        <v>416.578818403724</v>
      </c>
      <c r="M1151" s="15" t="n">
        <v>50.8730783988756</v>
      </c>
      <c r="N1151" s="17" t="n">
        <v>17.6653986433856</v>
      </c>
      <c r="O1151" s="18" t="n">
        <v>0.804270661879697</v>
      </c>
    </row>
    <row r="1152" ht="15" customHeight="1" s="12">
      <c r="A1152" s="14" t="inlineStr">
        <is>
          <t>Nankana Sahib</t>
        </is>
      </c>
      <c r="B1152" s="14" t="inlineStr">
        <is>
          <t>Punjab</t>
        </is>
      </c>
      <c r="C1152" s="14" t="n">
        <v>2021</v>
      </c>
      <c r="D1152" s="15" t="n">
        <v>440.79525682415</v>
      </c>
      <c r="E1152" s="15" t="n">
        <v>9166.812733092031</v>
      </c>
      <c r="F1152" s="15" t="n">
        <v>557.2867960929869</v>
      </c>
      <c r="G1152" s="15" t="n">
        <v>295.416966080666</v>
      </c>
      <c r="H1152" s="15" t="n">
        <v>69.3261474561366</v>
      </c>
      <c r="I1152" s="16" t="n">
        <v>15.7275166605963</v>
      </c>
      <c r="J1152" s="15" t="n">
        <v>19.9109937771073</v>
      </c>
      <c r="K1152" s="15" t="n">
        <v>2196.44946417653</v>
      </c>
      <c r="L1152" s="15" t="n">
        <v>416.578818403724</v>
      </c>
      <c r="M1152" s="15" t="n">
        <v>24.2164384204257</v>
      </c>
      <c r="N1152" s="17" t="n">
        <v>16.5628164014042</v>
      </c>
      <c r="O1152" s="18" t="n">
        <v>0.754072273072477</v>
      </c>
    </row>
    <row r="1153" ht="15" customHeight="1" s="12">
      <c r="A1153" s="14" t="inlineStr">
        <is>
          <t>Nankana Sahib</t>
        </is>
      </c>
      <c r="B1153" s="14" t="inlineStr">
        <is>
          <t>Punjab</t>
        </is>
      </c>
      <c r="C1153" s="14" t="n">
        <v>2022</v>
      </c>
      <c r="D1153" s="15" t="n">
        <v>443.097326279403</v>
      </c>
      <c r="E1153" s="15" t="n">
        <v>9214.68675003793</v>
      </c>
      <c r="F1153" s="15" t="n">
        <v>535.600126794342</v>
      </c>
      <c r="G1153" s="15" t="n">
        <v>309.199917416787</v>
      </c>
      <c r="H1153" s="15" t="n">
        <v>60.3423796889985</v>
      </c>
      <c r="I1153" s="16" t="n">
        <v>13.6183127521172</v>
      </c>
      <c r="J1153" s="15" t="n">
        <v>27.398830850462</v>
      </c>
      <c r="K1153" s="15" t="n">
        <v>2196.44946417653</v>
      </c>
      <c r="L1153" s="15" t="n">
        <v>416.578818403724</v>
      </c>
      <c r="M1153" s="15" t="n">
        <v>26.5185078756785</v>
      </c>
      <c r="N1153" s="17" t="n">
        <v>18.4837825800646</v>
      </c>
      <c r="O1153" s="18" t="n">
        <v>0.841530063929532</v>
      </c>
    </row>
    <row r="1154" ht="15" customHeight="1" s="12">
      <c r="A1154" s="14" t="inlineStr">
        <is>
          <t>Nankana Sahib</t>
        </is>
      </c>
      <c r="B1154" s="14" t="inlineStr">
        <is>
          <t>Punjab</t>
        </is>
      </c>
      <c r="C1154" s="14" t="n">
        <v>2023</v>
      </c>
      <c r="D1154" s="15" t="n">
        <v>458.854177762894</v>
      </c>
      <c r="E1154" s="15" t="n">
        <v>9542.36746932011</v>
      </c>
      <c r="F1154" s="15" t="n">
        <v>580.927390098572</v>
      </c>
      <c r="G1154" s="15" t="n">
        <v>318.123087763786</v>
      </c>
      <c r="H1154" s="15" t="n">
        <v>67.46390339756969</v>
      </c>
      <c r="I1154" s="16" t="n">
        <v>14.7026891476687</v>
      </c>
      <c r="J1154" s="15" t="n">
        <v>25.0697718272676</v>
      </c>
      <c r="K1154" s="15" t="n">
        <v>2196.44946417653</v>
      </c>
      <c r="L1154" s="15" t="n">
        <v>416.578818403724</v>
      </c>
      <c r="M1154" s="15" t="n">
        <v>42.2753593591701</v>
      </c>
      <c r="N1154" s="17" t="n">
        <v>19.48746472476</v>
      </c>
      <c r="O1154" s="18" t="n">
        <v>0.887225726910412</v>
      </c>
    </row>
    <row r="1155" ht="15" customHeight="1" s="12">
      <c r="A1155" s="14" t="inlineStr">
        <is>
          <t>Nankana Sahib</t>
        </is>
      </c>
      <c r="B1155" s="14" t="inlineStr">
        <is>
          <t>Punjab</t>
        </is>
      </c>
      <c r="C1155" s="14" t="n">
        <v>2024</v>
      </c>
      <c r="D1155" s="15" t="n">
        <v>450.894366750485</v>
      </c>
      <c r="E1155" s="15" t="n">
        <v>9376.83461520715</v>
      </c>
      <c r="F1155" s="15" t="n">
        <v>521.703541256487</v>
      </c>
      <c r="G1155" s="15" t="n">
        <v>333.473349571228</v>
      </c>
      <c r="H1155" s="15" t="n">
        <v>41.7297068576194</v>
      </c>
      <c r="I1155" s="16" t="n">
        <v>9.25487429757837</v>
      </c>
      <c r="J1155" s="15" t="n">
        <v>37.8889307938902</v>
      </c>
      <c r="K1155" s="15" t="n">
        <v>2196.44946417653</v>
      </c>
      <c r="L1155" s="15" t="n">
        <v>416.578818403724</v>
      </c>
      <c r="M1155" s="15" t="n">
        <v>34.3155483467611</v>
      </c>
      <c r="N1155" s="17" t="n">
        <v>15.7155594784641</v>
      </c>
      <c r="O1155" s="18" t="n">
        <v>0.715498341062721</v>
      </c>
    </row>
    <row r="1156" ht="15" customHeight="1" s="12">
      <c r="A1156" s="14" t="inlineStr">
        <is>
          <t>Nankana Sahib</t>
        </is>
      </c>
      <c r="B1156" s="14" t="inlineStr">
        <is>
          <t>Punjab</t>
        </is>
      </c>
      <c r="C1156" s="14" t="n">
        <v>2025</v>
      </c>
      <c r="D1156" s="15" t="n">
        <v>636.6559833053</v>
      </c>
      <c r="E1156" s="15" t="n">
        <v>13239.9477626196</v>
      </c>
      <c r="F1156" s="15" t="n">
        <v>745.815444937496</v>
      </c>
      <c r="G1156" s="15" t="n">
        <v>455.410181212325</v>
      </c>
      <c r="H1156" s="15" t="n">
        <v>78.5373750540039</v>
      </c>
      <c r="I1156" s="16" t="n">
        <v>12.3359203578461</v>
      </c>
      <c r="J1156" s="15" t="n">
        <v>32.0609089194795</v>
      </c>
      <c r="K1156" s="15" t="n">
        <v>2196.44946417653</v>
      </c>
      <c r="L1156" s="15" t="n">
        <v>416.578818403724</v>
      </c>
      <c r="M1156" s="15" t="n">
        <v>220.077164901575</v>
      </c>
      <c r="N1156" s="17" t="n">
        <v>30.7506658071346</v>
      </c>
      <c r="O1156" s="18" t="n">
        <v>1.40001699600511</v>
      </c>
    </row>
    <row r="1157" ht="15" customHeight="1" s="12">
      <c r="A1157" s="14" t="inlineStr">
        <is>
          <t>Narowal</t>
        </is>
      </c>
      <c r="B1157" s="14" t="inlineStr">
        <is>
          <t>Punjab</t>
        </is>
      </c>
      <c r="C1157" s="14" t="n">
        <v>2015</v>
      </c>
      <c r="D1157" s="15" t="n">
        <v>822.115475724402</v>
      </c>
      <c r="E1157" s="15" t="n">
        <v>18660.4093078151</v>
      </c>
      <c r="F1157" s="15" t="n">
        <v>1214.43740820885</v>
      </c>
      <c r="G1157" s="15" t="n">
        <v>511.021476984024</v>
      </c>
      <c r="H1157" s="15" t="n">
        <v>198.815229305569</v>
      </c>
      <c r="I1157" s="16" t="n">
        <v>24.1833702413136</v>
      </c>
      <c r="J1157" s="15" t="n">
        <v>35.7840359364202</v>
      </c>
      <c r="K1157" s="15" t="n">
        <v>2377.90965057828</v>
      </c>
      <c r="L1157" s="15" t="n">
        <v>888.829880794562</v>
      </c>
      <c r="M1157" s="15" t="n">
        <v>-66.7144050701605</v>
      </c>
      <c r="N1157" s="17" t="n">
        <v>5.30667654276194</v>
      </c>
      <c r="O1157" s="18" t="n">
        <v>0.223165608561765</v>
      </c>
    </row>
    <row r="1158" ht="15" customHeight="1" s="12">
      <c r="A1158" s="14" t="inlineStr">
        <is>
          <t>Narowal</t>
        </is>
      </c>
      <c r="B1158" s="14" t="inlineStr">
        <is>
          <t>Punjab</t>
        </is>
      </c>
      <c r="C1158" s="14" t="n">
        <v>2016</v>
      </c>
      <c r="D1158" s="15" t="n">
        <v>895.537425717003</v>
      </c>
      <c r="E1158" s="15" t="n">
        <v>20326.9436080393</v>
      </c>
      <c r="F1158" s="15" t="n">
        <v>1104.2396633625</v>
      </c>
      <c r="G1158" s="15" t="n">
        <v>653.4400916099549</v>
      </c>
      <c r="H1158" s="15" t="n">
        <v>128.739236446757</v>
      </c>
      <c r="I1158" s="16" t="n">
        <v>14.375640006746</v>
      </c>
      <c r="J1158" s="15" t="n">
        <v>35.5077747062889</v>
      </c>
      <c r="K1158" s="15" t="n">
        <v>2377.90965057828</v>
      </c>
      <c r="L1158" s="15" t="n">
        <v>888.829880794562</v>
      </c>
      <c r="M1158" s="15" t="n">
        <v>6.70754492244066</v>
      </c>
      <c r="N1158" s="17" t="n">
        <v>2.93568678167964</v>
      </c>
      <c r="O1158" s="18" t="n">
        <v>0.123456615812368</v>
      </c>
    </row>
    <row r="1159" ht="15" customHeight="1" s="12">
      <c r="A1159" s="14" t="inlineStr">
        <is>
          <t>Narowal</t>
        </is>
      </c>
      <c r="B1159" s="14" t="inlineStr">
        <is>
          <t>Punjab</t>
        </is>
      </c>
      <c r="C1159" s="14" t="n">
        <v>2017</v>
      </c>
      <c r="D1159" s="15" t="n">
        <v>702.819112317082</v>
      </c>
      <c r="E1159" s="15" t="n">
        <v>15952.6157729069</v>
      </c>
      <c r="F1159" s="15" t="n">
        <v>996.964823842049</v>
      </c>
      <c r="G1159" s="15" t="n">
        <v>504.227614402771</v>
      </c>
      <c r="H1159" s="15" t="n">
        <v>134.064494092876</v>
      </c>
      <c r="I1159" s="16" t="n">
        <v>19.0752487721751</v>
      </c>
      <c r="J1159" s="15" t="n">
        <v>35.2930200414651</v>
      </c>
      <c r="K1159" s="15" t="n">
        <v>2377.90965057828</v>
      </c>
      <c r="L1159" s="15" t="n">
        <v>888.829880794562</v>
      </c>
      <c r="M1159" s="15" t="n">
        <v>-186.010768477481</v>
      </c>
      <c r="N1159" s="17" t="n">
        <v>3.21400014306018</v>
      </c>
      <c r="O1159" s="18" t="n">
        <v>0.135160734230528</v>
      </c>
    </row>
    <row r="1160" ht="15" customHeight="1" s="12">
      <c r="A1160" s="14" t="inlineStr">
        <is>
          <t>Narowal</t>
        </is>
      </c>
      <c r="B1160" s="14" t="inlineStr">
        <is>
          <t>Punjab</t>
        </is>
      </c>
      <c r="C1160" s="14" t="n">
        <v>2018</v>
      </c>
      <c r="D1160" s="15" t="n">
        <v>867.429842935598</v>
      </c>
      <c r="E1160" s="15" t="n">
        <v>19688.9565918088</v>
      </c>
      <c r="F1160" s="15" t="n">
        <v>1235.6599047184</v>
      </c>
      <c r="G1160" s="15" t="n">
        <v>560.62642544508</v>
      </c>
      <c r="H1160" s="15" t="n">
        <v>199.08714265995</v>
      </c>
      <c r="I1160" s="16" t="n">
        <v>22.9513826716164</v>
      </c>
      <c r="J1160" s="15" t="n">
        <v>35.3875259156876</v>
      </c>
      <c r="K1160" s="15" t="n">
        <v>2377.90965057828</v>
      </c>
      <c r="L1160" s="15" t="n">
        <v>888.829880794562</v>
      </c>
      <c r="M1160" s="15" t="n">
        <v>-21.400037858964</v>
      </c>
      <c r="N1160" s="17" t="n">
        <v>4.05225810395484</v>
      </c>
      <c r="O1160" s="18" t="n">
        <v>0.170412618619441</v>
      </c>
    </row>
    <row r="1161" ht="15" customHeight="1" s="12">
      <c r="A1161" s="14" t="inlineStr">
        <is>
          <t>Narowal</t>
        </is>
      </c>
      <c r="B1161" s="14" t="inlineStr">
        <is>
          <t>Punjab</t>
        </is>
      </c>
      <c r="C1161" s="14" t="n">
        <v>2019</v>
      </c>
      <c r="D1161" s="15" t="n">
        <v>827.167110071404</v>
      </c>
      <c r="E1161" s="15" t="n">
        <v>18775.0715023266</v>
      </c>
      <c r="F1161" s="15" t="n">
        <v>1152.7672123909</v>
      </c>
      <c r="G1161" s="15" t="n">
        <v>515.0813972949981</v>
      </c>
      <c r="H1161" s="15" t="n">
        <v>194.341803242127</v>
      </c>
      <c r="I1161" s="16" t="n">
        <v>23.4948658953994</v>
      </c>
      <c r="J1161" s="15" t="n">
        <v>30.5625431928127</v>
      </c>
      <c r="K1161" s="15" t="n">
        <v>2377.90965057828</v>
      </c>
      <c r="L1161" s="15" t="n">
        <v>888.829880794562</v>
      </c>
      <c r="M1161" s="15" t="n">
        <v>-61.6627707231584</v>
      </c>
      <c r="N1161" s="17" t="n">
        <v>4.14915204255921</v>
      </c>
      <c r="O1161" s="18" t="n">
        <v>0.174487371357872</v>
      </c>
    </row>
    <row r="1162" ht="15" customHeight="1" s="12">
      <c r="A1162" s="14" t="inlineStr">
        <is>
          <t>Narowal</t>
        </is>
      </c>
      <c r="B1162" s="14" t="inlineStr">
        <is>
          <t>Punjab</t>
        </is>
      </c>
      <c r="C1162" s="14" t="n">
        <v>2020</v>
      </c>
      <c r="D1162" s="15" t="n">
        <v>834.9411157859651</v>
      </c>
      <c r="E1162" s="15" t="n">
        <v>18951.5261888987</v>
      </c>
      <c r="F1162" s="15" t="n">
        <v>1062.10793154832</v>
      </c>
      <c r="G1162" s="15" t="n">
        <v>648.364354780084</v>
      </c>
      <c r="H1162" s="15" t="n">
        <v>116.45909755297</v>
      </c>
      <c r="I1162" s="16" t="n">
        <v>13.9481809376871</v>
      </c>
      <c r="J1162" s="15" t="n">
        <v>35.6109191430546</v>
      </c>
      <c r="K1162" s="15" t="n">
        <v>2377.90965057828</v>
      </c>
      <c r="L1162" s="15" t="n">
        <v>888.829880794562</v>
      </c>
      <c r="M1162" s="15" t="n">
        <v>-53.8887650085975</v>
      </c>
      <c r="N1162" s="17" t="n">
        <v>3.71782366613864</v>
      </c>
      <c r="O1162" s="18" t="n">
        <v>0.156348398907188</v>
      </c>
    </row>
    <row r="1163" ht="15" customHeight="1" s="12">
      <c r="A1163" s="14" t="inlineStr">
        <is>
          <t>Narowal</t>
        </is>
      </c>
      <c r="B1163" s="14" t="inlineStr">
        <is>
          <t>Punjab</t>
        </is>
      </c>
      <c r="C1163" s="14" t="n">
        <v>2021</v>
      </c>
      <c r="D1163" s="15" t="n">
        <v>1080.08588078002</v>
      </c>
      <c r="E1163" s="15" t="n">
        <v>24515.831678254</v>
      </c>
      <c r="F1163" s="15" t="n">
        <v>1459.65077447891</v>
      </c>
      <c r="G1163" s="15" t="n">
        <v>764.195890426636</v>
      </c>
      <c r="H1163" s="15" t="n">
        <v>218.878854239315</v>
      </c>
      <c r="I1163" s="16" t="n">
        <v>20.2649491243459</v>
      </c>
      <c r="J1163" s="15" t="n">
        <v>26.2227021423635</v>
      </c>
      <c r="K1163" s="15" t="n">
        <v>2377.90965057828</v>
      </c>
      <c r="L1163" s="15" t="n">
        <v>888.829880794562</v>
      </c>
      <c r="M1163" s="15" t="n">
        <v>191.25599998546</v>
      </c>
      <c r="N1163" s="17" t="n">
        <v>5.54281339445895</v>
      </c>
      <c r="O1163" s="18" t="n">
        <v>0.233096046904516</v>
      </c>
    </row>
    <row r="1164" ht="15" customHeight="1" s="12">
      <c r="A1164" s="14" t="inlineStr">
        <is>
          <t>Narowal</t>
        </is>
      </c>
      <c r="B1164" s="14" t="inlineStr">
        <is>
          <t>Punjab</t>
        </is>
      </c>
      <c r="C1164" s="14" t="n">
        <v>2022</v>
      </c>
      <c r="D1164" s="15" t="n">
        <v>843.38449424191</v>
      </c>
      <c r="E1164" s="15" t="n">
        <v>19143.1743242046</v>
      </c>
      <c r="F1164" s="15" t="n">
        <v>1134.15417265892</v>
      </c>
      <c r="G1164" s="15" t="n">
        <v>564.419508844614</v>
      </c>
      <c r="H1164" s="15" t="n">
        <v>165.225656836539</v>
      </c>
      <c r="I1164" s="16" t="n">
        <v>19.5907866417504</v>
      </c>
      <c r="J1164" s="15" t="n">
        <v>38.9682100898411</v>
      </c>
      <c r="K1164" s="15" t="n">
        <v>2377.90965057828</v>
      </c>
      <c r="L1164" s="15" t="n">
        <v>888.829880794562</v>
      </c>
      <c r="M1164" s="15" t="n">
        <v>-45.4453865526522</v>
      </c>
      <c r="N1164" s="17" t="n">
        <v>4.81753640521456</v>
      </c>
      <c r="O1164" s="18" t="n">
        <v>0.202595435198431</v>
      </c>
    </row>
    <row r="1165" ht="15" customHeight="1" s="12">
      <c r="A1165" s="14" t="inlineStr">
        <is>
          <t>Narowal</t>
        </is>
      </c>
      <c r="B1165" s="14" t="inlineStr">
        <is>
          <t>Punjab</t>
        </is>
      </c>
      <c r="C1165" s="14" t="n">
        <v>2023</v>
      </c>
      <c r="D1165" s="15" t="n">
        <v>983.207771782246</v>
      </c>
      <c r="E1165" s="15" t="n">
        <v>22316.888561081</v>
      </c>
      <c r="F1165" s="15" t="n">
        <v>1426.50123643875</v>
      </c>
      <c r="G1165" s="15" t="n">
        <v>652.4513771533969</v>
      </c>
      <c r="H1165" s="15" t="n">
        <v>226.020823130963</v>
      </c>
      <c r="I1165" s="16" t="n">
        <v>22.9881037983719</v>
      </c>
      <c r="J1165" s="15" t="n">
        <v>29.8761230131306</v>
      </c>
      <c r="K1165" s="15" t="n">
        <v>2377.90965057828</v>
      </c>
      <c r="L1165" s="15" t="n">
        <v>888.829880794562</v>
      </c>
      <c r="M1165" s="15" t="n">
        <v>94.3778909876842</v>
      </c>
      <c r="N1165" s="17" t="n">
        <v>6.47226231368096</v>
      </c>
      <c r="O1165" s="18" t="n">
        <v>0.272182852368129</v>
      </c>
    </row>
    <row r="1166" ht="15" customHeight="1" s="12">
      <c r="A1166" s="14" t="inlineStr">
        <is>
          <t>Narowal</t>
        </is>
      </c>
      <c r="B1166" s="14" t="inlineStr">
        <is>
          <t>Punjab</t>
        </is>
      </c>
      <c r="C1166" s="14" t="n">
        <v>2024</v>
      </c>
      <c r="D1166" s="15" t="n">
        <v>818.292432657341</v>
      </c>
      <c r="E1166" s="15" t="n">
        <v>18573.6337263557</v>
      </c>
      <c r="F1166" s="15" t="n">
        <v>1104.72957829386</v>
      </c>
      <c r="G1166" s="15" t="n">
        <v>629.082414765842</v>
      </c>
      <c r="H1166" s="15" t="n">
        <v>137.524732101868</v>
      </c>
      <c r="I1166" s="16" t="n">
        <v>16.8063062315347</v>
      </c>
      <c r="J1166" s="15" t="n">
        <v>43.1670697995854</v>
      </c>
      <c r="K1166" s="15" t="n">
        <v>2377.90965057828</v>
      </c>
      <c r="L1166" s="15" t="n">
        <v>888.829880794562</v>
      </c>
      <c r="M1166" s="15" t="n">
        <v>-70.53744813722101</v>
      </c>
      <c r="N1166" s="17" t="n">
        <v>5.36027039002637</v>
      </c>
      <c r="O1166" s="18" t="n">
        <v>0.225419430411194</v>
      </c>
    </row>
    <row r="1167" ht="15" customHeight="1" s="12">
      <c r="A1167" s="14" t="inlineStr">
        <is>
          <t>Narowal</t>
        </is>
      </c>
      <c r="B1167" s="14" t="inlineStr">
        <is>
          <t>Punjab</t>
        </is>
      </c>
      <c r="C1167" s="14" t="n">
        <v>2025</v>
      </c>
      <c r="D1167" s="15" t="n">
        <v>1102.14802672721</v>
      </c>
      <c r="E1167" s="15" t="n">
        <v>25016.5991321455</v>
      </c>
      <c r="F1167" s="15" t="n">
        <v>1450.8735460341</v>
      </c>
      <c r="G1167" s="15" t="n">
        <v>880.910358241803</v>
      </c>
      <c r="H1167" s="15" t="n">
        <v>155.677163159453</v>
      </c>
      <c r="I1167" s="16" t="n">
        <v>14.1248869828974</v>
      </c>
      <c r="J1167" s="15" t="n">
        <v>40.7078438147892</v>
      </c>
      <c r="K1167" s="15" t="n">
        <v>2377.90965057828</v>
      </c>
      <c r="L1167" s="15" t="n">
        <v>888.829880794562</v>
      </c>
      <c r="M1167" s="15" t="n">
        <v>213.318145932649</v>
      </c>
      <c r="N1167" s="17" t="n">
        <v>5.41749139210874</v>
      </c>
      <c r="O1167" s="18" t="n">
        <v>0.227825787695141</v>
      </c>
    </row>
    <row r="1168" ht="15" customHeight="1" s="12">
      <c r="A1168" s="14" t="inlineStr">
        <is>
          <t>Nasirabad</t>
        </is>
      </c>
      <c r="B1168" s="14" t="inlineStr">
        <is>
          <t>Balochistan</t>
        </is>
      </c>
      <c r="C1168" s="14" t="n">
        <v>2015</v>
      </c>
      <c r="D1168" s="15" t="n">
        <v>55.0046695339098</v>
      </c>
      <c r="E1168" s="15" t="n">
        <v>1635.04076496877</v>
      </c>
      <c r="F1168" s="15" t="n">
        <v>101.563934803009</v>
      </c>
      <c r="G1168" s="15" t="n">
        <v>38.4592565298081</v>
      </c>
      <c r="H1168" s="15" t="n">
        <v>16.0063461699723</v>
      </c>
      <c r="I1168" s="16" t="n">
        <v>29.0999769757813</v>
      </c>
      <c r="J1168" s="15" t="n">
        <v>9.79168865435356</v>
      </c>
      <c r="K1168" s="15" t="n">
        <v>3229.4578213044</v>
      </c>
      <c r="L1168" s="15" t="n">
        <v>86.7771052645023</v>
      </c>
      <c r="M1168" s="15" t="n">
        <v>-31.7724357305925</v>
      </c>
      <c r="N1168" s="17" t="n">
        <v>1.78391573725538</v>
      </c>
      <c r="O1168" s="18" t="n">
        <v>0.0552388616283227</v>
      </c>
    </row>
    <row r="1169" ht="15" customHeight="1" s="12">
      <c r="A1169" s="14" t="inlineStr">
        <is>
          <t>Nasirabad</t>
        </is>
      </c>
      <c r="B1169" s="14" t="inlineStr">
        <is>
          <t>Balochistan</t>
        </is>
      </c>
      <c r="C1169" s="14" t="n">
        <v>2016</v>
      </c>
      <c r="D1169" s="15" t="n">
        <v>59.5550383996916</v>
      </c>
      <c r="E1169" s="15" t="n">
        <v>1770.30271007711</v>
      </c>
      <c r="F1169" s="15" t="n">
        <v>158.472452044487</v>
      </c>
      <c r="G1169" s="15" t="n">
        <v>39.0732578039169</v>
      </c>
      <c r="H1169" s="15" t="n">
        <v>23.0689320019913</v>
      </c>
      <c r="I1169" s="16" t="n">
        <v>38.7354833812193</v>
      </c>
      <c r="J1169" s="15" t="n">
        <v>13.9532981530343</v>
      </c>
      <c r="K1169" s="15" t="n">
        <v>3229.4578213044</v>
      </c>
      <c r="L1169" s="15" t="n">
        <v>86.7771052645023</v>
      </c>
      <c r="M1169" s="15" t="n">
        <v>-27.2220668648107</v>
      </c>
      <c r="N1169" s="17" t="n">
        <v>1.46874791413718</v>
      </c>
      <c r="O1169" s="18" t="n">
        <v>0.0454797057403258</v>
      </c>
    </row>
    <row r="1170" ht="15" customHeight="1" s="12">
      <c r="A1170" s="14" t="inlineStr">
        <is>
          <t>Nasirabad</t>
        </is>
      </c>
      <c r="B1170" s="14" t="inlineStr">
        <is>
          <t>Balochistan</t>
        </is>
      </c>
      <c r="C1170" s="14" t="n">
        <v>2017</v>
      </c>
      <c r="D1170" s="15" t="n">
        <v>56.0773229603589</v>
      </c>
      <c r="E1170" s="15" t="n">
        <v>1666.92591388047</v>
      </c>
      <c r="F1170" s="15" t="n">
        <v>91.6600600481033</v>
      </c>
      <c r="G1170" s="15" t="n">
        <v>40.4692183434963</v>
      </c>
      <c r="H1170" s="15" t="n">
        <v>11.855021309551</v>
      </c>
      <c r="I1170" s="16" t="n">
        <v>21.1404908146763</v>
      </c>
      <c r="J1170" s="15" t="n">
        <v>10.9535620052771</v>
      </c>
      <c r="K1170" s="15" t="n">
        <v>3229.4578213044</v>
      </c>
      <c r="L1170" s="15" t="n">
        <v>86.7771052645023</v>
      </c>
      <c r="M1170" s="15" t="n">
        <v>-30.6997823041434</v>
      </c>
      <c r="N1170" s="17" t="n">
        <v>0.557508866473987</v>
      </c>
      <c r="O1170" s="18" t="n">
        <v>0.017263234181173</v>
      </c>
    </row>
    <row r="1171" ht="15" customHeight="1" s="12">
      <c r="A1171" s="14" t="inlineStr">
        <is>
          <t>Nasirabad</t>
        </is>
      </c>
      <c r="B1171" s="14" t="inlineStr">
        <is>
          <t>Balochistan</t>
        </is>
      </c>
      <c r="C1171" s="14" t="n">
        <v>2018</v>
      </c>
      <c r="D1171" s="15" t="n">
        <v>24.573375499091</v>
      </c>
      <c r="E1171" s="15" t="n">
        <v>730.455632482784</v>
      </c>
      <c r="F1171" s="15" t="n">
        <v>51.0062142633833</v>
      </c>
      <c r="G1171" s="15" t="n">
        <v>16.5004196423106</v>
      </c>
      <c r="H1171" s="15" t="n">
        <v>8.200846949696331</v>
      </c>
      <c r="I1171" s="16" t="n">
        <v>33.3728955958846</v>
      </c>
      <c r="J1171" s="15" t="n">
        <v>5.64564643799472</v>
      </c>
      <c r="K1171" s="15" t="n">
        <v>3229.4578213044</v>
      </c>
      <c r="L1171" s="15" t="n">
        <v>86.7771052645023</v>
      </c>
      <c r="M1171" s="15" t="n">
        <v>-62.2037297654113</v>
      </c>
      <c r="N1171" s="17" t="n">
        <v>0.998778348634488</v>
      </c>
      <c r="O1171" s="18" t="n">
        <v>0.0309271216377452</v>
      </c>
    </row>
    <row r="1172" ht="15" customHeight="1" s="12">
      <c r="A1172" s="14" t="inlineStr">
        <is>
          <t>Nasirabad</t>
        </is>
      </c>
      <c r="B1172" s="14" t="inlineStr">
        <is>
          <t>Balochistan</t>
        </is>
      </c>
      <c r="C1172" s="14" t="n">
        <v>2019</v>
      </c>
      <c r="D1172" s="15" t="n">
        <v>70.3610504995319</v>
      </c>
      <c r="E1172" s="15" t="n">
        <v>2091.51671680962</v>
      </c>
      <c r="F1172" s="15" t="n">
        <v>138.350521072745</v>
      </c>
      <c r="G1172" s="15" t="n">
        <v>52.7067608237267</v>
      </c>
      <c r="H1172" s="15" t="n">
        <v>18.0519681928855</v>
      </c>
      <c r="I1172" s="16" t="n">
        <v>25.6561948190435</v>
      </c>
      <c r="J1172" s="15" t="n">
        <v>13.828364116095</v>
      </c>
      <c r="K1172" s="15" t="n">
        <v>3229.4578213044</v>
      </c>
      <c r="L1172" s="15" t="n">
        <v>86.7771052645023</v>
      </c>
      <c r="M1172" s="15" t="n">
        <v>-16.4160547649704</v>
      </c>
      <c r="N1172" s="17" t="n">
        <v>0.6772457562526329</v>
      </c>
      <c r="O1172" s="18" t="n">
        <v>0.0209708809876665</v>
      </c>
    </row>
    <row r="1173" ht="15" customHeight="1" s="12">
      <c r="A1173" s="14" t="inlineStr">
        <is>
          <t>Nasirabad</t>
        </is>
      </c>
      <c r="B1173" s="14" t="inlineStr">
        <is>
          <t>Balochistan</t>
        </is>
      </c>
      <c r="C1173" s="14" t="n">
        <v>2020</v>
      </c>
      <c r="D1173" s="15" t="n">
        <v>92.80885916528101</v>
      </c>
      <c r="E1173" s="15" t="n">
        <v>2758.78883322679</v>
      </c>
      <c r="F1173" s="15" t="n">
        <v>181.93135132134</v>
      </c>
      <c r="G1173" s="15" t="n">
        <v>72.38977932821579</v>
      </c>
      <c r="H1173" s="15" t="n">
        <v>21.488386691874</v>
      </c>
      <c r="I1173" s="16" t="n">
        <v>23.1533787670053</v>
      </c>
      <c r="J1173" s="15" t="n">
        <v>17.4017150395778</v>
      </c>
      <c r="K1173" s="15" t="n">
        <v>3229.4578213044</v>
      </c>
      <c r="L1173" s="15" t="n">
        <v>86.7771052645023</v>
      </c>
      <c r="M1173" s="15" t="n">
        <v>6.03175390077875</v>
      </c>
      <c r="N1173" s="17" t="n">
        <v>4.2201377174436</v>
      </c>
      <c r="O1173" s="18" t="n">
        <v>0.13067635346106</v>
      </c>
    </row>
    <row r="1174" ht="15" customHeight="1" s="12">
      <c r="A1174" s="14" t="inlineStr">
        <is>
          <t>Nasirabad</t>
        </is>
      </c>
      <c r="B1174" s="14" t="inlineStr">
        <is>
          <t>Balochistan</t>
        </is>
      </c>
      <c r="C1174" s="14" t="n">
        <v>2021</v>
      </c>
      <c r="D1174" s="15" t="n">
        <v>63.6133294893817</v>
      </c>
      <c r="E1174" s="15" t="n">
        <v>1890.93740207652</v>
      </c>
      <c r="F1174" s="15" t="n">
        <v>121.138635575771</v>
      </c>
      <c r="G1174" s="15" t="n">
        <v>47.0652558207512</v>
      </c>
      <c r="H1174" s="15" t="n">
        <v>17.9681631951442</v>
      </c>
      <c r="I1174" s="16" t="n">
        <v>28.2459090561254</v>
      </c>
      <c r="J1174" s="15" t="n">
        <v>13.0381266490765</v>
      </c>
      <c r="K1174" s="15" t="n">
        <v>3229.4578213044</v>
      </c>
      <c r="L1174" s="15" t="n">
        <v>86.7771052645023</v>
      </c>
      <c r="M1174" s="15" t="n">
        <v>-23.1637757751206</v>
      </c>
      <c r="N1174" s="17" t="n">
        <v>1.67734323885283</v>
      </c>
      <c r="O1174" s="18" t="n">
        <v>0.0519388495427179</v>
      </c>
    </row>
    <row r="1175" ht="15" customHeight="1" s="12">
      <c r="A1175" s="14" t="inlineStr">
        <is>
          <t>Nasirabad</t>
        </is>
      </c>
      <c r="B1175" s="14" t="inlineStr">
        <is>
          <t>Balochistan</t>
        </is>
      </c>
      <c r="C1175" s="14" t="n">
        <v>2022</v>
      </c>
      <c r="D1175" s="15" t="n">
        <v>222.970171422087</v>
      </c>
      <c r="E1175" s="15" t="n">
        <v>6627.89764462518</v>
      </c>
      <c r="F1175" s="15" t="n">
        <v>354.495632812381</v>
      </c>
      <c r="G1175" s="15" t="n">
        <v>181.523646703747</v>
      </c>
      <c r="H1175" s="15" t="n">
        <v>38.4721766048257</v>
      </c>
      <c r="I1175" s="16" t="n">
        <v>17.2544050890095</v>
      </c>
      <c r="J1175" s="15" t="n">
        <v>37.9565963060686</v>
      </c>
      <c r="K1175" s="15" t="n">
        <v>3229.4578213044</v>
      </c>
      <c r="L1175" s="15" t="n">
        <v>86.7771052645023</v>
      </c>
      <c r="M1175" s="15" t="n">
        <v>136.193066157585</v>
      </c>
      <c r="N1175" s="17" t="n">
        <v>8.96281748607775</v>
      </c>
      <c r="O1175" s="18" t="n">
        <v>0.277533195415991</v>
      </c>
    </row>
    <row r="1176" ht="15" customHeight="1" s="12">
      <c r="A1176" s="14" t="inlineStr">
        <is>
          <t>Nasirabad</t>
        </is>
      </c>
      <c r="B1176" s="14" t="inlineStr">
        <is>
          <t>Balochistan</t>
        </is>
      </c>
      <c r="C1176" s="14" t="n">
        <v>2023</v>
      </c>
      <c r="D1176" s="15" t="n">
        <v>89.7903180757425</v>
      </c>
      <c r="E1176" s="15" t="n">
        <v>2669.06121966325</v>
      </c>
      <c r="F1176" s="15" t="n">
        <v>130.559561491013</v>
      </c>
      <c r="G1176" s="15" t="n">
        <v>63.0659759044647</v>
      </c>
      <c r="H1176" s="15" t="n">
        <v>15.5650167333326</v>
      </c>
      <c r="I1176" s="16" t="n">
        <v>17.3348497554077</v>
      </c>
      <c r="J1176" s="15" t="n">
        <v>14.9930079155673</v>
      </c>
      <c r="K1176" s="15" t="n">
        <v>3229.4578213044</v>
      </c>
      <c r="L1176" s="15" t="n">
        <v>86.7771052645023</v>
      </c>
      <c r="M1176" s="15" t="n">
        <v>3.01321281124017</v>
      </c>
      <c r="N1176" s="17" t="n">
        <v>3.60183779240604</v>
      </c>
      <c r="O1176" s="18" t="n">
        <v>0.111530727190338</v>
      </c>
    </row>
    <row r="1177" ht="15" customHeight="1" s="12">
      <c r="A1177" s="14" t="inlineStr">
        <is>
          <t>Nasirabad</t>
        </is>
      </c>
      <c r="B1177" s="14" t="inlineStr">
        <is>
          <t>Balochistan</t>
        </is>
      </c>
      <c r="C1177" s="14" t="n">
        <v>2024</v>
      </c>
      <c r="D1177" s="15" t="n">
        <v>132.800879549389</v>
      </c>
      <c r="E1177" s="15" t="n">
        <v>3947.57124307596</v>
      </c>
      <c r="F1177" s="15" t="n">
        <v>228.892733264889</v>
      </c>
      <c r="G1177" s="15" t="n">
        <v>112.153578571975</v>
      </c>
      <c r="H1177" s="15" t="n">
        <v>22.3814963605185</v>
      </c>
      <c r="I1177" s="16" t="n">
        <v>16.8534247939184</v>
      </c>
      <c r="J1177" s="15" t="n">
        <v>26.7972295514512</v>
      </c>
      <c r="K1177" s="15" t="n">
        <v>3229.4578213044</v>
      </c>
      <c r="L1177" s="15" t="n">
        <v>86.7771052645023</v>
      </c>
      <c r="M1177" s="15" t="n">
        <v>46.0237742848869</v>
      </c>
      <c r="N1177" s="17" t="n">
        <v>3.41296592255238</v>
      </c>
      <c r="O1177" s="18" t="n">
        <v>0.105682319181796</v>
      </c>
    </row>
    <row r="1178" ht="15" customHeight="1" s="12">
      <c r="A1178" s="14" t="inlineStr">
        <is>
          <t>Nasirabad</t>
        </is>
      </c>
      <c r="B1178" s="14" t="inlineStr">
        <is>
          <t>Balochistan</t>
        </is>
      </c>
      <c r="C1178" s="14" t="n">
        <v>2025</v>
      </c>
      <c r="D1178" s="15" t="n">
        <v>86.99314331506061</v>
      </c>
      <c r="E1178" s="15" t="n">
        <v>2585.91382873788</v>
      </c>
      <c r="F1178" s="15" t="n">
        <v>135.511829137802</v>
      </c>
      <c r="G1178" s="15" t="n">
        <v>67.2264575958252</v>
      </c>
      <c r="H1178" s="15" t="n">
        <v>13.4494657746686</v>
      </c>
      <c r="I1178" s="16" t="n">
        <v>15.4603745331503</v>
      </c>
      <c r="J1178" s="15" t="n">
        <v>15.621635883905</v>
      </c>
      <c r="K1178" s="15" t="n">
        <v>3229.4578213044</v>
      </c>
      <c r="L1178" s="15" t="n">
        <v>86.7771052645023</v>
      </c>
      <c r="M1178" s="15" t="n">
        <v>0.216038050558339</v>
      </c>
      <c r="N1178" s="17" t="n">
        <v>1.16451032836914</v>
      </c>
      <c r="O1178" s="18" t="n">
        <v>0.0360590041054875</v>
      </c>
    </row>
    <row r="1179" ht="15" customHeight="1" s="12">
      <c r="A1179" s="14" t="inlineStr">
        <is>
          <t>Naushahro Feroze</t>
        </is>
      </c>
      <c r="B1179" s="14" t="inlineStr">
        <is>
          <t>Sindh</t>
        </is>
      </c>
      <c r="C1179" s="14" t="n">
        <v>2015</v>
      </c>
      <c r="D1179" s="15" t="n">
        <v>80.4040251824654</v>
      </c>
      <c r="E1179" s="15" t="n">
        <v>2214.4214464959</v>
      </c>
      <c r="F1179" s="15" t="n">
        <v>107.879558801651</v>
      </c>
      <c r="G1179" s="15" t="n">
        <v>53.0121906399727</v>
      </c>
      <c r="H1179" s="15" t="n">
        <v>13.3096171513943</v>
      </c>
      <c r="I1179" s="16" t="n">
        <v>16.5534214502197</v>
      </c>
      <c r="J1179" s="15" t="n">
        <v>9.758222981631789</v>
      </c>
      <c r="K1179" s="15" t="n">
        <v>3042.15522401905</v>
      </c>
      <c r="L1179" s="15" t="n">
        <v>146.835557523103</v>
      </c>
      <c r="M1179" s="15" t="n">
        <v>-66.4315323406375</v>
      </c>
      <c r="N1179" s="17" t="n">
        <v>49.1645024916137</v>
      </c>
      <c r="O1179" s="18" t="n">
        <v>1.61610762341908</v>
      </c>
    </row>
    <row r="1180" ht="15" customHeight="1" s="12">
      <c r="A1180" s="14" t="inlineStr">
        <is>
          <t>Naushahro Feroze</t>
        </is>
      </c>
      <c r="B1180" s="14" t="inlineStr">
        <is>
          <t>Sindh</t>
        </is>
      </c>
      <c r="C1180" s="14" t="n">
        <v>2016</v>
      </c>
      <c r="D1180" s="15" t="n">
        <v>108.872884943158</v>
      </c>
      <c r="E1180" s="15" t="n">
        <v>2998.48733708157</v>
      </c>
      <c r="F1180" s="15" t="n">
        <v>130.745104789734</v>
      </c>
      <c r="G1180" s="15" t="n">
        <v>85.9060947299004</v>
      </c>
      <c r="H1180" s="15" t="n">
        <v>9.421591649001529</v>
      </c>
      <c r="I1180" s="16" t="n">
        <v>8.65375401223222</v>
      </c>
      <c r="J1180" s="15" t="n">
        <v>14.0642175708387</v>
      </c>
      <c r="K1180" s="15" t="n">
        <v>3042.15522401905</v>
      </c>
      <c r="L1180" s="15" t="n">
        <v>146.835557523103</v>
      </c>
      <c r="M1180" s="15" t="n">
        <v>-37.9626725799445</v>
      </c>
      <c r="N1180" s="17" t="n">
        <v>25.2175489114302</v>
      </c>
      <c r="O1180" s="18" t="n">
        <v>0.828936956021424</v>
      </c>
    </row>
    <row r="1181" ht="15" customHeight="1" s="12">
      <c r="A1181" s="14" t="inlineStr">
        <is>
          <t>Naushahro Feroze</t>
        </is>
      </c>
      <c r="B1181" s="14" t="inlineStr">
        <is>
          <t>Sindh</t>
        </is>
      </c>
      <c r="C1181" s="14" t="n">
        <v>2017</v>
      </c>
      <c r="D1181" s="15" t="n">
        <v>158.10275454233</v>
      </c>
      <c r="E1181" s="15" t="n">
        <v>4354.3358633364</v>
      </c>
      <c r="F1181" s="15" t="n">
        <v>204.94025182724</v>
      </c>
      <c r="G1181" s="15" t="n">
        <v>96.1985596418381</v>
      </c>
      <c r="H1181" s="15" t="n">
        <v>29.1793875751068</v>
      </c>
      <c r="I1181" s="16" t="n">
        <v>18.4559640719571</v>
      </c>
      <c r="J1181" s="15" t="n">
        <v>19.6754948027908</v>
      </c>
      <c r="K1181" s="15" t="n">
        <v>3042.15522401905</v>
      </c>
      <c r="L1181" s="15" t="n">
        <v>146.835557523103</v>
      </c>
      <c r="M1181" s="15" t="n">
        <v>11.2671970192268</v>
      </c>
      <c r="N1181" s="17" t="n">
        <v>36.2684164988551</v>
      </c>
      <c r="O1181" s="18" t="n">
        <v>1.1921948036215</v>
      </c>
    </row>
    <row r="1182" ht="15" customHeight="1" s="12">
      <c r="A1182" s="14" t="inlineStr">
        <is>
          <t>Naushahro Feroze</t>
        </is>
      </c>
      <c r="B1182" s="14" t="inlineStr">
        <is>
          <t>Sindh</t>
        </is>
      </c>
      <c r="C1182" s="14" t="n">
        <v>2018</v>
      </c>
      <c r="D1182" s="15" t="n">
        <v>31.0567227902083</v>
      </c>
      <c r="E1182" s="15" t="n">
        <v>855.338682963267</v>
      </c>
      <c r="F1182" s="15" t="n">
        <v>41.8621520127344</v>
      </c>
      <c r="G1182" s="15" t="n">
        <v>24.7970513254404</v>
      </c>
      <c r="H1182" s="15" t="n">
        <v>4.0499470188865</v>
      </c>
      <c r="I1182" s="16" t="n">
        <v>13.0404841690617</v>
      </c>
      <c r="J1182" s="15" t="n">
        <v>7.77815748255731</v>
      </c>
      <c r="K1182" s="15" t="n">
        <v>3042.15522401905</v>
      </c>
      <c r="L1182" s="15" t="n">
        <v>146.835557523103</v>
      </c>
      <c r="M1182" s="15" t="n">
        <v>-115.778834732895</v>
      </c>
      <c r="N1182" s="17" t="n">
        <v>26.8820976429963</v>
      </c>
      <c r="O1182" s="18" t="n">
        <v>0.883653057238868</v>
      </c>
    </row>
    <row r="1183" ht="15" customHeight="1" s="12">
      <c r="A1183" s="14" t="inlineStr">
        <is>
          <t>Naushahro Feroze</t>
        </is>
      </c>
      <c r="B1183" s="14" t="inlineStr">
        <is>
          <t>Sindh</t>
        </is>
      </c>
      <c r="C1183" s="14" t="n">
        <v>2019</v>
      </c>
      <c r="D1183" s="15" t="n">
        <v>176.838130141807</v>
      </c>
      <c r="E1183" s="15" t="n">
        <v>4870.33014896436</v>
      </c>
      <c r="F1183" s="15" t="n">
        <v>264.822591364384</v>
      </c>
      <c r="G1183" s="15" t="n">
        <v>103.055512994528</v>
      </c>
      <c r="H1183" s="15" t="n">
        <v>42.0698801723484</v>
      </c>
      <c r="I1183" s="16" t="n">
        <v>23.790050335079</v>
      </c>
      <c r="J1183" s="15" t="n">
        <v>17.8876548483554</v>
      </c>
      <c r="K1183" s="15" t="n">
        <v>3042.15522401905</v>
      </c>
      <c r="L1183" s="15" t="n">
        <v>146.835557523103</v>
      </c>
      <c r="M1183" s="15" t="n">
        <v>30.0025726187045</v>
      </c>
      <c r="N1183" s="17" t="n">
        <v>43.7918048638402</v>
      </c>
      <c r="O1183" s="18" t="n">
        <v>1.43949935618295</v>
      </c>
    </row>
    <row r="1184" ht="15" customHeight="1" s="12">
      <c r="A1184" s="14" t="inlineStr">
        <is>
          <t>Naushahro Feroze</t>
        </is>
      </c>
      <c r="B1184" s="14" t="inlineStr">
        <is>
          <t>Sindh</t>
        </is>
      </c>
      <c r="C1184" s="14" t="n">
        <v>2020</v>
      </c>
      <c r="D1184" s="15" t="n">
        <v>150.441194417971</v>
      </c>
      <c r="E1184" s="15" t="n">
        <v>4143.32748391141</v>
      </c>
      <c r="F1184" s="15" t="n">
        <v>246.808903839003</v>
      </c>
      <c r="G1184" s="15" t="n">
        <v>94.7243941436173</v>
      </c>
      <c r="H1184" s="15" t="n">
        <v>34.834921138699</v>
      </c>
      <c r="I1184" s="16" t="n">
        <v>23.155174534122</v>
      </c>
      <c r="J1184" s="15" t="n">
        <v>25.2799373487114</v>
      </c>
      <c r="K1184" s="15" t="n">
        <v>3042.15522401905</v>
      </c>
      <c r="L1184" s="15" t="n">
        <v>146.835557523103</v>
      </c>
      <c r="M1184" s="15" t="n">
        <v>3.6056368948679</v>
      </c>
      <c r="N1184" s="17" t="n">
        <v>47.6179634130108</v>
      </c>
      <c r="O1184" s="18" t="n">
        <v>1.56527066853945</v>
      </c>
    </row>
    <row r="1185" ht="15" customHeight="1" s="12">
      <c r="A1185" s="14" t="inlineStr">
        <is>
          <t>Naushahro Feroze</t>
        </is>
      </c>
      <c r="B1185" s="14" t="inlineStr">
        <is>
          <t>Sindh</t>
        </is>
      </c>
      <c r="C1185" s="14" t="n">
        <v>2021</v>
      </c>
      <c r="D1185" s="15" t="n">
        <v>83.8273592181075</v>
      </c>
      <c r="E1185" s="15" t="n">
        <v>2308.70409328929</v>
      </c>
      <c r="F1185" s="15" t="n">
        <v>104.294603481889</v>
      </c>
      <c r="G1185" s="15" t="n">
        <v>60.0503191947937</v>
      </c>
      <c r="H1185" s="15" t="n">
        <v>9.29938094871361</v>
      </c>
      <c r="I1185" s="16" t="n">
        <v>11.0934914751613</v>
      </c>
      <c r="J1185" s="15" t="n">
        <v>15.4435426455931</v>
      </c>
      <c r="K1185" s="15" t="n">
        <v>3042.15522401905</v>
      </c>
      <c r="L1185" s="15" t="n">
        <v>146.835557523103</v>
      </c>
      <c r="M1185" s="15" t="n">
        <v>-63.0081983049954</v>
      </c>
      <c r="N1185" s="17" t="n">
        <v>22.4543227544447</v>
      </c>
      <c r="O1185" s="18" t="n">
        <v>0.738105754011456</v>
      </c>
    </row>
    <row r="1186" ht="15" customHeight="1" s="12">
      <c r="A1186" s="14" t="inlineStr">
        <is>
          <t>Naushahro Feroze</t>
        </is>
      </c>
      <c r="B1186" s="14" t="inlineStr">
        <is>
          <t>Sindh</t>
        </is>
      </c>
      <c r="C1186" s="14" t="n">
        <v>2022</v>
      </c>
      <c r="D1186" s="15" t="n">
        <v>430.530563068518</v>
      </c>
      <c r="E1186" s="15" t="n">
        <v>11857.3182134518</v>
      </c>
      <c r="F1186" s="15" t="n">
        <v>505.615543839002</v>
      </c>
      <c r="G1186" s="15" t="n">
        <v>290.74471083039</v>
      </c>
      <c r="H1186" s="15" t="n">
        <v>60.2499953755729</v>
      </c>
      <c r="I1186" s="16" t="n">
        <v>13.9943596445636</v>
      </c>
      <c r="J1186" s="15" t="n">
        <v>38.4889648298448</v>
      </c>
      <c r="K1186" s="15" t="n">
        <v>3042.15522401905</v>
      </c>
      <c r="L1186" s="15" t="n">
        <v>146.835557523103</v>
      </c>
      <c r="M1186" s="15" t="n">
        <v>283.695005545415</v>
      </c>
      <c r="N1186" s="17" t="n">
        <v>90.9032446352418</v>
      </c>
      <c r="O1186" s="18" t="n">
        <v>2.98811986704439</v>
      </c>
    </row>
    <row r="1187" ht="15" customHeight="1" s="12">
      <c r="A1187" s="14" t="inlineStr">
        <is>
          <t>Naushahro Feroze</t>
        </is>
      </c>
      <c r="B1187" s="14" t="inlineStr">
        <is>
          <t>Sindh</t>
        </is>
      </c>
      <c r="C1187" s="14" t="n">
        <v>2023</v>
      </c>
      <c r="D1187" s="15" t="n">
        <v>101.979889955187</v>
      </c>
      <c r="E1187" s="15" t="n">
        <v>2808.64614570696</v>
      </c>
      <c r="F1187" s="15" t="n">
        <v>144.941692948341</v>
      </c>
      <c r="G1187" s="15" t="n">
        <v>80.1071537733078</v>
      </c>
      <c r="H1187" s="15" t="n">
        <v>15.3519139954685</v>
      </c>
      <c r="I1187" s="16" t="n">
        <v>15.0538640532116</v>
      </c>
      <c r="J1187" s="15" t="n">
        <v>12.251744268831</v>
      </c>
      <c r="K1187" s="15" t="n">
        <v>3042.15522401905</v>
      </c>
      <c r="L1187" s="15" t="n">
        <v>146.835557523103</v>
      </c>
      <c r="M1187" s="15" t="n">
        <v>-44.8556675679163</v>
      </c>
      <c r="N1187" s="17" t="n">
        <v>54.3933548008634</v>
      </c>
      <c r="O1187" s="18" t="n">
        <v>1.78798748898169</v>
      </c>
    </row>
    <row r="1188" ht="15" customHeight="1" s="12">
      <c r="A1188" s="14" t="inlineStr">
        <is>
          <t>Naushahro Feroze</t>
        </is>
      </c>
      <c r="B1188" s="14" t="inlineStr">
        <is>
          <t>Sindh</t>
        </is>
      </c>
      <c r="C1188" s="14" t="n">
        <v>2024</v>
      </c>
      <c r="D1188" s="15" t="n">
        <v>167.859100276688</v>
      </c>
      <c r="E1188" s="15" t="n">
        <v>4623.03710291442</v>
      </c>
      <c r="F1188" s="15" t="n">
        <v>225.381256490946</v>
      </c>
      <c r="G1188" s="15" t="n">
        <v>99.9445606544614</v>
      </c>
      <c r="H1188" s="15" t="n">
        <v>31.1801330070805</v>
      </c>
      <c r="I1188" s="16" t="n">
        <v>18.5751817778632</v>
      </c>
      <c r="J1188" s="15" t="n">
        <v>27.3045706962837</v>
      </c>
      <c r="K1188" s="15" t="n">
        <v>3042.15522401905</v>
      </c>
      <c r="L1188" s="15" t="n">
        <v>146.835557523103</v>
      </c>
      <c r="M1188" s="15" t="n">
        <v>21.0235427535849</v>
      </c>
      <c r="N1188" s="17" t="n">
        <v>71.3759814570307</v>
      </c>
      <c r="O1188" s="18" t="n">
        <v>2.34623075421952</v>
      </c>
    </row>
    <row r="1189" ht="15" customHeight="1" s="12">
      <c r="A1189" s="14" t="inlineStr">
        <is>
          <t>Naushahro Feroze</t>
        </is>
      </c>
      <c r="B1189" s="14" t="inlineStr">
        <is>
          <t>Sindh</t>
        </is>
      </c>
      <c r="C1189" s="14" t="n">
        <v>2025</v>
      </c>
      <c r="D1189" s="15" t="n">
        <v>125.278508217692</v>
      </c>
      <c r="E1189" s="15" t="n">
        <v>3450.31750279548</v>
      </c>
      <c r="F1189" s="15" t="n">
        <v>188.385569442295</v>
      </c>
      <c r="G1189" s="15" t="n">
        <v>79.3614575155743</v>
      </c>
      <c r="H1189" s="15" t="n">
        <v>25.0939719593253</v>
      </c>
      <c r="I1189" s="16" t="n">
        <v>20.0305481892557</v>
      </c>
      <c r="J1189" s="15" t="n">
        <v>15.5839384878257</v>
      </c>
      <c r="K1189" s="15" t="n">
        <v>3042.15522401905</v>
      </c>
      <c r="L1189" s="15" t="n">
        <v>146.835557523103</v>
      </c>
      <c r="M1189" s="15" t="n">
        <v>-21.5570493054112</v>
      </c>
      <c r="N1189" s="17" t="n">
        <v>55.5420867841801</v>
      </c>
      <c r="O1189" s="18" t="n">
        <v>1.82574795479379</v>
      </c>
    </row>
    <row r="1190" ht="15" customHeight="1" s="12">
      <c r="A1190" s="14" t="inlineStr">
        <is>
          <t>Neelum</t>
        </is>
      </c>
      <c r="B1190" s="14" t="inlineStr">
        <is>
          <t>Azad Kashmir</t>
        </is>
      </c>
      <c r="C1190" s="14" t="n">
        <v>2015</v>
      </c>
      <c r="D1190" s="15" t="n">
        <v>427.645304421516</v>
      </c>
      <c r="E1190" s="15" t="n">
        <v>13186.5687398681</v>
      </c>
      <c r="F1190" s="15" t="n">
        <v>746.398441553116</v>
      </c>
      <c r="G1190" s="15" t="n">
        <v>165.743136405945</v>
      </c>
      <c r="H1190" s="15" t="n">
        <v>149.548381057893</v>
      </c>
      <c r="I1190" s="16" t="n">
        <v>34.9701913037932</v>
      </c>
      <c r="J1190" s="15" t="n">
        <v>23.8887193183263</v>
      </c>
      <c r="K1190" s="15" t="n">
        <v>3137.80928365684</v>
      </c>
      <c r="L1190" s="15" t="n">
        <v>408.166303053926</v>
      </c>
      <c r="M1190" s="15" t="n">
        <v>19.4790013675896</v>
      </c>
      <c r="N1190" s="17" t="n">
        <v>1.7498757923304</v>
      </c>
      <c r="O1190" s="18" t="n">
        <v>0.0557674362634007</v>
      </c>
    </row>
    <row r="1191" ht="15" customHeight="1" s="12">
      <c r="A1191" s="14" t="inlineStr">
        <is>
          <t>Neelum</t>
        </is>
      </c>
      <c r="B1191" s="14" t="inlineStr">
        <is>
          <t>Azad Kashmir</t>
        </is>
      </c>
      <c r="C1191" s="14" t="n">
        <v>2016</v>
      </c>
      <c r="D1191" s="15" t="n">
        <v>372.617024734624</v>
      </c>
      <c r="E1191" s="15" t="n">
        <v>11489.7555509347</v>
      </c>
      <c r="F1191" s="15" t="n">
        <v>599.0158106088639</v>
      </c>
      <c r="G1191" s="15" t="n">
        <v>104.208457231522</v>
      </c>
      <c r="H1191" s="15" t="n">
        <v>135.206953503857</v>
      </c>
      <c r="I1191" s="16" t="n">
        <v>36.2857691755097</v>
      </c>
      <c r="J1191" s="15" t="n">
        <v>21.4205773877655</v>
      </c>
      <c r="K1191" s="15" t="n">
        <v>3137.80928365684</v>
      </c>
      <c r="L1191" s="15" t="n">
        <v>408.166303053926</v>
      </c>
      <c r="M1191" s="15" t="n">
        <v>-35.5492783193021</v>
      </c>
      <c r="N1191" s="17" t="n">
        <v>2.47106909850117</v>
      </c>
      <c r="O1191" s="18" t="n">
        <v>0.0787514114185219</v>
      </c>
    </row>
    <row r="1192" ht="15" customHeight="1" s="12">
      <c r="A1192" s="14" t="inlineStr">
        <is>
          <t>Neelum</t>
        </is>
      </c>
      <c r="B1192" s="14" t="inlineStr">
        <is>
          <t>Azad Kashmir</t>
        </is>
      </c>
      <c r="C1192" s="14" t="n">
        <v>2017</v>
      </c>
      <c r="D1192" s="15" t="n">
        <v>325.036507723436</v>
      </c>
      <c r="E1192" s="15" t="n">
        <v>10022.596314625</v>
      </c>
      <c r="F1192" s="15" t="n">
        <v>515.62846326828</v>
      </c>
      <c r="G1192" s="15" t="n">
        <v>91.6875772476196</v>
      </c>
      <c r="H1192" s="15" t="n">
        <v>117.791894624602</v>
      </c>
      <c r="I1192" s="16" t="n">
        <v>36.239589038665</v>
      </c>
      <c r="J1192" s="15" t="n">
        <v>26.1446012972148</v>
      </c>
      <c r="K1192" s="15" t="n">
        <v>3137.80928365684</v>
      </c>
      <c r="L1192" s="15" t="n">
        <v>408.166303053926</v>
      </c>
      <c r="M1192" s="15" t="n">
        <v>-83.1297953304901</v>
      </c>
      <c r="N1192" s="17" t="n">
        <v>0.78825212748449</v>
      </c>
      <c r="O1192" s="18" t="n">
        <v>0.025121097435401</v>
      </c>
    </row>
    <row r="1193" ht="15" customHeight="1" s="12">
      <c r="A1193" s="14" t="inlineStr">
        <is>
          <t>Neelum</t>
        </is>
      </c>
      <c r="B1193" s="14" t="inlineStr">
        <is>
          <t>Azad Kashmir</t>
        </is>
      </c>
      <c r="C1193" s="14" t="n">
        <v>2018</v>
      </c>
      <c r="D1193" s="15" t="n">
        <v>384.960482683927</v>
      </c>
      <c r="E1193" s="15" t="n">
        <v>11870.3697072303</v>
      </c>
      <c r="F1193" s="15" t="n">
        <v>614.135586261749</v>
      </c>
      <c r="G1193" s="15" t="n">
        <v>114.529972180724</v>
      </c>
      <c r="H1193" s="15" t="n">
        <v>138.925300425043</v>
      </c>
      <c r="I1193" s="16" t="n">
        <v>36.0881977953847</v>
      </c>
      <c r="J1193" s="15" t="n">
        <v>35.6001526135063</v>
      </c>
      <c r="K1193" s="15" t="n">
        <v>3137.80928365684</v>
      </c>
      <c r="L1193" s="15" t="n">
        <v>408.166303053926</v>
      </c>
      <c r="M1193" s="15" t="n">
        <v>-23.2058203699992</v>
      </c>
      <c r="N1193" s="17" t="n">
        <v>0.611391375223556</v>
      </c>
      <c r="O1193" s="18" t="n">
        <v>0.0194846569677758</v>
      </c>
    </row>
    <row r="1194" ht="15" customHeight="1" s="12">
      <c r="A1194" s="14" t="inlineStr">
        <is>
          <t>Neelum</t>
        </is>
      </c>
      <c r="B1194" s="14" t="inlineStr">
        <is>
          <t>Azad Kashmir</t>
        </is>
      </c>
      <c r="C1194" s="14" t="n">
        <v>2019</v>
      </c>
      <c r="D1194" s="15" t="n">
        <v>427.981936346998</v>
      </c>
      <c r="E1194" s="15" t="n">
        <v>13196.9488842998</v>
      </c>
      <c r="F1194" s="15" t="n">
        <v>732.4510643482211</v>
      </c>
      <c r="G1194" s="15" t="n">
        <v>144.296469628811</v>
      </c>
      <c r="H1194" s="15" t="n">
        <v>156.331052528011</v>
      </c>
      <c r="I1194" s="16" t="n">
        <v>36.5274884875658</v>
      </c>
      <c r="J1194" s="15" t="n">
        <v>31.7022764848023</v>
      </c>
      <c r="K1194" s="15" t="n">
        <v>3137.80928365684</v>
      </c>
      <c r="L1194" s="15" t="n">
        <v>408.166303053926</v>
      </c>
      <c r="M1194" s="15" t="n">
        <v>19.8156332930718</v>
      </c>
      <c r="N1194" s="17" t="n">
        <v>0.715998354955337</v>
      </c>
      <c r="O1194" s="18" t="n">
        <v>0.0228184153410657</v>
      </c>
    </row>
    <row r="1195" ht="15" customHeight="1" s="12">
      <c r="A1195" s="14" t="inlineStr">
        <is>
          <t>Neelum</t>
        </is>
      </c>
      <c r="B1195" s="14" t="inlineStr">
        <is>
          <t>Azad Kashmir</t>
        </is>
      </c>
      <c r="C1195" s="14" t="n">
        <v>2020</v>
      </c>
      <c r="D1195" s="15" t="n">
        <v>396.716716872194</v>
      </c>
      <c r="E1195" s="15" t="n">
        <v>12232.8766461414</v>
      </c>
      <c r="F1195" s="15" t="n">
        <v>651.248508572578</v>
      </c>
      <c r="G1195" s="15" t="n">
        <v>116.522563055158</v>
      </c>
      <c r="H1195" s="15" t="n">
        <v>144.337048953235</v>
      </c>
      <c r="I1195" s="16" t="n">
        <v>36.3829006479035</v>
      </c>
      <c r="J1195" s="15" t="n">
        <v>36.0063588960956</v>
      </c>
      <c r="K1195" s="15" t="n">
        <v>3137.80928365684</v>
      </c>
      <c r="L1195" s="15" t="n">
        <v>408.166303053926</v>
      </c>
      <c r="M1195" s="15" t="n">
        <v>-11.4495861817324</v>
      </c>
      <c r="N1195" s="17" t="n">
        <v>0.7213275538528739</v>
      </c>
      <c r="O1195" s="18" t="n">
        <v>0.0229882535439576</v>
      </c>
    </row>
    <row r="1196" ht="15" customHeight="1" s="12">
      <c r="A1196" s="14" t="inlineStr">
        <is>
          <t>Neelum</t>
        </is>
      </c>
      <c r="B1196" s="14" t="inlineStr">
        <is>
          <t>Azad Kashmir</t>
        </is>
      </c>
      <c r="C1196" s="14" t="n">
        <v>2021</v>
      </c>
      <c r="D1196" s="15" t="n">
        <v>433.705113324137</v>
      </c>
      <c r="E1196" s="15" t="n">
        <v>13373.4247296772</v>
      </c>
      <c r="F1196" s="15" t="n">
        <v>684.440376341343</v>
      </c>
      <c r="G1196" s="15" t="n">
        <v>135.993391245604</v>
      </c>
      <c r="H1196" s="15" t="n">
        <v>148.741341154817</v>
      </c>
      <c r="I1196" s="16" t="n">
        <v>34.2955009256838</v>
      </c>
      <c r="J1196" s="15" t="n">
        <v>27.8612488871932</v>
      </c>
      <c r="K1196" s="15" t="n">
        <v>3137.80928365684</v>
      </c>
      <c r="L1196" s="15" t="n">
        <v>408.166303053926</v>
      </c>
      <c r="M1196" s="15" t="n">
        <v>25.5388102702111</v>
      </c>
      <c r="N1196" s="17" t="n">
        <v>0.620377560013835</v>
      </c>
      <c r="O1196" s="18" t="n">
        <v>0.0197710410012823</v>
      </c>
    </row>
    <row r="1197" ht="15" customHeight="1" s="12">
      <c r="A1197" s="14" t="inlineStr">
        <is>
          <t>Neelum</t>
        </is>
      </c>
      <c r="B1197" s="14" t="inlineStr">
        <is>
          <t>Azad Kashmir</t>
        </is>
      </c>
      <c r="C1197" s="14" t="n">
        <v>2022</v>
      </c>
      <c r="D1197" s="15" t="n">
        <v>397.629289539908</v>
      </c>
      <c r="E1197" s="15" t="n">
        <v>12261.0160927541</v>
      </c>
      <c r="F1197" s="15" t="n">
        <v>676.981566309929</v>
      </c>
      <c r="G1197" s="15" t="n">
        <v>128.541050195694</v>
      </c>
      <c r="H1197" s="15" t="n">
        <v>144.09783598898</v>
      </c>
      <c r="I1197" s="16" t="n">
        <v>36.2392408657103</v>
      </c>
      <c r="J1197" s="15" t="n">
        <v>30.1095001907669</v>
      </c>
      <c r="K1197" s="15" t="n">
        <v>3137.80928365684</v>
      </c>
      <c r="L1197" s="15" t="n">
        <v>408.166303053926</v>
      </c>
      <c r="M1197" s="15" t="n">
        <v>-10.5370135140176</v>
      </c>
      <c r="N1197" s="17" t="n">
        <v>0.376273580726534</v>
      </c>
      <c r="O1197" s="18" t="n">
        <v>0.0119916013597876</v>
      </c>
    </row>
    <row r="1198" ht="15" customHeight="1" s="12">
      <c r="A1198" s="14" t="inlineStr">
        <is>
          <t>Neelum</t>
        </is>
      </c>
      <c r="B1198" s="14" t="inlineStr">
        <is>
          <t>Azad Kashmir</t>
        </is>
      </c>
      <c r="C1198" s="14" t="n">
        <v>2023</v>
      </c>
      <c r="D1198" s="15" t="n">
        <v>490.341347218629</v>
      </c>
      <c r="E1198" s="15" t="n">
        <v>15119.8196595297</v>
      </c>
      <c r="F1198" s="15" t="n">
        <v>798.596499204636</v>
      </c>
      <c r="G1198" s="15" t="n">
        <v>136.981526494026</v>
      </c>
      <c r="H1198" s="15" t="n">
        <v>180.629873261829</v>
      </c>
      <c r="I1198" s="16" t="n">
        <v>36.8375773910193</v>
      </c>
      <c r="J1198" s="15" t="n">
        <v>24.6768409004197</v>
      </c>
      <c r="K1198" s="15" t="n">
        <v>3137.80928365684</v>
      </c>
      <c r="L1198" s="15" t="n">
        <v>408.166303053926</v>
      </c>
      <c r="M1198" s="15" t="n">
        <v>82.1750441647028</v>
      </c>
      <c r="N1198" s="17" t="n">
        <v>0.97548653241637</v>
      </c>
      <c r="O1198" s="18" t="n">
        <v>0.0310881396615516</v>
      </c>
    </row>
    <row r="1199" ht="15" customHeight="1" s="12">
      <c r="A1199" s="14" t="inlineStr">
        <is>
          <t>Neelum</t>
        </is>
      </c>
      <c r="B1199" s="14" t="inlineStr">
        <is>
          <t>Azad Kashmir</t>
        </is>
      </c>
      <c r="C1199" s="14" t="n">
        <v>2024</v>
      </c>
      <c r="D1199" s="15" t="n">
        <v>401.763254388153</v>
      </c>
      <c r="E1199" s="15" t="n">
        <v>12388.4881147218</v>
      </c>
      <c r="F1199" s="15" t="n">
        <v>665.297261931002</v>
      </c>
      <c r="G1199" s="15" t="n">
        <v>128.563216505572</v>
      </c>
      <c r="H1199" s="15" t="n">
        <v>140.515481081244</v>
      </c>
      <c r="I1199" s="16" t="n">
        <v>34.9746970501909</v>
      </c>
      <c r="J1199" s="15" t="n">
        <v>25.0151341727076</v>
      </c>
      <c r="K1199" s="15" t="n">
        <v>3137.80928365684</v>
      </c>
      <c r="L1199" s="15" t="n">
        <v>408.166303053926</v>
      </c>
      <c r="M1199" s="15" t="n">
        <v>-6.4030486657731</v>
      </c>
      <c r="N1199" s="17" t="n">
        <v>0.428935262838207</v>
      </c>
      <c r="O1199" s="18" t="n">
        <v>0.013669895907068</v>
      </c>
    </row>
    <row r="1200" ht="15" customHeight="1" s="12">
      <c r="A1200" s="14" t="inlineStr">
        <is>
          <t>Neelum</t>
        </is>
      </c>
      <c r="B1200" s="14" t="inlineStr">
        <is>
          <t>Azad Kashmir</t>
        </is>
      </c>
      <c r="C1200" s="14" t="n">
        <v>2025</v>
      </c>
      <c r="D1200" s="15" t="n">
        <v>431.432356339665</v>
      </c>
      <c r="E1200" s="15" t="n">
        <v>13303.3435996031</v>
      </c>
      <c r="F1200" s="15" t="n">
        <v>728.6554911136629</v>
      </c>
      <c r="G1200" s="15" t="n">
        <v>152.810561191291</v>
      </c>
      <c r="H1200" s="15" t="n">
        <v>151.880756852895</v>
      </c>
      <c r="I1200" s="16" t="n">
        <v>35.2038400970835</v>
      </c>
      <c r="J1200" s="15" t="n">
        <v>36.3049726567468</v>
      </c>
      <c r="K1200" s="15" t="n">
        <v>3137.80928365684</v>
      </c>
      <c r="L1200" s="15" t="n">
        <v>408.166303053926</v>
      </c>
      <c r="M1200" s="15" t="n">
        <v>23.2660532857394</v>
      </c>
      <c r="N1200" s="17" t="n">
        <v>0.395283936735265</v>
      </c>
      <c r="O1200" s="18" t="n">
        <v>0.0125974493986645</v>
      </c>
    </row>
    <row r="1201" ht="15" customHeight="1" s="12">
      <c r="A1201" s="14" t="inlineStr">
        <is>
          <t>North Waziristan</t>
        </is>
      </c>
      <c r="B1201" s="14" t="inlineStr">
        <is>
          <t>Khyber Pakhtunkhwa</t>
        </is>
      </c>
      <c r="C1201" s="14" t="n">
        <v>2015</v>
      </c>
      <c r="D1201" s="15" t="n">
        <v>221.269237923717</v>
      </c>
      <c r="E1201" s="15" t="n">
        <v>10518.5321651424</v>
      </c>
      <c r="F1201" s="15" t="n">
        <v>320.177404165268</v>
      </c>
      <c r="G1201" s="15" t="n">
        <v>143.700418233872</v>
      </c>
      <c r="H1201" s="15" t="n">
        <v>35.6846772532731</v>
      </c>
      <c r="I1201" s="16" t="n">
        <v>16.1272654021502</v>
      </c>
      <c r="J1201" s="15" t="n">
        <v>18.4770664906781</v>
      </c>
      <c r="K1201" s="15" t="n">
        <v>4932.21930769966</v>
      </c>
      <c r="L1201" s="15" t="n">
        <v>211.156895645493</v>
      </c>
      <c r="M1201" s="15" t="n">
        <v>10.1123422782242</v>
      </c>
      <c r="N1201" s="17" t="n">
        <v>0.5257500670776371</v>
      </c>
      <c r="O1201" s="18" t="n">
        <v>0.0106595030406878</v>
      </c>
    </row>
    <row r="1202" ht="15" customHeight="1" s="12">
      <c r="A1202" s="14" t="inlineStr">
        <is>
          <t>North Waziristan</t>
        </is>
      </c>
      <c r="B1202" s="14" t="inlineStr">
        <is>
          <t>Khyber Pakhtunkhwa</t>
        </is>
      </c>
      <c r="C1202" s="14" t="n">
        <v>2016</v>
      </c>
      <c r="D1202" s="15" t="n">
        <v>248.580217872397</v>
      </c>
      <c r="E1202" s="15" t="n">
        <v>11816.8211805851</v>
      </c>
      <c r="F1202" s="15" t="n">
        <v>333.188428878784</v>
      </c>
      <c r="G1202" s="15" t="n">
        <v>169.115363717079</v>
      </c>
      <c r="H1202" s="15" t="n">
        <v>31.2518496777922</v>
      </c>
      <c r="I1202" s="16" t="n">
        <v>12.5721386622304</v>
      </c>
      <c r="J1202" s="15" t="n">
        <v>12.9090909090909</v>
      </c>
      <c r="K1202" s="15" t="n">
        <v>4932.21930769966</v>
      </c>
      <c r="L1202" s="15" t="n">
        <v>211.156895645493</v>
      </c>
      <c r="M1202" s="15" t="n">
        <v>37.4233222269038</v>
      </c>
      <c r="N1202" s="17" t="n">
        <v>0.0924183358154296</v>
      </c>
      <c r="O1202" s="18" t="n">
        <v>0.00187376777166328</v>
      </c>
    </row>
    <row r="1203" ht="15" customHeight="1" s="12">
      <c r="A1203" s="14" t="inlineStr">
        <is>
          <t>North Waziristan</t>
        </is>
      </c>
      <c r="B1203" s="14" t="inlineStr">
        <is>
          <t>Khyber Pakhtunkhwa</t>
        </is>
      </c>
      <c r="C1203" s="14" t="n">
        <v>2017</v>
      </c>
      <c r="D1203" s="15" t="n">
        <v>241.366847828166</v>
      </c>
      <c r="E1203" s="15" t="n">
        <v>11473.9173700903</v>
      </c>
      <c r="F1203" s="15" t="n">
        <v>375.800595462322</v>
      </c>
      <c r="G1203" s="15" t="n">
        <v>169.676843643189</v>
      </c>
      <c r="H1203" s="15" t="n">
        <v>45.5414371415439</v>
      </c>
      <c r="I1203" s="16" t="n">
        <v>18.8681409859426</v>
      </c>
      <c r="J1203" s="15" t="n">
        <v>16.6788483748556</v>
      </c>
      <c r="K1203" s="15" t="n">
        <v>4932.21930769966</v>
      </c>
      <c r="L1203" s="15" t="n">
        <v>211.156895645493</v>
      </c>
      <c r="M1203" s="15" t="n">
        <v>30.2099521826725</v>
      </c>
      <c r="N1203" s="17" t="n">
        <v>0.184807295959473</v>
      </c>
      <c r="O1203" s="18" t="n">
        <v>0.00374693995603503</v>
      </c>
    </row>
    <row r="1204" ht="15" customHeight="1" s="12">
      <c r="A1204" s="14" t="inlineStr">
        <is>
          <t>North Waziristan</t>
        </is>
      </c>
      <c r="B1204" s="14" t="inlineStr">
        <is>
          <t>Khyber Pakhtunkhwa</t>
        </is>
      </c>
      <c r="C1204" s="14" t="n">
        <v>2018</v>
      </c>
      <c r="D1204" s="15" t="n">
        <v>194.886778976727</v>
      </c>
      <c r="E1204" s="15" t="n">
        <v>9264.382489238769</v>
      </c>
      <c r="F1204" s="15" t="n">
        <v>252.659204363823</v>
      </c>
      <c r="G1204" s="15" t="n">
        <v>136.626565337181</v>
      </c>
      <c r="H1204" s="15" t="n">
        <v>24.6679060935979</v>
      </c>
      <c r="I1204" s="16" t="n">
        <v>12.6575574921599</v>
      </c>
      <c r="J1204" s="15" t="n">
        <v>24.7898036627619</v>
      </c>
      <c r="K1204" s="15" t="n">
        <v>4932.21930769966</v>
      </c>
      <c r="L1204" s="15" t="n">
        <v>211.156895645493</v>
      </c>
      <c r="M1204" s="15" t="n">
        <v>-16.2701166687662</v>
      </c>
      <c r="N1204" s="17" t="n">
        <v>0.0864203649902343</v>
      </c>
      <c r="O1204" s="18" t="n">
        <v>0.00175215982094154</v>
      </c>
    </row>
    <row r="1205" ht="15" customHeight="1" s="12">
      <c r="A1205" s="14" t="inlineStr">
        <is>
          <t>North Waziristan</t>
        </is>
      </c>
      <c r="B1205" s="14" t="inlineStr">
        <is>
          <t>Khyber Pakhtunkhwa</t>
        </is>
      </c>
      <c r="C1205" s="14" t="n">
        <v>2019</v>
      </c>
      <c r="D1205" s="15" t="n">
        <v>242.374295791431</v>
      </c>
      <c r="E1205" s="15" t="n">
        <v>11521.8086807205</v>
      </c>
      <c r="F1205" s="15" t="n">
        <v>336.961653128677</v>
      </c>
      <c r="G1205" s="15" t="n">
        <v>156.246802552728</v>
      </c>
      <c r="H1205" s="15" t="n">
        <v>36.1192904663376</v>
      </c>
      <c r="I1205" s="16" t="n">
        <v>14.9022776315436</v>
      </c>
      <c r="J1205" s="15" t="n">
        <v>15.788648737832</v>
      </c>
      <c r="K1205" s="15" t="n">
        <v>4932.21930769966</v>
      </c>
      <c r="L1205" s="15" t="n">
        <v>211.156895645493</v>
      </c>
      <c r="M1205" s="15" t="n">
        <v>31.2174001459377</v>
      </c>
      <c r="N1205" s="17" t="n">
        <v>0.269205082580567</v>
      </c>
      <c r="O1205" s="18" t="n">
        <v>0.00545809230664809</v>
      </c>
    </row>
    <row r="1206" ht="15" customHeight="1" s="12">
      <c r="A1206" s="14" t="inlineStr">
        <is>
          <t>North Waziristan</t>
        </is>
      </c>
      <c r="B1206" s="14" t="inlineStr">
        <is>
          <t>Khyber Pakhtunkhwa</t>
        </is>
      </c>
      <c r="C1206" s="14" t="n">
        <v>2020</v>
      </c>
      <c r="D1206" s="15" t="n">
        <v>133.052324269697</v>
      </c>
      <c r="E1206" s="15" t="n">
        <v>6324.94225410693</v>
      </c>
      <c r="F1206" s="15" t="n">
        <v>180.952278854296</v>
      </c>
      <c r="G1206" s="15" t="n">
        <v>107.112501487136</v>
      </c>
      <c r="H1206" s="15" t="n">
        <v>15.7249591700084</v>
      </c>
      <c r="I1206" s="16" t="n">
        <v>11.8186279392864</v>
      </c>
      <c r="J1206" s="15" t="n">
        <v>22.8619039762415</v>
      </c>
      <c r="K1206" s="15" t="n">
        <v>4932.21930769966</v>
      </c>
      <c r="L1206" s="15" t="n">
        <v>211.156895645493</v>
      </c>
      <c r="M1206" s="15" t="n">
        <v>-78.1045713757962</v>
      </c>
      <c r="N1206" s="17" t="n">
        <v>0.157015510742188</v>
      </c>
      <c r="O1206" s="18" t="n">
        <v>0.00318346571688472</v>
      </c>
    </row>
    <row r="1207" ht="15" customHeight="1" s="12">
      <c r="A1207" s="14" t="inlineStr">
        <is>
          <t>North Waziristan</t>
        </is>
      </c>
      <c r="B1207" s="14" t="inlineStr">
        <is>
          <t>Khyber Pakhtunkhwa</t>
        </is>
      </c>
      <c r="C1207" s="14" t="n">
        <v>2021</v>
      </c>
      <c r="D1207" s="15" t="n">
        <v>206.395741782213</v>
      </c>
      <c r="E1207" s="15" t="n">
        <v>9811.486987780359</v>
      </c>
      <c r="F1207" s="15" t="n">
        <v>288.462008237839</v>
      </c>
      <c r="G1207" s="15" t="n">
        <v>157.220122337341</v>
      </c>
      <c r="H1207" s="15" t="n">
        <v>28.715476240957</v>
      </c>
      <c r="I1207" s="16" t="n">
        <v>13.91282397253</v>
      </c>
      <c r="J1207" s="15" t="n">
        <v>19.9872133311335</v>
      </c>
      <c r="K1207" s="15" t="n">
        <v>4932.21930769966</v>
      </c>
      <c r="L1207" s="15" t="n">
        <v>211.156895645493</v>
      </c>
      <c r="M1207" s="15" t="n">
        <v>-4.76115386327982</v>
      </c>
      <c r="N1207" s="17" t="n">
        <v>0.486335262023926</v>
      </c>
      <c r="O1207" s="18" t="n">
        <v>0.00986037383343257</v>
      </c>
    </row>
    <row r="1208" ht="15" customHeight="1" s="12">
      <c r="A1208" s="14" t="inlineStr">
        <is>
          <t>North Waziristan</t>
        </is>
      </c>
      <c r="B1208" s="14" t="inlineStr">
        <is>
          <t>Khyber Pakhtunkhwa</t>
        </is>
      </c>
      <c r="C1208" s="14" t="n">
        <v>2022</v>
      </c>
      <c r="D1208" s="15" t="n">
        <v>280.797489087734</v>
      </c>
      <c r="E1208" s="15" t="n">
        <v>13348.3418145942</v>
      </c>
      <c r="F1208" s="15" t="n">
        <v>387.095456242561</v>
      </c>
      <c r="G1208" s="15" t="n">
        <v>230.402721698396</v>
      </c>
      <c r="H1208" s="15" t="n">
        <v>35.596341478957</v>
      </c>
      <c r="I1208" s="16" t="n">
        <v>12.6768731424928</v>
      </c>
      <c r="J1208" s="15" t="n">
        <v>21.3751856129352</v>
      </c>
      <c r="K1208" s="15" t="n">
        <v>4932.21930769966</v>
      </c>
      <c r="L1208" s="15" t="n">
        <v>211.156895645493</v>
      </c>
      <c r="M1208" s="15" t="n">
        <v>69.6405934422411</v>
      </c>
      <c r="N1208" s="17" t="n">
        <v>0.676529828509881</v>
      </c>
      <c r="O1208" s="18" t="n">
        <v>0.013716539884059</v>
      </c>
    </row>
    <row r="1209" ht="15" customHeight="1" s="12">
      <c r="A1209" s="14" t="inlineStr">
        <is>
          <t>North Waziristan</t>
        </is>
      </c>
      <c r="B1209" s="14" t="inlineStr">
        <is>
          <t>Khyber Pakhtunkhwa</t>
        </is>
      </c>
      <c r="C1209" s="14" t="n">
        <v>2023</v>
      </c>
      <c r="D1209" s="15" t="n">
        <v>149.35969756302</v>
      </c>
      <c r="E1209" s="15" t="n">
        <v>7100.15001513304</v>
      </c>
      <c r="F1209" s="15" t="n">
        <v>249.000450730324</v>
      </c>
      <c r="G1209" s="15" t="n">
        <v>116.519480466843</v>
      </c>
      <c r="H1209" s="15" t="n">
        <v>29.777543327519</v>
      </c>
      <c r="I1209" s="16" t="n">
        <v>19.9367994267362</v>
      </c>
      <c r="J1209" s="15" t="n">
        <v>15.9823461475004</v>
      </c>
      <c r="K1209" s="15" t="n">
        <v>4932.21930769966</v>
      </c>
      <c r="L1209" s="15" t="n">
        <v>211.156895645493</v>
      </c>
      <c r="M1209" s="15" t="n">
        <v>-61.7971980824736</v>
      </c>
      <c r="N1209" s="17" t="n">
        <v>0.161638130065918</v>
      </c>
      <c r="O1209" s="18" t="n">
        <v>0.00327718862406596</v>
      </c>
    </row>
    <row r="1210" ht="15" customHeight="1" s="12">
      <c r="A1210" s="14" t="inlineStr">
        <is>
          <t>North Waziristan</t>
        </is>
      </c>
      <c r="B1210" s="14" t="inlineStr">
        <is>
          <t>Khyber Pakhtunkhwa</t>
        </is>
      </c>
      <c r="C1210" s="14" t="n">
        <v>2024</v>
      </c>
      <c r="D1210" s="15" t="n">
        <v>193.004255737699</v>
      </c>
      <c r="E1210" s="15" t="n">
        <v>9174.892502166211</v>
      </c>
      <c r="F1210" s="15" t="n">
        <v>259.48563691297</v>
      </c>
      <c r="G1210" s="15" t="n">
        <v>151.81586176416</v>
      </c>
      <c r="H1210" s="15" t="n">
        <v>25.4398423479361</v>
      </c>
      <c r="I1210" s="16" t="n">
        <v>13.1809748187677</v>
      </c>
      <c r="J1210" s="15" t="n">
        <v>27.6809932354397</v>
      </c>
      <c r="K1210" s="15" t="n">
        <v>4932.21930769966</v>
      </c>
      <c r="L1210" s="15" t="n">
        <v>211.156895645493</v>
      </c>
      <c r="M1210" s="15" t="n">
        <v>-18.1526399077946</v>
      </c>
      <c r="N1210" s="17" t="n">
        <v>0.166128713256836</v>
      </c>
      <c r="O1210" s="18" t="n">
        <v>0.00336823451863735</v>
      </c>
    </row>
    <row r="1211" ht="15" customHeight="1" s="12">
      <c r="A1211" s="14" t="inlineStr">
        <is>
          <t>North Waziristan</t>
        </is>
      </c>
      <c r="B1211" s="14" t="inlineStr">
        <is>
          <t>Khyber Pakhtunkhwa</t>
        </is>
      </c>
      <c r="C1211" s="14" t="n">
        <v>2025</v>
      </c>
      <c r="D1211" s="15" t="n">
        <v>211.638965267625</v>
      </c>
      <c r="E1211" s="15" t="n">
        <v>10060.7354391143</v>
      </c>
      <c r="F1211" s="15" t="n">
        <v>299.665419749916</v>
      </c>
      <c r="G1211" s="15" t="n">
        <v>162.895120739937</v>
      </c>
      <c r="H1211" s="15" t="n">
        <v>24.1566684182441</v>
      </c>
      <c r="I1211" s="16" t="n">
        <v>11.4140930464753</v>
      </c>
      <c r="J1211" s="15" t="n">
        <v>20.1204421712589</v>
      </c>
      <c r="K1211" s="15" t="n">
        <v>4932.21930769966</v>
      </c>
      <c r="L1211" s="15" t="n">
        <v>211.156895645493</v>
      </c>
      <c r="M1211" s="15" t="n">
        <v>0.482069622131377</v>
      </c>
      <c r="N1211" s="17" t="n">
        <v>0.185753524291992</v>
      </c>
      <c r="O1211" s="18" t="n">
        <v>0.00376612459227053</v>
      </c>
    </row>
    <row r="1212" ht="15" customHeight="1" s="12">
      <c r="A1212" s="14" t="inlineStr">
        <is>
          <t>Nowshera</t>
        </is>
      </c>
      <c r="B1212" s="14" t="inlineStr">
        <is>
          <t>Khyber Pakhtunkhwa</t>
        </is>
      </c>
      <c r="C1212" s="14" t="n">
        <v>2015</v>
      </c>
      <c r="D1212" s="15" t="n">
        <v>380.925454427043</v>
      </c>
      <c r="E1212" s="15" t="n">
        <v>6380.1279053251</v>
      </c>
      <c r="F1212" s="15" t="n">
        <v>451.810416936874</v>
      </c>
      <c r="G1212" s="15" t="n">
        <v>223.43677508831</v>
      </c>
      <c r="H1212" s="15" t="n">
        <v>51.5430493922873</v>
      </c>
      <c r="I1212" s="16" t="n">
        <v>13.5310068658484</v>
      </c>
      <c r="J1212" s="15" t="n">
        <v>23.0660266916413</v>
      </c>
      <c r="K1212" s="15" t="n">
        <v>1726.23953430426</v>
      </c>
      <c r="L1212" s="15" t="n">
        <v>337.179529415692</v>
      </c>
      <c r="M1212" s="15" t="n">
        <v>43.7459250113505</v>
      </c>
      <c r="N1212" s="17" t="n">
        <v>3.63679107702637</v>
      </c>
      <c r="O1212" s="18" t="n">
        <v>0.210677081873933</v>
      </c>
    </row>
    <row r="1213" ht="15" customHeight="1" s="12">
      <c r="A1213" s="14" t="inlineStr">
        <is>
          <t>Nowshera</t>
        </is>
      </c>
      <c r="B1213" s="14" t="inlineStr">
        <is>
          <t>Khyber Pakhtunkhwa</t>
        </is>
      </c>
      <c r="C1213" s="14" t="n">
        <v>2016</v>
      </c>
      <c r="D1213" s="15" t="n">
        <v>364.668305061023</v>
      </c>
      <c r="E1213" s="15" t="n">
        <v>6107.836591826</v>
      </c>
      <c r="F1213" s="15" t="n">
        <v>423.697510242462</v>
      </c>
      <c r="G1213" s="15" t="n">
        <v>236.81189763546</v>
      </c>
      <c r="H1213" s="15" t="n">
        <v>46.8049220198993</v>
      </c>
      <c r="I1213" s="16" t="n">
        <v>12.8349300913517</v>
      </c>
      <c r="J1213" s="15" t="n">
        <v>21.4228517911496</v>
      </c>
      <c r="K1213" s="15" t="n">
        <v>1726.23953430426</v>
      </c>
      <c r="L1213" s="15" t="n">
        <v>337.179529415692</v>
      </c>
      <c r="M1213" s="15" t="n">
        <v>27.4887756453309</v>
      </c>
      <c r="N1213" s="17" t="n">
        <v>3.51647547808861</v>
      </c>
      <c r="O1213" s="18" t="n">
        <v>0.203707272844142</v>
      </c>
    </row>
    <row r="1214" ht="15" customHeight="1" s="12">
      <c r="A1214" s="14" t="inlineStr">
        <is>
          <t>Nowshera</t>
        </is>
      </c>
      <c r="B1214" s="14" t="inlineStr">
        <is>
          <t>Khyber Pakhtunkhwa</t>
        </is>
      </c>
      <c r="C1214" s="14" t="n">
        <v>2017</v>
      </c>
      <c r="D1214" s="15" t="n">
        <v>356.953296364868</v>
      </c>
      <c r="E1214" s="15" t="n">
        <v>5978.61775989942</v>
      </c>
      <c r="F1214" s="15" t="n">
        <v>413.094900846481</v>
      </c>
      <c r="G1214" s="15" t="n">
        <v>278.812723875046</v>
      </c>
      <c r="H1214" s="15" t="n">
        <v>33.8801900661651</v>
      </c>
      <c r="I1214" s="16" t="n">
        <v>9.49149101890734</v>
      </c>
      <c r="J1214" s="15" t="n">
        <v>25.8220557246547</v>
      </c>
      <c r="K1214" s="15" t="n">
        <v>1726.23953430426</v>
      </c>
      <c r="L1214" s="15" t="n">
        <v>337.179529415692</v>
      </c>
      <c r="M1214" s="15" t="n">
        <v>19.7737669491758</v>
      </c>
      <c r="N1214" s="17" t="n">
        <v>2.3444056451215</v>
      </c>
      <c r="O1214" s="18" t="n">
        <v>0.13580998456662</v>
      </c>
    </row>
    <row r="1215" ht="15" customHeight="1" s="12">
      <c r="A1215" s="14" t="inlineStr">
        <is>
          <t>Nowshera</t>
        </is>
      </c>
      <c r="B1215" s="14" t="inlineStr">
        <is>
          <t>Khyber Pakhtunkhwa</t>
        </is>
      </c>
      <c r="C1215" s="14" t="n">
        <v>2018</v>
      </c>
      <c r="D1215" s="15" t="n">
        <v>410.803051232119</v>
      </c>
      <c r="E1215" s="15" t="n">
        <v>6880.54836004856</v>
      </c>
      <c r="F1215" s="15" t="n">
        <v>528.632719039917</v>
      </c>
      <c r="G1215" s="15" t="n">
        <v>214.045637488365</v>
      </c>
      <c r="H1215" s="15" t="n">
        <v>68.54481096692579</v>
      </c>
      <c r="I1215" s="16" t="n">
        <v>16.6855652024345</v>
      </c>
      <c r="J1215" s="15" t="n">
        <v>27.234839616015</v>
      </c>
      <c r="K1215" s="15" t="n">
        <v>1726.23953430426</v>
      </c>
      <c r="L1215" s="15" t="n">
        <v>337.179529415692</v>
      </c>
      <c r="M1215" s="15" t="n">
        <v>73.6235218164272</v>
      </c>
      <c r="N1215" s="17" t="n">
        <v>2.80032598593487</v>
      </c>
      <c r="O1215" s="18" t="n">
        <v>0.162221170949113</v>
      </c>
    </row>
    <row r="1216" ht="15" customHeight="1" s="12">
      <c r="A1216" s="14" t="inlineStr">
        <is>
          <t>Nowshera</t>
        </is>
      </c>
      <c r="B1216" s="14" t="inlineStr">
        <is>
          <t>Khyber Pakhtunkhwa</t>
        </is>
      </c>
      <c r="C1216" s="14" t="n">
        <v>2019</v>
      </c>
      <c r="D1216" s="15" t="n">
        <v>259.024895684019</v>
      </c>
      <c r="E1216" s="15" t="n">
        <v>4338.41305673116</v>
      </c>
      <c r="F1216" s="15" t="n">
        <v>327.65911902973</v>
      </c>
      <c r="G1216" s="15" t="n">
        <v>140.14917680513</v>
      </c>
      <c r="H1216" s="15" t="n">
        <v>43.7085310243063</v>
      </c>
      <c r="I1216" s="16" t="n">
        <v>16.8742587112653</v>
      </c>
      <c r="J1216" s="15" t="n">
        <v>19.6710372278155</v>
      </c>
      <c r="K1216" s="15" t="n">
        <v>1726.23953430426</v>
      </c>
      <c r="L1216" s="15" t="n">
        <v>337.179529415692</v>
      </c>
      <c r="M1216" s="15" t="n">
        <v>-78.1546337316734</v>
      </c>
      <c r="N1216" s="17" t="n">
        <v>2.1867401770369</v>
      </c>
      <c r="O1216" s="18" t="n">
        <v>0.126676520470159</v>
      </c>
    </row>
    <row r="1217" ht="15" customHeight="1" s="12">
      <c r="A1217" s="14" t="inlineStr">
        <is>
          <t>Nowshera</t>
        </is>
      </c>
      <c r="B1217" s="14" t="inlineStr">
        <is>
          <t>Khyber Pakhtunkhwa</t>
        </is>
      </c>
      <c r="C1217" s="14" t="n">
        <v>2020</v>
      </c>
      <c r="D1217" s="15" t="n">
        <v>258.894174482773</v>
      </c>
      <c r="E1217" s="15" t="n">
        <v>4336.22360476834</v>
      </c>
      <c r="F1217" s="15" t="n">
        <v>340.822208683523</v>
      </c>
      <c r="G1217" s="15" t="n">
        <v>132.219889037638</v>
      </c>
      <c r="H1217" s="15" t="n">
        <v>51.4353303705028</v>
      </c>
      <c r="I1217" s="16" t="n">
        <v>19.8673185571911</v>
      </c>
      <c r="J1217" s="15" t="n">
        <v>23.3760243502693</v>
      </c>
      <c r="K1217" s="15" t="n">
        <v>1726.23953430426</v>
      </c>
      <c r="L1217" s="15" t="n">
        <v>337.179529415692</v>
      </c>
      <c r="M1217" s="15" t="n">
        <v>-78.28535493291881</v>
      </c>
      <c r="N1217" s="17" t="n">
        <v>2.98206659022217</v>
      </c>
      <c r="O1217" s="18" t="n">
        <v>0.172749292955109</v>
      </c>
    </row>
    <row r="1218" ht="15" customHeight="1" s="12">
      <c r="A1218" s="14" t="inlineStr">
        <is>
          <t>Nowshera</t>
        </is>
      </c>
      <c r="B1218" s="14" t="inlineStr">
        <is>
          <t>Khyber Pakhtunkhwa</t>
        </is>
      </c>
      <c r="C1218" s="14" t="n">
        <v>2021</v>
      </c>
      <c r="D1218" s="15" t="n">
        <v>347.009059074513</v>
      </c>
      <c r="E1218" s="15" t="n">
        <v>5812.06153453822</v>
      </c>
      <c r="F1218" s="15" t="n">
        <v>457.139138221741</v>
      </c>
      <c r="G1218" s="15" t="n">
        <v>149.339608550072</v>
      </c>
      <c r="H1218" s="15" t="n">
        <v>68.02222055442191</v>
      </c>
      <c r="I1218" s="16" t="n">
        <v>19.6024336470753</v>
      </c>
      <c r="J1218" s="15" t="n">
        <v>22.9072816670569</v>
      </c>
      <c r="K1218" s="15" t="n">
        <v>1726.23953430426</v>
      </c>
      <c r="L1218" s="15" t="n">
        <v>337.179529415692</v>
      </c>
      <c r="M1218" s="15" t="n">
        <v>9.829529658821169</v>
      </c>
      <c r="N1218" s="17" t="n">
        <v>2.45313724815195</v>
      </c>
      <c r="O1218" s="18" t="n">
        <v>0.14210873980132</v>
      </c>
    </row>
    <row r="1219" ht="15" customHeight="1" s="12">
      <c r="A1219" s="14" t="inlineStr">
        <is>
          <t>Nowshera</t>
        </is>
      </c>
      <c r="B1219" s="14" t="inlineStr">
        <is>
          <t>Khyber Pakhtunkhwa</t>
        </is>
      </c>
      <c r="C1219" s="14" t="n">
        <v>2022</v>
      </c>
      <c r="D1219" s="15" t="n">
        <v>333.102061216381</v>
      </c>
      <c r="E1219" s="15" t="n">
        <v>5579.13295472613</v>
      </c>
      <c r="F1219" s="15" t="n">
        <v>405.710793865554</v>
      </c>
      <c r="G1219" s="15" t="n">
        <v>177.074789159931</v>
      </c>
      <c r="H1219" s="15" t="n">
        <v>59.3522395222997</v>
      </c>
      <c r="I1219" s="16" t="n">
        <v>17.8180343002275</v>
      </c>
      <c r="J1219" s="15" t="n">
        <v>27.2966518379771</v>
      </c>
      <c r="K1219" s="15" t="n">
        <v>1726.23953430426</v>
      </c>
      <c r="L1219" s="15" t="n">
        <v>337.179529415692</v>
      </c>
      <c r="M1219" s="15" t="n">
        <v>-4.07746819931117</v>
      </c>
      <c r="N1219" s="17" t="n">
        <v>5.70039758516272</v>
      </c>
      <c r="O1219" s="18" t="n">
        <v>0.330220544245629</v>
      </c>
    </row>
    <row r="1220" ht="15" customHeight="1" s="12">
      <c r="A1220" s="14" t="inlineStr">
        <is>
          <t>Nowshera</t>
        </is>
      </c>
      <c r="B1220" s="14" t="inlineStr">
        <is>
          <t>Khyber Pakhtunkhwa</t>
        </is>
      </c>
      <c r="C1220" s="14" t="n">
        <v>2023</v>
      </c>
      <c r="D1220" s="15" t="n">
        <v>298.265968097719</v>
      </c>
      <c r="E1220" s="15" t="n">
        <v>4995.66254802101</v>
      </c>
      <c r="F1220" s="15" t="n">
        <v>399.830577373505</v>
      </c>
      <c r="G1220" s="15" t="n">
        <v>145.297940969467</v>
      </c>
      <c r="H1220" s="15" t="n">
        <v>58.5590584579531</v>
      </c>
      <c r="I1220" s="16" t="n">
        <v>19.6331679512186</v>
      </c>
      <c r="J1220" s="15" t="n">
        <v>13.5492858815266</v>
      </c>
      <c r="K1220" s="15" t="n">
        <v>1726.23953430426</v>
      </c>
      <c r="L1220" s="15" t="n">
        <v>337.179529415692</v>
      </c>
      <c r="M1220" s="15" t="n">
        <v>-38.9135613179735</v>
      </c>
      <c r="N1220" s="17" t="n">
        <v>1.87229151961886</v>
      </c>
      <c r="O1220" s="18" t="n">
        <v>0.108460702145457</v>
      </c>
    </row>
    <row r="1221" ht="15" customHeight="1" s="12">
      <c r="A1221" s="14" t="inlineStr">
        <is>
          <t>Nowshera</t>
        </is>
      </c>
      <c r="B1221" s="14" t="inlineStr">
        <is>
          <t>Khyber Pakhtunkhwa</t>
        </is>
      </c>
      <c r="C1221" s="14" t="n">
        <v>2024</v>
      </c>
      <c r="D1221" s="15" t="n">
        <v>313.67243193882</v>
      </c>
      <c r="E1221" s="15" t="n">
        <v>5253.70571298313</v>
      </c>
      <c r="F1221" s="15" t="n">
        <v>387.146790008992</v>
      </c>
      <c r="G1221" s="15" t="n">
        <v>164.560258924961</v>
      </c>
      <c r="H1221" s="15" t="n">
        <v>55.844877410562</v>
      </c>
      <c r="I1221" s="16" t="n">
        <v>17.8035656705255</v>
      </c>
      <c r="J1221" s="15" t="n">
        <v>26.6256146101616</v>
      </c>
      <c r="K1221" s="15" t="n">
        <v>1726.23953430426</v>
      </c>
      <c r="L1221" s="15" t="n">
        <v>337.179529415692</v>
      </c>
      <c r="M1221" s="15" t="n">
        <v>-23.5070974768726</v>
      </c>
      <c r="N1221" s="17" t="n">
        <v>2.33435710228463</v>
      </c>
      <c r="O1221" s="18" t="n">
        <v>0.135227878628413</v>
      </c>
    </row>
    <row r="1222" ht="15" customHeight="1" s="12">
      <c r="A1222" s="14" t="inlineStr">
        <is>
          <t>Nowshera</t>
        </is>
      </c>
      <c r="B1222" s="14" t="inlineStr">
        <is>
          <t>Khyber Pakhtunkhwa</t>
        </is>
      </c>
      <c r="C1222" s="14" t="n">
        <v>2025</v>
      </c>
      <c r="D1222" s="15" t="n">
        <v>385.656125993336</v>
      </c>
      <c r="E1222" s="15" t="n">
        <v>6459.36201614721</v>
      </c>
      <c r="F1222" s="15" t="n">
        <v>478.530080603796</v>
      </c>
      <c r="G1222" s="15" t="n">
        <v>178.454506431359</v>
      </c>
      <c r="H1222" s="15" t="n">
        <v>79.7076054829467</v>
      </c>
      <c r="I1222" s="16" t="n">
        <v>20.6680511758094</v>
      </c>
      <c r="J1222" s="15" t="n">
        <v>31.4200421446968</v>
      </c>
      <c r="K1222" s="15" t="n">
        <v>1726.23953430426</v>
      </c>
      <c r="L1222" s="15" t="n">
        <v>337.179529415692</v>
      </c>
      <c r="M1222" s="15" t="n">
        <v>48.4765965776436</v>
      </c>
      <c r="N1222" s="17" t="n">
        <v>1.64669819039139</v>
      </c>
      <c r="O1222" s="18" t="n">
        <v>0.0953922186155398</v>
      </c>
    </row>
    <row r="1223" ht="15" customHeight="1" s="12">
      <c r="A1223" s="14" t="inlineStr">
        <is>
          <t>Nushki</t>
        </is>
      </c>
      <c r="B1223" s="14" t="inlineStr">
        <is>
          <t>Balochistan</t>
        </is>
      </c>
      <c r="C1223" s="14" t="n">
        <v>2015</v>
      </c>
      <c r="D1223" s="15" t="n">
        <v>1.68122065789538</v>
      </c>
      <c r="E1223" s="15" t="n">
        <v>91.5177409891989</v>
      </c>
      <c r="F1223" s="15" t="n">
        <v>6.12799501419067</v>
      </c>
      <c r="G1223" s="15" t="n">
        <v>0</v>
      </c>
      <c r="H1223" s="15" t="n">
        <v>1.71535820500179</v>
      </c>
      <c r="I1223" s="16" t="n">
        <v>102.030521511028</v>
      </c>
      <c r="J1223" s="15" t="n">
        <v>0.55579569195303</v>
      </c>
      <c r="K1223" s="15" t="n">
        <v>5870.45493777973</v>
      </c>
      <c r="L1223" s="15" t="n">
        <v>6.6766287022526</v>
      </c>
      <c r="M1223" s="15" t="n">
        <v>-4.99540804435722</v>
      </c>
      <c r="N1223" s="17" t="n">
        <v>0.0469354715576171</v>
      </c>
      <c r="O1223" s="18" t="n">
        <v>0.000799520174417157</v>
      </c>
    </row>
    <row r="1224" ht="15" customHeight="1" s="12">
      <c r="A1224" s="14" t="inlineStr">
        <is>
          <t>Nushki</t>
        </is>
      </c>
      <c r="B1224" s="14" t="inlineStr">
        <is>
          <t>Balochistan</t>
        </is>
      </c>
      <c r="C1224" s="14" t="n">
        <v>2016</v>
      </c>
      <c r="D1224" s="15" t="n">
        <v>1.14467841019419</v>
      </c>
      <c r="E1224" s="15" t="n">
        <v>62.3109059290413</v>
      </c>
      <c r="F1224" s="15" t="n">
        <v>3.81121230125427</v>
      </c>
      <c r="G1224" s="15" t="n">
        <v>0</v>
      </c>
      <c r="H1224" s="15" t="n">
        <v>1.24910395025354</v>
      </c>
      <c r="I1224" s="16" t="n">
        <v>109.122696744288</v>
      </c>
      <c r="J1224" s="15" t="n">
        <v>0.471507816439738</v>
      </c>
      <c r="K1224" s="15" t="n">
        <v>5870.45493777973</v>
      </c>
      <c r="L1224" s="15" t="n">
        <v>6.6766287022526</v>
      </c>
      <c r="M1224" s="15" t="n">
        <v>-5.53195029205841</v>
      </c>
      <c r="N1224" s="17" t="n">
        <v>0.046928709777832</v>
      </c>
      <c r="O1224" s="18" t="n">
        <v>0.000799404991184226</v>
      </c>
    </row>
    <row r="1225" ht="15" customHeight="1" s="12">
      <c r="A1225" s="14" t="inlineStr">
        <is>
          <t>Nushki</t>
        </is>
      </c>
      <c r="B1225" s="14" t="inlineStr">
        <is>
          <t>Balochistan</t>
        </is>
      </c>
      <c r="C1225" s="14" t="n">
        <v>2017</v>
      </c>
      <c r="D1225" s="15" t="n">
        <v>1.53477463717946</v>
      </c>
      <c r="E1225" s="15" t="n">
        <v>83.5459087791688</v>
      </c>
      <c r="F1225" s="15" t="n">
        <v>6.48350310325623</v>
      </c>
      <c r="G1225" s="15" t="n">
        <v>0</v>
      </c>
      <c r="H1225" s="15" t="n">
        <v>1.73303901050647</v>
      </c>
      <c r="I1225" s="16" t="n">
        <v>112.918142411538</v>
      </c>
      <c r="J1225" s="15" t="n">
        <v>0.5427562855702039</v>
      </c>
      <c r="K1225" s="15" t="n">
        <v>5870.45493777973</v>
      </c>
      <c r="L1225" s="15" t="n">
        <v>6.6766287022526</v>
      </c>
      <c r="M1225" s="15" t="n">
        <v>-5.14185406507314</v>
      </c>
      <c r="N1225" s="17" t="n">
        <v>0.0187515784912109</v>
      </c>
      <c r="O1225" s="18" t="n">
        <v>0.000319422918495358</v>
      </c>
    </row>
    <row r="1226" ht="15" customHeight="1" s="12">
      <c r="A1226" s="14" t="inlineStr">
        <is>
          <t>Nushki</t>
        </is>
      </c>
      <c r="B1226" s="14" t="inlineStr">
        <is>
          <t>Balochistan</t>
        </is>
      </c>
      <c r="C1226" s="14" t="n">
        <v>2018</v>
      </c>
      <c r="D1226" s="15" t="n">
        <v>0.412212688209956</v>
      </c>
      <c r="E1226" s="15" t="n">
        <v>22.4389189217349</v>
      </c>
      <c r="F1226" s="15" t="n">
        <v>2.03566533327103</v>
      </c>
      <c r="G1226" s="15" t="n">
        <v>0</v>
      </c>
      <c r="H1226" s="15" t="n">
        <v>0.523761457908265</v>
      </c>
      <c r="I1226" s="16" t="n">
        <v>127.060974319522</v>
      </c>
      <c r="J1226" s="15" t="n">
        <v>0.0418557740796772</v>
      </c>
      <c r="K1226" s="15" t="n">
        <v>5870.45493777973</v>
      </c>
      <c r="L1226" s="15" t="n">
        <v>6.6766287022526</v>
      </c>
      <c r="M1226" s="15" t="n">
        <v>-6.26441601404264</v>
      </c>
      <c r="N1226" s="17" t="n">
        <v>0.0234581717529296</v>
      </c>
      <c r="O1226" s="18" t="n">
        <v>0.000399597169240886</v>
      </c>
    </row>
    <row r="1227" ht="15" customHeight="1" s="12">
      <c r="A1227" s="14" t="inlineStr">
        <is>
          <t>Nushki</t>
        </is>
      </c>
      <c r="B1227" s="14" t="inlineStr">
        <is>
          <t>Balochistan</t>
        </is>
      </c>
      <c r="C1227" s="14" t="n">
        <v>2019</v>
      </c>
      <c r="D1227" s="15" t="n">
        <v>1.6991240201422</v>
      </c>
      <c r="E1227" s="15" t="n">
        <v>92.49231577879959</v>
      </c>
      <c r="F1227" s="15" t="n">
        <v>12.9053494669497</v>
      </c>
      <c r="G1227" s="15" t="n">
        <v>0.188144744373858</v>
      </c>
      <c r="H1227" s="15" t="n">
        <v>2.34935659922871</v>
      </c>
      <c r="I1227" s="16" t="n">
        <v>138.268694420086</v>
      </c>
      <c r="J1227" s="15" t="n">
        <v>0.450832072617247</v>
      </c>
      <c r="K1227" s="15" t="n">
        <v>5870.45493777973</v>
      </c>
      <c r="L1227" s="15" t="n">
        <v>6.6766287022526</v>
      </c>
      <c r="M1227" s="15" t="n">
        <v>-4.9775046821104</v>
      </c>
      <c r="N1227" s="17" t="n">
        <v>0.026573244140625</v>
      </c>
      <c r="O1227" s="18" t="n">
        <v>0.000452660729402946</v>
      </c>
    </row>
    <row r="1228" ht="15" customHeight="1" s="12">
      <c r="A1228" s="14" t="inlineStr">
        <is>
          <t>Nushki</t>
        </is>
      </c>
      <c r="B1228" s="14" t="inlineStr">
        <is>
          <t>Balochistan</t>
        </is>
      </c>
      <c r="C1228" s="14" t="n">
        <v>2020</v>
      </c>
      <c r="D1228" s="15" t="n">
        <v>7.37350529263055</v>
      </c>
      <c r="E1228" s="15" t="n">
        <v>401.378929282371</v>
      </c>
      <c r="F1228" s="15" t="n">
        <v>18.6112900972366</v>
      </c>
      <c r="G1228" s="15" t="n">
        <v>2.92049929617497</v>
      </c>
      <c r="H1228" s="15" t="n">
        <v>3.91061246619814</v>
      </c>
      <c r="I1228" s="16" t="n">
        <v>53.0360027015455</v>
      </c>
      <c r="J1228" s="15" t="n">
        <v>2.08234277069375</v>
      </c>
      <c r="K1228" s="15" t="n">
        <v>5870.45493777973</v>
      </c>
      <c r="L1228" s="15" t="n">
        <v>6.6766287022526</v>
      </c>
      <c r="M1228" s="15" t="n">
        <v>0.696876590377949</v>
      </c>
      <c r="N1228" s="17" t="n">
        <v>0.0289134113769531</v>
      </c>
      <c r="O1228" s="18" t="n">
        <v>0.000492524202696435</v>
      </c>
    </row>
    <row r="1229" ht="15" customHeight="1" s="12">
      <c r="A1229" s="14" t="inlineStr">
        <is>
          <t>Nushki</t>
        </is>
      </c>
      <c r="B1229" s="14" t="inlineStr">
        <is>
          <t>Balochistan</t>
        </is>
      </c>
      <c r="C1229" s="14" t="n">
        <v>2021</v>
      </c>
      <c r="D1229" s="15" t="n">
        <v>8.204158544321411</v>
      </c>
      <c r="E1229" s="15" t="n">
        <v>446.595783347943</v>
      </c>
      <c r="F1229" s="15" t="n">
        <v>18.2708472013474</v>
      </c>
      <c r="G1229" s="15" t="n">
        <v>3.93082082271576</v>
      </c>
      <c r="H1229" s="15" t="n">
        <v>2.33864917099465</v>
      </c>
      <c r="I1229" s="16" t="n">
        <v>28.5056554960577</v>
      </c>
      <c r="J1229" s="15" t="n">
        <v>2.34053742525755</v>
      </c>
      <c r="K1229" s="15" t="n">
        <v>5870.45493777973</v>
      </c>
      <c r="L1229" s="15" t="n">
        <v>6.6766287022526</v>
      </c>
      <c r="M1229" s="15" t="n">
        <v>1.52752984206882</v>
      </c>
      <c r="N1229" s="17" t="n">
        <v>0.0679652407836914</v>
      </c>
      <c r="O1229" s="18" t="n">
        <v>0.00115775083028568</v>
      </c>
    </row>
    <row r="1230" ht="15" customHeight="1" s="12">
      <c r="A1230" s="14" t="inlineStr">
        <is>
          <t>Nushki</t>
        </is>
      </c>
      <c r="B1230" s="14" t="inlineStr">
        <is>
          <t>Balochistan</t>
        </is>
      </c>
      <c r="C1230" s="14" t="n">
        <v>2022</v>
      </c>
      <c r="D1230" s="15" t="n">
        <v>23.684977703276</v>
      </c>
      <c r="E1230" s="15" t="n">
        <v>1289.29872744774</v>
      </c>
      <c r="F1230" s="15" t="n">
        <v>57.2474114261568</v>
      </c>
      <c r="G1230" s="15" t="n">
        <v>12.2888305815868</v>
      </c>
      <c r="H1230" s="15" t="n">
        <v>10.4475590314394</v>
      </c>
      <c r="I1230" s="16" t="n">
        <v>44.1104870873252</v>
      </c>
      <c r="J1230" s="15" t="n">
        <v>8.49376846048556</v>
      </c>
      <c r="K1230" s="15" t="n">
        <v>5870.45493777973</v>
      </c>
      <c r="L1230" s="15" t="n">
        <v>6.6766287022526</v>
      </c>
      <c r="M1230" s="15" t="n">
        <v>17.0083490010234</v>
      </c>
      <c r="N1230" s="17" t="n">
        <v>0.385149273742676</v>
      </c>
      <c r="O1230" s="18" t="n">
        <v>0.00656080794120436</v>
      </c>
    </row>
    <row r="1231" ht="15" customHeight="1" s="12">
      <c r="A1231" s="14" t="inlineStr">
        <is>
          <t>Nushki</t>
        </is>
      </c>
      <c r="B1231" s="14" t="inlineStr">
        <is>
          <t>Balochistan</t>
        </is>
      </c>
      <c r="C1231" s="14" t="n">
        <v>2023</v>
      </c>
      <c r="D1231" s="15" t="n">
        <v>8.60227303423015</v>
      </c>
      <c r="E1231" s="15" t="n">
        <v>468.267262698622</v>
      </c>
      <c r="F1231" s="15" t="n">
        <v>23.5185861587524</v>
      </c>
      <c r="G1231" s="15" t="n">
        <v>5.34354686737061</v>
      </c>
      <c r="H1231" s="15" t="n">
        <v>3.25209556900833</v>
      </c>
      <c r="I1231" s="16" t="n">
        <v>37.8050726368205</v>
      </c>
      <c r="J1231" s="15" t="n">
        <v>2.61133924068871</v>
      </c>
      <c r="K1231" s="15" t="n">
        <v>5870.45493777973</v>
      </c>
      <c r="L1231" s="15" t="n">
        <v>6.6766287022526</v>
      </c>
      <c r="M1231" s="15" t="n">
        <v>1.92564433197755</v>
      </c>
      <c r="N1231" s="17" t="n">
        <v>0.0374982998657226</v>
      </c>
      <c r="O1231" s="18" t="n">
        <v>0.000638763098655261</v>
      </c>
    </row>
    <row r="1232" ht="15" customHeight="1" s="12">
      <c r="A1232" s="14" t="inlineStr">
        <is>
          <t>Nushki</t>
        </is>
      </c>
      <c r="B1232" s="14" t="inlineStr">
        <is>
          <t>Balochistan</t>
        </is>
      </c>
      <c r="C1232" s="14" t="n">
        <v>2024</v>
      </c>
      <c r="D1232" s="15" t="n">
        <v>9.105975321711391</v>
      </c>
      <c r="E1232" s="15" t="n">
        <v>495.686444865396</v>
      </c>
      <c r="F1232" s="15" t="n">
        <v>33.3564187576703</v>
      </c>
      <c r="G1232" s="15" t="n">
        <v>1.66391090760806</v>
      </c>
      <c r="H1232" s="15" t="n">
        <v>8.502816087840451</v>
      </c>
      <c r="I1232" s="16" t="n">
        <v>93.3762259114317</v>
      </c>
      <c r="J1232" s="15" t="n">
        <v>2.85829551185073</v>
      </c>
      <c r="K1232" s="15" t="n">
        <v>5870.45493777973</v>
      </c>
      <c r="L1232" s="15" t="n">
        <v>6.6766287022526</v>
      </c>
      <c r="M1232" s="15" t="n">
        <v>2.4293466194588</v>
      </c>
      <c r="N1232" s="17" t="n">
        <v>0.141393373779297</v>
      </c>
      <c r="O1232" s="18" t="n">
        <v>0.00240855905169035</v>
      </c>
    </row>
    <row r="1233" ht="15" customHeight="1" s="12">
      <c r="A1233" s="14" t="inlineStr">
        <is>
          <t>Nushki</t>
        </is>
      </c>
      <c r="B1233" s="14" t="inlineStr">
        <is>
          <t>Balochistan</t>
        </is>
      </c>
      <c r="C1233" s="14" t="n">
        <v>2025</v>
      </c>
      <c r="D1233" s="15" t="n">
        <v>10.0000154149879</v>
      </c>
      <c r="E1233" s="15" t="n">
        <v>544.35378029587</v>
      </c>
      <c r="F1233" s="15" t="n">
        <v>27.8554022994028</v>
      </c>
      <c r="G1233" s="15" t="n">
        <v>5.86694630460988</v>
      </c>
      <c r="H1233" s="15" t="n">
        <v>4.4319829613383</v>
      </c>
      <c r="I1233" s="16" t="n">
        <v>44.3197612945247</v>
      </c>
      <c r="J1233" s="15" t="n">
        <v>2.21194438441035</v>
      </c>
      <c r="K1233" s="15" t="n">
        <v>5870.45493777973</v>
      </c>
      <c r="L1233" s="15" t="n">
        <v>6.6766287022526</v>
      </c>
      <c r="M1233" s="15" t="n">
        <v>3.3233867127353</v>
      </c>
      <c r="N1233" s="17" t="n">
        <v>0.0242351860961914</v>
      </c>
      <c r="O1233" s="18" t="n">
        <v>0.000412833185043703</v>
      </c>
    </row>
    <row r="1234" ht="15" customHeight="1" s="12">
      <c r="A1234" s="14" t="inlineStr">
        <is>
          <t>Okara</t>
        </is>
      </c>
      <c r="B1234" s="14" t="inlineStr">
        <is>
          <t>Punjab</t>
        </is>
      </c>
      <c r="C1234" s="14" t="n">
        <v>2015</v>
      </c>
      <c r="D1234" s="15" t="n">
        <v>251.054251769398</v>
      </c>
      <c r="E1234" s="15" t="n">
        <v>10485.2069856631</v>
      </c>
      <c r="F1234" s="15" t="n">
        <v>343.919316112995</v>
      </c>
      <c r="G1234" s="15" t="n">
        <v>180.974531888962</v>
      </c>
      <c r="H1234" s="15" t="n">
        <v>45.8737064034936</v>
      </c>
      <c r="I1234" s="16" t="n">
        <v>18.272427604863</v>
      </c>
      <c r="J1234" s="15" t="n">
        <v>25.4204694835681</v>
      </c>
      <c r="K1234" s="15" t="n">
        <v>4441.60825236324</v>
      </c>
      <c r="L1234" s="15" t="n">
        <v>278.279872078683</v>
      </c>
      <c r="M1234" s="15" t="n">
        <v>-27.2256203092855</v>
      </c>
      <c r="N1234" s="17" t="n">
        <v>5.22448413971426</v>
      </c>
      <c r="O1234" s="18" t="n">
        <v>0.11762595534927</v>
      </c>
    </row>
    <row r="1235" ht="15" customHeight="1" s="12">
      <c r="A1235" s="14" t="inlineStr">
        <is>
          <t>Okara</t>
        </is>
      </c>
      <c r="B1235" s="14" t="inlineStr">
        <is>
          <t>Punjab</t>
        </is>
      </c>
      <c r="C1235" s="14" t="n">
        <v>2016</v>
      </c>
      <c r="D1235" s="15" t="n">
        <v>209.388030494032</v>
      </c>
      <c r="E1235" s="15" t="n">
        <v>8745.029508868391</v>
      </c>
      <c r="F1235" s="15" t="n">
        <v>317.12445640564</v>
      </c>
      <c r="G1235" s="15" t="n">
        <v>151.914389967918</v>
      </c>
      <c r="H1235" s="15" t="n">
        <v>39.4941724045857</v>
      </c>
      <c r="I1235" s="16" t="n">
        <v>18.861714450154</v>
      </c>
      <c r="J1235" s="15" t="n">
        <v>19.1905164319249</v>
      </c>
      <c r="K1235" s="15" t="n">
        <v>4441.60825236324</v>
      </c>
      <c r="L1235" s="15" t="n">
        <v>278.279872078683</v>
      </c>
      <c r="M1235" s="15" t="n">
        <v>-68.8918415846514</v>
      </c>
      <c r="N1235" s="17" t="n">
        <v>5.08346185880462</v>
      </c>
      <c r="O1235" s="18" t="n">
        <v>0.114450927906572</v>
      </c>
    </row>
    <row r="1236" ht="15" customHeight="1" s="12">
      <c r="A1236" s="14" t="inlineStr">
        <is>
          <t>Okara</t>
        </is>
      </c>
      <c r="B1236" s="14" t="inlineStr">
        <is>
          <t>Punjab</t>
        </is>
      </c>
      <c r="C1236" s="14" t="n">
        <v>2017</v>
      </c>
      <c r="D1236" s="15" t="n">
        <v>223.414174699039</v>
      </c>
      <c r="E1236" s="15" t="n">
        <v>9330.82729625398</v>
      </c>
      <c r="F1236" s="15" t="n">
        <v>291.451089859009</v>
      </c>
      <c r="G1236" s="15" t="n">
        <v>156.792465567589</v>
      </c>
      <c r="H1236" s="15" t="n">
        <v>39.0323085979256</v>
      </c>
      <c r="I1236" s="16" t="n">
        <v>17.4708290781039</v>
      </c>
      <c r="J1236" s="15" t="n">
        <v>17.3091079812207</v>
      </c>
      <c r="K1236" s="15" t="n">
        <v>4441.60825236324</v>
      </c>
      <c r="L1236" s="15" t="n">
        <v>278.279872078683</v>
      </c>
      <c r="M1236" s="15" t="n">
        <v>-54.8656973796442</v>
      </c>
      <c r="N1236" s="17" t="n">
        <v>3.11144287231135</v>
      </c>
      <c r="O1236" s="18" t="n">
        <v>0.0700521679429033</v>
      </c>
    </row>
    <row r="1237" ht="15" customHeight="1" s="12">
      <c r="A1237" s="14" t="inlineStr">
        <is>
          <t>Okara</t>
        </is>
      </c>
      <c r="B1237" s="14" t="inlineStr">
        <is>
          <t>Punjab</t>
        </is>
      </c>
      <c r="C1237" s="14" t="n">
        <v>2018</v>
      </c>
      <c r="D1237" s="15" t="n">
        <v>259.441991453004</v>
      </c>
      <c r="E1237" s="15" t="n">
        <v>10835.5184665666</v>
      </c>
      <c r="F1237" s="15" t="n">
        <v>355.019315302372</v>
      </c>
      <c r="G1237" s="15" t="n">
        <v>192.550255849958</v>
      </c>
      <c r="H1237" s="15" t="n">
        <v>45.0324947079987</v>
      </c>
      <c r="I1237" s="16" t="n">
        <v>17.3574425850628</v>
      </c>
      <c r="J1237" s="15" t="n">
        <v>22.1931455399061</v>
      </c>
      <c r="K1237" s="15" t="n">
        <v>4441.60825236324</v>
      </c>
      <c r="L1237" s="15" t="n">
        <v>278.279872078683</v>
      </c>
      <c r="M1237" s="15" t="n">
        <v>-18.8378806256794</v>
      </c>
      <c r="N1237" s="17" t="n">
        <v>2.54241892798402</v>
      </c>
      <c r="O1237" s="18" t="n">
        <v>0.0572409538061192</v>
      </c>
    </row>
    <row r="1238" ht="15" customHeight="1" s="12">
      <c r="A1238" s="14" t="inlineStr">
        <is>
          <t>Okara</t>
        </is>
      </c>
      <c r="B1238" s="14" t="inlineStr">
        <is>
          <t>Punjab</t>
        </is>
      </c>
      <c r="C1238" s="14" t="n">
        <v>2019</v>
      </c>
      <c r="D1238" s="15" t="n">
        <v>209.792868481983</v>
      </c>
      <c r="E1238" s="15" t="n">
        <v>8761.93744836517</v>
      </c>
      <c r="F1238" s="15" t="n">
        <v>322.627732992172</v>
      </c>
      <c r="G1238" s="15" t="n">
        <v>133.073312342167</v>
      </c>
      <c r="H1238" s="15" t="n">
        <v>54.580571148368</v>
      </c>
      <c r="I1238" s="16" t="n">
        <v>26.0164092055662</v>
      </c>
      <c r="J1238" s="15" t="n">
        <v>16.9476995305164</v>
      </c>
      <c r="K1238" s="15" t="n">
        <v>4441.60825236324</v>
      </c>
      <c r="L1238" s="15" t="n">
        <v>278.279872078683</v>
      </c>
      <c r="M1238" s="15" t="n">
        <v>-68.4870035967003</v>
      </c>
      <c r="N1238" s="17" t="n">
        <v>6.02061580959618</v>
      </c>
      <c r="O1238" s="18" t="n">
        <v>0.135550356256494</v>
      </c>
    </row>
    <row r="1239" ht="15" customHeight="1" s="12">
      <c r="A1239" s="14" t="inlineStr">
        <is>
          <t>Okara</t>
        </is>
      </c>
      <c r="B1239" s="14" t="inlineStr">
        <is>
          <t>Punjab</t>
        </is>
      </c>
      <c r="C1239" s="14" t="n">
        <v>2020</v>
      </c>
      <c r="D1239" s="15" t="n">
        <v>304.810361250257</v>
      </c>
      <c r="E1239" s="15" t="n">
        <v>12730.3150875107</v>
      </c>
      <c r="F1239" s="15" t="n">
        <v>484.480150185288</v>
      </c>
      <c r="G1239" s="15" t="n">
        <v>190.071977203795</v>
      </c>
      <c r="H1239" s="15" t="n">
        <v>85.2732426637365</v>
      </c>
      <c r="I1239" s="16" t="n">
        <v>27.9758346514097</v>
      </c>
      <c r="J1239" s="15" t="n">
        <v>23.9238497652582</v>
      </c>
      <c r="K1239" s="15" t="n">
        <v>4441.60825236324</v>
      </c>
      <c r="L1239" s="15" t="n">
        <v>278.279872078683</v>
      </c>
      <c r="M1239" s="15" t="n">
        <v>26.5304891715736</v>
      </c>
      <c r="N1239" s="17" t="n">
        <v>2.17159230599054</v>
      </c>
      <c r="O1239" s="18" t="n">
        <v>0.0488920270002449</v>
      </c>
    </row>
    <row r="1240" ht="15" customHeight="1" s="12">
      <c r="A1240" s="14" t="inlineStr">
        <is>
          <t>Okara</t>
        </is>
      </c>
      <c r="B1240" s="14" t="inlineStr">
        <is>
          <t>Punjab</t>
        </is>
      </c>
      <c r="C1240" s="14" t="n">
        <v>2021</v>
      </c>
      <c r="D1240" s="15" t="n">
        <v>240.205375520069</v>
      </c>
      <c r="E1240" s="15" t="n">
        <v>10032.1068599558</v>
      </c>
      <c r="F1240" s="15" t="n">
        <v>371.847365021706</v>
      </c>
      <c r="G1240" s="15" t="n">
        <v>149.966673612595</v>
      </c>
      <c r="H1240" s="15" t="n">
        <v>61.9143947457668</v>
      </c>
      <c r="I1240" s="16" t="n">
        <v>25.7756074824369</v>
      </c>
      <c r="J1240" s="15" t="n">
        <v>17.6098591549296</v>
      </c>
      <c r="K1240" s="15" t="n">
        <v>4441.60825236324</v>
      </c>
      <c r="L1240" s="15" t="n">
        <v>278.279872078683</v>
      </c>
      <c r="M1240" s="15" t="n">
        <v>-38.0744965586139</v>
      </c>
      <c r="N1240" s="17" t="n">
        <v>2.90739739942483</v>
      </c>
      <c r="O1240" s="18" t="n">
        <v>0.0654582132018937</v>
      </c>
    </row>
    <row r="1241" ht="15" customHeight="1" s="12">
      <c r="A1241" s="14" t="inlineStr">
        <is>
          <t>Okara</t>
        </is>
      </c>
      <c r="B1241" s="14" t="inlineStr">
        <is>
          <t>Punjab</t>
        </is>
      </c>
      <c r="C1241" s="14" t="n">
        <v>2022</v>
      </c>
      <c r="D1241" s="15" t="n">
        <v>322.343865579226</v>
      </c>
      <c r="E1241" s="15" t="n">
        <v>13462.5967388971</v>
      </c>
      <c r="F1241" s="15" t="n">
        <v>449.689335977659</v>
      </c>
      <c r="G1241" s="15" t="n">
        <v>234.080067581701</v>
      </c>
      <c r="H1241" s="15" t="n">
        <v>61.7303111034052</v>
      </c>
      <c r="I1241" s="16" t="n">
        <v>19.1504531945972</v>
      </c>
      <c r="J1241" s="15" t="n">
        <v>24.5414084507042</v>
      </c>
      <c r="K1241" s="15" t="n">
        <v>4441.60825236324</v>
      </c>
      <c r="L1241" s="15" t="n">
        <v>278.279872078683</v>
      </c>
      <c r="M1241" s="15" t="n">
        <v>44.0639935005431</v>
      </c>
      <c r="N1241" s="17" t="n">
        <v>6.96775071774067</v>
      </c>
      <c r="O1241" s="18" t="n">
        <v>0.156874499547171</v>
      </c>
    </row>
    <row r="1242" ht="15" customHeight="1" s="12">
      <c r="A1242" s="14" t="inlineStr">
        <is>
          <t>Okara</t>
        </is>
      </c>
      <c r="B1242" s="14" t="inlineStr">
        <is>
          <t>Punjab</t>
        </is>
      </c>
      <c r="C1242" s="14" t="n">
        <v>2023</v>
      </c>
      <c r="D1242" s="15" t="n">
        <v>279.736650127313</v>
      </c>
      <c r="E1242" s="15" t="n">
        <v>11683.1189170819</v>
      </c>
      <c r="F1242" s="15" t="n">
        <v>428.681211471558</v>
      </c>
      <c r="G1242" s="15" t="n">
        <v>202.354879975319</v>
      </c>
      <c r="H1242" s="15" t="n">
        <v>62.3458644528019</v>
      </c>
      <c r="I1242" s="16" t="n">
        <v>22.2873421928901</v>
      </c>
      <c r="J1242" s="15" t="n">
        <v>18.098779342723</v>
      </c>
      <c r="K1242" s="15" t="n">
        <v>4441.60825236324</v>
      </c>
      <c r="L1242" s="15" t="n">
        <v>278.279872078683</v>
      </c>
      <c r="M1242" s="15" t="n">
        <v>1.4567780486293</v>
      </c>
      <c r="N1242" s="17" t="n">
        <v>9.083951083079199</v>
      </c>
      <c r="O1242" s="18" t="n">
        <v>0.204519412045084</v>
      </c>
    </row>
    <row r="1243" ht="15" customHeight="1" s="12">
      <c r="A1243" s="14" t="inlineStr">
        <is>
          <t>Okara</t>
        </is>
      </c>
      <c r="B1243" s="14" t="inlineStr">
        <is>
          <t>Punjab</t>
        </is>
      </c>
      <c r="C1243" s="14" t="n">
        <v>2024</v>
      </c>
      <c r="D1243" s="15" t="n">
        <v>289.725382664271</v>
      </c>
      <c r="E1243" s="15" t="n">
        <v>12100.2953936254</v>
      </c>
      <c r="F1243" s="15" t="n">
        <v>430.838506337255</v>
      </c>
      <c r="G1243" s="15" t="n">
        <v>189.479898918246</v>
      </c>
      <c r="H1243" s="15" t="n">
        <v>71.7676775347316</v>
      </c>
      <c r="I1243" s="16" t="n">
        <v>24.770932002839</v>
      </c>
      <c r="J1243" s="15" t="n">
        <v>28.7520187793427</v>
      </c>
      <c r="K1243" s="15" t="n">
        <v>4441.60825236324</v>
      </c>
      <c r="L1243" s="15" t="n">
        <v>278.279872078683</v>
      </c>
      <c r="M1243" s="15" t="n">
        <v>11.4455105855876</v>
      </c>
      <c r="N1243" s="17" t="n">
        <v>2.99419736447132</v>
      </c>
      <c r="O1243" s="18" t="n">
        <v>0.06741245950446439</v>
      </c>
    </row>
    <row r="1244" ht="15" customHeight="1" s="12">
      <c r="A1244" s="14" t="inlineStr">
        <is>
          <t>Okara</t>
        </is>
      </c>
      <c r="B1244" s="14" t="inlineStr">
        <is>
          <t>Punjab</t>
        </is>
      </c>
      <c r="C1244" s="14" t="n">
        <v>2025</v>
      </c>
      <c r="D1244" s="15" t="n">
        <v>471.165640826924</v>
      </c>
      <c r="E1244" s="15" t="n">
        <v>19678.0944110068</v>
      </c>
      <c r="F1244" s="15" t="n">
        <v>656.041500615382</v>
      </c>
      <c r="G1244" s="15" t="n">
        <v>320.316870553612</v>
      </c>
      <c r="H1244" s="15" t="n">
        <v>98.1179955826685</v>
      </c>
      <c r="I1244" s="16" t="n">
        <v>20.8245226478029</v>
      </c>
      <c r="J1244" s="15" t="n">
        <v>29.9306103286385</v>
      </c>
      <c r="K1244" s="15" t="n">
        <v>4441.60825236324</v>
      </c>
      <c r="L1244" s="15" t="n">
        <v>278.279872078683</v>
      </c>
      <c r="M1244" s="15" t="n">
        <v>192.885768748241</v>
      </c>
      <c r="N1244" s="17" t="n">
        <v>8.34455742553501</v>
      </c>
      <c r="O1244" s="18" t="n">
        <v>0.187872431592659</v>
      </c>
    </row>
    <row r="1245" ht="15" customHeight="1" s="12">
      <c r="A1245" s="14" t="inlineStr">
        <is>
          <t>Orakzai</t>
        </is>
      </c>
      <c r="B1245" s="14" t="inlineStr">
        <is>
          <t>Khyber Pakhtunkhwa</t>
        </is>
      </c>
      <c r="C1245" s="14" t="n">
        <v>2015</v>
      </c>
      <c r="D1245" s="15" t="n">
        <v>396.036289976416</v>
      </c>
      <c r="E1245" s="15" t="n">
        <v>5240.10369560952</v>
      </c>
      <c r="F1245" s="15" t="n">
        <v>478.398420333862</v>
      </c>
      <c r="G1245" s="15" t="n">
        <v>298.291114807129</v>
      </c>
      <c r="H1245" s="15" t="n">
        <v>41.8849248969656</v>
      </c>
      <c r="I1245" s="16" t="n">
        <v>10.5760320347057</v>
      </c>
      <c r="J1245" s="15" t="n">
        <v>24.635151155898</v>
      </c>
      <c r="K1245" s="15" t="n">
        <v>1370.37744691157</v>
      </c>
      <c r="L1245" s="15" t="n">
        <v>345.311489545331</v>
      </c>
      <c r="M1245" s="15" t="n">
        <v>50.7248004310847</v>
      </c>
      <c r="N1245" s="17" t="n">
        <v>0.0074723665771484</v>
      </c>
      <c r="O1245" s="18" t="n">
        <v>0.000545277988483313</v>
      </c>
    </row>
    <row r="1246" ht="15" customHeight="1" s="12">
      <c r="A1246" s="14" t="inlineStr">
        <is>
          <t>Orakzai</t>
        </is>
      </c>
      <c r="B1246" s="14" t="inlineStr">
        <is>
          <t>Khyber Pakhtunkhwa</t>
        </is>
      </c>
      <c r="C1246" s="14" t="n">
        <v>2016</v>
      </c>
      <c r="D1246" s="15" t="n">
        <v>406.835397659407</v>
      </c>
      <c r="E1246" s="15" t="n">
        <v>5382.99071256016</v>
      </c>
      <c r="F1246" s="15" t="n">
        <v>507.798578262329</v>
      </c>
      <c r="G1246" s="15" t="n">
        <v>330.041742801666</v>
      </c>
      <c r="H1246" s="15" t="n">
        <v>40.4322435884718</v>
      </c>
      <c r="I1246" s="16" t="n">
        <v>9.938231486514031</v>
      </c>
      <c r="J1246" s="15" t="n">
        <v>18.1016597510373</v>
      </c>
      <c r="K1246" s="15" t="n">
        <v>1370.37744691157</v>
      </c>
      <c r="L1246" s="15" t="n">
        <v>345.311489545331</v>
      </c>
      <c r="M1246" s="15" t="n">
        <v>61.5239081140759</v>
      </c>
      <c r="N1246" s="17" t="n">
        <v>0.0059787131958007</v>
      </c>
      <c r="O1246" s="18" t="n">
        <v>0.000436282223505281</v>
      </c>
    </row>
    <row r="1247" ht="15" customHeight="1" s="12">
      <c r="A1247" s="14" t="inlineStr">
        <is>
          <t>Orakzai</t>
        </is>
      </c>
      <c r="B1247" s="14" t="inlineStr">
        <is>
          <t>Khyber Pakhtunkhwa</t>
        </is>
      </c>
      <c r="C1247" s="14" t="n">
        <v>2017</v>
      </c>
      <c r="D1247" s="15" t="n">
        <v>483.281197613117</v>
      </c>
      <c r="E1247" s="15" t="n">
        <v>6394.47357155552</v>
      </c>
      <c r="F1247" s="15" t="n">
        <v>552.6278070211411</v>
      </c>
      <c r="G1247" s="15" t="n">
        <v>359.394760489464</v>
      </c>
      <c r="H1247" s="15" t="n">
        <v>46.0199727785388</v>
      </c>
      <c r="I1247" s="16" t="n">
        <v>9.522400831198761</v>
      </c>
      <c r="J1247" s="15" t="n">
        <v>27.1959098992294</v>
      </c>
      <c r="K1247" s="15" t="n">
        <v>1370.37744691157</v>
      </c>
      <c r="L1247" s="15" t="n">
        <v>345.311489545331</v>
      </c>
      <c r="M1247" s="15" t="n">
        <v>137.969708067786</v>
      </c>
      <c r="N1247" s="17" t="n">
        <v>0.0014946685791015</v>
      </c>
      <c r="O1247" s="18" t="n">
        <v>0.000109069846593728</v>
      </c>
    </row>
    <row r="1248" ht="15" customHeight="1" s="12">
      <c r="A1248" s="14" t="inlineStr">
        <is>
          <t>Orakzai</t>
        </is>
      </c>
      <c r="B1248" s="14" t="inlineStr">
        <is>
          <t>Khyber Pakhtunkhwa</t>
        </is>
      </c>
      <c r="C1248" s="14" t="n">
        <v>2018</v>
      </c>
      <c r="D1248" s="15" t="n">
        <v>358.215574090359</v>
      </c>
      <c r="E1248" s="15" t="n">
        <v>4739.68371365047</v>
      </c>
      <c r="F1248" s="15" t="n">
        <v>416.129715204239</v>
      </c>
      <c r="G1248" s="15" t="n">
        <v>254.099763989449</v>
      </c>
      <c r="H1248" s="15" t="n">
        <v>39.1307314388379</v>
      </c>
      <c r="I1248" s="16" t="n">
        <v>10.9237940137598</v>
      </c>
      <c r="J1248" s="15" t="n">
        <v>26.6262596324837</v>
      </c>
      <c r="K1248" s="15" t="n">
        <v>1370.37744691157</v>
      </c>
      <c r="L1248" s="15" t="n">
        <v>345.311489545331</v>
      </c>
      <c r="M1248" s="15" t="n">
        <v>12.9040845450271</v>
      </c>
      <c r="N1248" s="17" t="n">
        <v>0.0067247291870117</v>
      </c>
      <c r="O1248" s="18" t="n">
        <v>0.000490720947149799</v>
      </c>
    </row>
    <row r="1249" ht="15" customHeight="1" s="12">
      <c r="A1249" s="14" t="inlineStr">
        <is>
          <t>Orakzai</t>
        </is>
      </c>
      <c r="B1249" s="14" t="inlineStr">
        <is>
          <t>Khyber Pakhtunkhwa</t>
        </is>
      </c>
      <c r="C1249" s="14" t="n">
        <v>2019</v>
      </c>
      <c r="D1249" s="15" t="n">
        <v>336.373895030092</v>
      </c>
      <c r="E1249" s="15" t="n">
        <v>4450.68832090796</v>
      </c>
      <c r="F1249" s="15" t="n">
        <v>409.25364252299</v>
      </c>
      <c r="G1249" s="15" t="n">
        <v>239.180992855735</v>
      </c>
      <c r="H1249" s="15" t="n">
        <v>38.0651335607824</v>
      </c>
      <c r="I1249" s="16" t="n">
        <v>11.3163161955173</v>
      </c>
      <c r="J1249" s="15" t="n">
        <v>21.292531120332</v>
      </c>
      <c r="K1249" s="15" t="n">
        <v>1370.37744691157</v>
      </c>
      <c r="L1249" s="15" t="n">
        <v>345.311489545331</v>
      </c>
      <c r="M1249" s="15" t="n">
        <v>-8.93759451523994</v>
      </c>
      <c r="N1249" s="17" t="n">
        <v>0</v>
      </c>
      <c r="O1249" s="18" t="n">
        <v>0</v>
      </c>
    </row>
    <row r="1250" ht="15" customHeight="1" s="12">
      <c r="A1250" s="14" t="inlineStr">
        <is>
          <t>Orakzai</t>
        </is>
      </c>
      <c r="B1250" s="14" t="inlineStr">
        <is>
          <t>Khyber Pakhtunkhwa</t>
        </is>
      </c>
      <c r="C1250" s="14" t="n">
        <v>2020</v>
      </c>
      <c r="D1250" s="15" t="n">
        <v>237.476407651908</v>
      </c>
      <c r="E1250" s="15" t="n">
        <v>3142.13882124525</v>
      </c>
      <c r="F1250" s="15" t="n">
        <v>285.652162988612</v>
      </c>
      <c r="G1250" s="15" t="n">
        <v>180.493678107043</v>
      </c>
      <c r="H1250" s="15" t="n">
        <v>24.245271200685</v>
      </c>
      <c r="I1250" s="16" t="n">
        <v>10.2095494202622</v>
      </c>
      <c r="J1250" s="15" t="n">
        <v>27.5459395376408</v>
      </c>
      <c r="K1250" s="15" t="n">
        <v>1370.37744691157</v>
      </c>
      <c r="L1250" s="15" t="n">
        <v>345.311489545331</v>
      </c>
      <c r="M1250" s="15" t="n">
        <v>-107.835081893423</v>
      </c>
      <c r="N1250" s="17" t="n">
        <v>0.002242337524414</v>
      </c>
      <c r="O1250" s="18" t="n">
        <v>0.000163629190590342</v>
      </c>
    </row>
    <row r="1251" ht="15" customHeight="1" s="12">
      <c r="A1251" s="14" t="inlineStr">
        <is>
          <t>Orakzai</t>
        </is>
      </c>
      <c r="B1251" s="14" t="inlineStr">
        <is>
          <t>Khyber Pakhtunkhwa</t>
        </is>
      </c>
      <c r="C1251" s="14" t="n">
        <v>2021</v>
      </c>
      <c r="D1251" s="15" t="n">
        <v>347.193809580497</v>
      </c>
      <c r="E1251" s="15" t="n">
        <v>4593.85064127293</v>
      </c>
      <c r="F1251" s="15" t="n">
        <v>474.894177466631</v>
      </c>
      <c r="G1251" s="15" t="n">
        <v>219.875649929047</v>
      </c>
      <c r="H1251" s="15" t="n">
        <v>60.1986509181597</v>
      </c>
      <c r="I1251" s="16" t="n">
        <v>17.3386302569437</v>
      </c>
      <c r="J1251" s="15" t="n">
        <v>28.4457617071725</v>
      </c>
      <c r="K1251" s="15" t="n">
        <v>1370.37744691157</v>
      </c>
      <c r="L1251" s="15" t="n">
        <v>345.311489545331</v>
      </c>
      <c r="M1251" s="15" t="n">
        <v>1.88232003516583</v>
      </c>
      <c r="N1251" s="17" t="n">
        <v>0</v>
      </c>
      <c r="O1251" s="18" t="n">
        <v>0</v>
      </c>
    </row>
    <row r="1252" ht="15" customHeight="1" s="12">
      <c r="A1252" s="14" t="inlineStr">
        <is>
          <t>Orakzai</t>
        </is>
      </c>
      <c r="B1252" s="14" t="inlineStr">
        <is>
          <t>Khyber Pakhtunkhwa</t>
        </is>
      </c>
      <c r="C1252" s="14" t="n">
        <v>2022</v>
      </c>
      <c r="D1252" s="15" t="n">
        <v>336.285629460518</v>
      </c>
      <c r="E1252" s="15" t="n">
        <v>4449.52044627368</v>
      </c>
      <c r="F1252" s="15" t="n">
        <v>395.664814733405</v>
      </c>
      <c r="G1252" s="15" t="n">
        <v>251.370869597078</v>
      </c>
      <c r="H1252" s="15" t="n">
        <v>34.0534379963971</v>
      </c>
      <c r="I1252" s="16" t="n">
        <v>10.126343504784</v>
      </c>
      <c r="J1252" s="15" t="n">
        <v>25.6724955542383</v>
      </c>
      <c r="K1252" s="15" t="n">
        <v>1370.37744691157</v>
      </c>
      <c r="L1252" s="15" t="n">
        <v>345.311489545331</v>
      </c>
      <c r="M1252" s="15" t="n">
        <v>-9.02586008481336</v>
      </c>
      <c r="N1252" s="17" t="n">
        <v>0.0014943435668945</v>
      </c>
      <c r="O1252" s="18" t="n">
        <v>0.000109046129609205</v>
      </c>
    </row>
    <row r="1253" ht="15" customHeight="1" s="12">
      <c r="A1253" s="14" t="inlineStr">
        <is>
          <t>Orakzai</t>
        </is>
      </c>
      <c r="B1253" s="14" t="inlineStr">
        <is>
          <t>Khyber Pakhtunkhwa</t>
        </is>
      </c>
      <c r="C1253" s="14" t="n">
        <v>2023</v>
      </c>
      <c r="D1253" s="15" t="n">
        <v>267.160858277605</v>
      </c>
      <c r="E1253" s="15" t="n">
        <v>3534.90484638682</v>
      </c>
      <c r="F1253" s="15" t="n">
        <v>360.929930686951</v>
      </c>
      <c r="G1253" s="15" t="n">
        <v>170.19570094347</v>
      </c>
      <c r="H1253" s="15" t="n">
        <v>43.6045579094136</v>
      </c>
      <c r="I1253" s="16" t="n">
        <v>16.3214619800721</v>
      </c>
      <c r="J1253" s="15" t="n">
        <v>21.0011855364552</v>
      </c>
      <c r="K1253" s="15" t="n">
        <v>1370.37744691157</v>
      </c>
      <c r="L1253" s="15" t="n">
        <v>345.311489545331</v>
      </c>
      <c r="M1253" s="15" t="n">
        <v>-78.15063126772669</v>
      </c>
      <c r="N1253" s="17" t="n">
        <v>0.0014935869140625</v>
      </c>
      <c r="O1253" s="18" t="n">
        <v>0.000108990914687673</v>
      </c>
    </row>
    <row r="1254" ht="15" customHeight="1" s="12">
      <c r="A1254" s="14" t="inlineStr">
        <is>
          <t>Orakzai</t>
        </is>
      </c>
      <c r="B1254" s="14" t="inlineStr">
        <is>
          <t>Khyber Pakhtunkhwa</t>
        </is>
      </c>
      <c r="C1254" s="14" t="n">
        <v>2024</v>
      </c>
      <c r="D1254" s="15" t="n">
        <v>299.706556569712</v>
      </c>
      <c r="E1254" s="15" t="n">
        <v>3965.52910535767</v>
      </c>
      <c r="F1254" s="15" t="n">
        <v>358.523153811693</v>
      </c>
      <c r="G1254" s="15" t="n">
        <v>221.776641510878</v>
      </c>
      <c r="H1254" s="15" t="n">
        <v>29.1616196294212</v>
      </c>
      <c r="I1254" s="16" t="n">
        <v>9.73005728109195</v>
      </c>
      <c r="J1254" s="15" t="n">
        <v>33.3604030823948</v>
      </c>
      <c r="K1254" s="15" t="n">
        <v>1370.37744691157</v>
      </c>
      <c r="L1254" s="15" t="n">
        <v>345.311489545331</v>
      </c>
      <c r="M1254" s="15" t="n">
        <v>-45.6049329756199</v>
      </c>
      <c r="N1254" s="17" t="n">
        <v>0.00074791015625</v>
      </c>
      <c r="O1254" s="18" t="n">
        <v>5.45769457849419e-05</v>
      </c>
    </row>
    <row r="1255" ht="15" customHeight="1" s="12">
      <c r="A1255" s="14" t="inlineStr">
        <is>
          <t>Orakzai</t>
        </is>
      </c>
      <c r="B1255" s="14" t="inlineStr">
        <is>
          <t>Khyber Pakhtunkhwa</t>
        </is>
      </c>
      <c r="C1255" s="14" t="n">
        <v>2025</v>
      </c>
      <c r="D1255" s="15" t="n">
        <v>329.860769089015</v>
      </c>
      <c r="E1255" s="15" t="n">
        <v>4364.51072512289</v>
      </c>
      <c r="F1255" s="15" t="n">
        <v>429.56351217677</v>
      </c>
      <c r="G1255" s="15" t="n">
        <v>233.275829379418</v>
      </c>
      <c r="H1255" s="15" t="n">
        <v>42.8448381552602</v>
      </c>
      <c r="I1255" s="16" t="n">
        <v>12.9887644031104</v>
      </c>
      <c r="J1255" s="15" t="n">
        <v>31.968583283936</v>
      </c>
      <c r="K1255" s="15" t="n">
        <v>1370.37744691157</v>
      </c>
      <c r="L1255" s="15" t="n">
        <v>345.311489545331</v>
      </c>
      <c r="M1255" s="15" t="n">
        <v>-15.4507204563162</v>
      </c>
      <c r="N1255" s="17" t="n">
        <v>0.000748049865722656</v>
      </c>
      <c r="O1255" s="18" t="n">
        <v>5.45871407478678e-05</v>
      </c>
    </row>
    <row r="1256" ht="15" customHeight="1" s="12">
      <c r="A1256" s="14" t="inlineStr">
        <is>
          <t>Pakpattan</t>
        </is>
      </c>
      <c r="B1256" s="14" t="inlineStr">
        <is>
          <t>Punjab</t>
        </is>
      </c>
      <c r="C1256" s="14" t="n">
        <v>2015</v>
      </c>
      <c r="D1256" s="15" t="n">
        <v>236.818406634383</v>
      </c>
      <c r="E1256" s="15" t="n">
        <v>6416.38577034099</v>
      </c>
      <c r="F1256" s="15" t="n">
        <v>315.253026306629</v>
      </c>
      <c r="G1256" s="15" t="n">
        <v>191.237800717354</v>
      </c>
      <c r="H1256" s="15" t="n">
        <v>26.7811033402156</v>
      </c>
      <c r="I1256" s="16" t="n">
        <v>11.3087085251621</v>
      </c>
      <c r="J1256" s="15" t="n">
        <v>23.5976262845564</v>
      </c>
      <c r="K1256" s="15" t="n">
        <v>2887.36715729108</v>
      </c>
      <c r="L1256" s="15" t="n">
        <v>227.152667423802</v>
      </c>
      <c r="M1256" s="15" t="n">
        <v>9.66573921058119</v>
      </c>
      <c r="N1256" s="17" t="n">
        <v>6.03682205212401</v>
      </c>
      <c r="O1256" s="18" t="n">
        <v>0.209077049203114</v>
      </c>
    </row>
    <row r="1257" ht="15" customHeight="1" s="12">
      <c r="A1257" s="14" t="inlineStr">
        <is>
          <t>Pakpattan</t>
        </is>
      </c>
      <c r="B1257" s="14" t="inlineStr">
        <is>
          <t>Punjab</t>
        </is>
      </c>
      <c r="C1257" s="14" t="n">
        <v>2016</v>
      </c>
      <c r="D1257" s="15" t="n">
        <v>185.456927783445</v>
      </c>
      <c r="E1257" s="15" t="n">
        <v>5024.79181982676</v>
      </c>
      <c r="F1257" s="15" t="n">
        <v>240.219448745251</v>
      </c>
      <c r="G1257" s="15" t="n">
        <v>138.52635550499</v>
      </c>
      <c r="H1257" s="15" t="n">
        <v>22.9782285800579</v>
      </c>
      <c r="I1257" s="16" t="n">
        <v>12.3900621317793</v>
      </c>
      <c r="J1257" s="15" t="n">
        <v>18.3488203792155</v>
      </c>
      <c r="K1257" s="15" t="n">
        <v>2887.36715729108</v>
      </c>
      <c r="L1257" s="15" t="n">
        <v>227.152667423802</v>
      </c>
      <c r="M1257" s="15" t="n">
        <v>-41.6957396403566</v>
      </c>
      <c r="N1257" s="17" t="n">
        <v>5.73006430788597</v>
      </c>
      <c r="O1257" s="18" t="n">
        <v>0.198452915605714</v>
      </c>
    </row>
    <row r="1258" ht="15" customHeight="1" s="12">
      <c r="A1258" s="14" t="inlineStr">
        <is>
          <t>Pakpattan</t>
        </is>
      </c>
      <c r="B1258" s="14" t="inlineStr">
        <is>
          <t>Punjab</t>
        </is>
      </c>
      <c r="C1258" s="14" t="n">
        <v>2017</v>
      </c>
      <c r="D1258" s="15" t="n">
        <v>191.582425427465</v>
      </c>
      <c r="E1258" s="15" t="n">
        <v>5190.7567736406</v>
      </c>
      <c r="F1258" s="15" t="n">
        <v>231.999711275101</v>
      </c>
      <c r="G1258" s="15" t="n">
        <v>155.225732803345</v>
      </c>
      <c r="H1258" s="15" t="n">
        <v>19.2796538151292</v>
      </c>
      <c r="I1258" s="16" t="n">
        <v>10.0633728652886</v>
      </c>
      <c r="J1258" s="15" t="n">
        <v>19.0508033000434</v>
      </c>
      <c r="K1258" s="15" t="n">
        <v>2887.36715729108</v>
      </c>
      <c r="L1258" s="15" t="n">
        <v>227.152667423802</v>
      </c>
      <c r="M1258" s="15" t="n">
        <v>-35.5702419963375</v>
      </c>
      <c r="N1258" s="17" t="n">
        <v>3.80726454167936</v>
      </c>
      <c r="O1258" s="18" t="n">
        <v>0.1318593838011</v>
      </c>
    </row>
    <row r="1259" ht="15" customHeight="1" s="12">
      <c r="A1259" s="14" t="inlineStr">
        <is>
          <t>Pakpattan</t>
        </is>
      </c>
      <c r="B1259" s="14" t="inlineStr">
        <is>
          <t>Punjab</t>
        </is>
      </c>
      <c r="C1259" s="14" t="n">
        <v>2018</v>
      </c>
      <c r="D1259" s="15" t="n">
        <v>196.069916012257</v>
      </c>
      <c r="E1259" s="15" t="n">
        <v>5312.34137148504</v>
      </c>
      <c r="F1259" s="15" t="n">
        <v>243.829376667738</v>
      </c>
      <c r="G1259" s="15" t="n">
        <v>134.617782875896</v>
      </c>
      <c r="H1259" s="15" t="n">
        <v>31.4642644875164</v>
      </c>
      <c r="I1259" s="16" t="n">
        <v>16.0474718036547</v>
      </c>
      <c r="J1259" s="15" t="n">
        <v>19.5335070198292</v>
      </c>
      <c r="K1259" s="15" t="n">
        <v>2887.36715729108</v>
      </c>
      <c r="L1259" s="15" t="n">
        <v>227.152667423802</v>
      </c>
      <c r="M1259" s="15" t="n">
        <v>-31.0827514115449</v>
      </c>
      <c r="N1259" s="17" t="n">
        <v>2.13238975418893</v>
      </c>
      <c r="O1259" s="18" t="n">
        <v>0.07385239347910071</v>
      </c>
    </row>
    <row r="1260" ht="15" customHeight="1" s="12">
      <c r="A1260" s="14" t="inlineStr">
        <is>
          <t>Pakpattan</t>
        </is>
      </c>
      <c r="B1260" s="14" t="inlineStr">
        <is>
          <t>Punjab</t>
        </is>
      </c>
      <c r="C1260" s="14" t="n">
        <v>2019</v>
      </c>
      <c r="D1260" s="15" t="n">
        <v>165.261076664122</v>
      </c>
      <c r="E1260" s="15" t="n">
        <v>4477.60305361733</v>
      </c>
      <c r="F1260" s="15" t="n">
        <v>256.482670068741</v>
      </c>
      <c r="G1260" s="15" t="n">
        <v>121.004431009293</v>
      </c>
      <c r="H1260" s="15" t="n">
        <v>25.3688325899359</v>
      </c>
      <c r="I1260" s="16" t="n">
        <v>15.3507608095134</v>
      </c>
      <c r="J1260" s="15" t="n">
        <v>16.867998263135</v>
      </c>
      <c r="K1260" s="15" t="n">
        <v>2887.36715729108</v>
      </c>
      <c r="L1260" s="15" t="n">
        <v>227.152667423802</v>
      </c>
      <c r="M1260" s="15" t="n">
        <v>-61.8915907596801</v>
      </c>
      <c r="N1260" s="17" t="n">
        <v>6.93534358016523</v>
      </c>
      <c r="O1260" s="18" t="n">
        <v>0.240196109547494</v>
      </c>
    </row>
    <row r="1261" ht="15" customHeight="1" s="12">
      <c r="A1261" s="14" t="inlineStr">
        <is>
          <t>Pakpattan</t>
        </is>
      </c>
      <c r="B1261" s="14" t="inlineStr">
        <is>
          <t>Punjab</t>
        </is>
      </c>
      <c r="C1261" s="14" t="n">
        <v>2020</v>
      </c>
      <c r="D1261" s="15" t="n">
        <v>208.369354220817</v>
      </c>
      <c r="E1261" s="15" t="n">
        <v>5645.58379730048</v>
      </c>
      <c r="F1261" s="15" t="n">
        <v>282.34134177656</v>
      </c>
      <c r="G1261" s="15" t="n">
        <v>159.494537061905</v>
      </c>
      <c r="H1261" s="15" t="n">
        <v>25.1825361632492</v>
      </c>
      <c r="I1261" s="16" t="n">
        <v>12.0855277674673</v>
      </c>
      <c r="J1261" s="15" t="n">
        <v>16.5497177594442</v>
      </c>
      <c r="K1261" s="15" t="n">
        <v>2887.36715729108</v>
      </c>
      <c r="L1261" s="15" t="n">
        <v>227.152667423802</v>
      </c>
      <c r="M1261" s="15" t="n">
        <v>-18.7833132029852</v>
      </c>
      <c r="N1261" s="17" t="n">
        <v>3.16085423304539</v>
      </c>
      <c r="O1261" s="18" t="n">
        <v>0.109471849642111</v>
      </c>
    </row>
    <row r="1262" ht="15" customHeight="1" s="12">
      <c r="A1262" s="14" t="inlineStr">
        <is>
          <t>Pakpattan</t>
        </is>
      </c>
      <c r="B1262" s="14" t="inlineStr">
        <is>
          <t>Punjab</t>
        </is>
      </c>
      <c r="C1262" s="14" t="n">
        <v>2021</v>
      </c>
      <c r="D1262" s="15" t="n">
        <v>148.713587252548</v>
      </c>
      <c r="E1262" s="15" t="n">
        <v>4029.26342873667</v>
      </c>
      <c r="F1262" s="15" t="n">
        <v>204.402473926544</v>
      </c>
      <c r="G1262" s="15" t="n">
        <v>108.574611663818</v>
      </c>
      <c r="H1262" s="15" t="n">
        <v>23.548823664744</v>
      </c>
      <c r="I1262" s="16" t="n">
        <v>15.835018238618</v>
      </c>
      <c r="J1262" s="15" t="n">
        <v>13.3511361991605</v>
      </c>
      <c r="K1262" s="15" t="n">
        <v>2887.36715729108</v>
      </c>
      <c r="L1262" s="15" t="n">
        <v>227.152667423802</v>
      </c>
      <c r="M1262" s="15" t="n">
        <v>-78.4390801712546</v>
      </c>
      <c r="N1262" s="17" t="n">
        <v>2.74710520365397</v>
      </c>
      <c r="O1262" s="18" t="n">
        <v>0.0951422196763955</v>
      </c>
    </row>
    <row r="1263" ht="15" customHeight="1" s="12">
      <c r="A1263" s="14" t="inlineStr">
        <is>
          <t>Pakpattan</t>
        </is>
      </c>
      <c r="B1263" s="14" t="inlineStr">
        <is>
          <t>Punjab</t>
        </is>
      </c>
      <c r="C1263" s="14" t="n">
        <v>2022</v>
      </c>
      <c r="D1263" s="15" t="n">
        <v>284.434771659155</v>
      </c>
      <c r="E1263" s="15" t="n">
        <v>7706.50916624746</v>
      </c>
      <c r="F1263" s="15" t="n">
        <v>344.068599581718</v>
      </c>
      <c r="G1263" s="15" t="n">
        <v>227.804239690304</v>
      </c>
      <c r="H1263" s="15" t="n">
        <v>26.2443813317735</v>
      </c>
      <c r="I1263" s="16" t="n">
        <v>9.226854079297571</v>
      </c>
      <c r="J1263" s="15" t="n">
        <v>28.755536257056</v>
      </c>
      <c r="K1263" s="15" t="n">
        <v>2887.36715729108</v>
      </c>
      <c r="L1263" s="15" t="n">
        <v>227.152667423802</v>
      </c>
      <c r="M1263" s="15" t="n">
        <v>57.2821042353529</v>
      </c>
      <c r="N1263" s="17" t="n">
        <v>11.1019284246267</v>
      </c>
      <c r="O1263" s="18" t="n">
        <v>0.384500059044883</v>
      </c>
    </row>
    <row r="1264" ht="15" customHeight="1" s="12">
      <c r="A1264" s="14" t="inlineStr">
        <is>
          <t>Pakpattan</t>
        </is>
      </c>
      <c r="B1264" s="14" t="inlineStr">
        <is>
          <t>Punjab</t>
        </is>
      </c>
      <c r="C1264" s="14" t="n">
        <v>2023</v>
      </c>
      <c r="D1264" s="15" t="n">
        <v>230.874783521029</v>
      </c>
      <c r="E1264" s="15" t="n">
        <v>6255.34854645799</v>
      </c>
      <c r="F1264" s="15" t="n">
        <v>279.216561317444</v>
      </c>
      <c r="G1264" s="15" t="n">
        <v>174.383618474007</v>
      </c>
      <c r="H1264" s="15" t="n">
        <v>26.4452440014365</v>
      </c>
      <c r="I1264" s="16" t="n">
        <v>11.4543665610098</v>
      </c>
      <c r="J1264" s="15" t="n">
        <v>17.5989289332754</v>
      </c>
      <c r="K1264" s="15" t="n">
        <v>2887.36715729108</v>
      </c>
      <c r="L1264" s="15" t="n">
        <v>227.152667423802</v>
      </c>
      <c r="M1264" s="15" t="n">
        <v>3.72211609722672</v>
      </c>
      <c r="N1264" s="17" t="n">
        <v>10.4619289009496</v>
      </c>
      <c r="O1264" s="18" t="n">
        <v>0.362334553627223</v>
      </c>
    </row>
    <row r="1265" ht="15" customHeight="1" s="12">
      <c r="A1265" s="14" t="inlineStr">
        <is>
          <t>Pakpattan</t>
        </is>
      </c>
      <c r="B1265" s="14" t="inlineStr">
        <is>
          <t>Punjab</t>
        </is>
      </c>
      <c r="C1265" s="14" t="n">
        <v>2024</v>
      </c>
      <c r="D1265" s="15" t="n">
        <v>259.064639621957</v>
      </c>
      <c r="E1265" s="15" t="n">
        <v>7019.12782411021</v>
      </c>
      <c r="F1265" s="15" t="n">
        <v>348.341899335384</v>
      </c>
      <c r="G1265" s="15" t="n">
        <v>201.071035420522</v>
      </c>
      <c r="H1265" s="15" t="n">
        <v>36.0509502728986</v>
      </c>
      <c r="I1265" s="16" t="n">
        <v>13.9158127969553</v>
      </c>
      <c r="J1265" s="15" t="n">
        <v>26.5957446808511</v>
      </c>
      <c r="K1265" s="15" t="n">
        <v>2887.36715729108</v>
      </c>
      <c r="L1265" s="15" t="n">
        <v>227.152667423802</v>
      </c>
      <c r="M1265" s="15" t="n">
        <v>31.9119721981553</v>
      </c>
      <c r="N1265" s="17" t="n">
        <v>4.42467673164637</v>
      </c>
      <c r="O1265" s="18" t="n">
        <v>0.15324260790573</v>
      </c>
    </row>
    <row r="1266" ht="15" customHeight="1" s="12">
      <c r="A1266" s="14" t="inlineStr">
        <is>
          <t>Pakpattan</t>
        </is>
      </c>
      <c r="B1266" s="14" t="inlineStr">
        <is>
          <t>Punjab</t>
        </is>
      </c>
      <c r="C1266" s="14" t="n">
        <v>2025</v>
      </c>
      <c r="D1266" s="15" t="n">
        <v>392.033452864644</v>
      </c>
      <c r="E1266" s="15" t="n">
        <v>10621.8004934974</v>
      </c>
      <c r="F1266" s="15" t="n">
        <v>519.148664902337</v>
      </c>
      <c r="G1266" s="15" t="n">
        <v>278.664825515767</v>
      </c>
      <c r="H1266" s="15" t="n">
        <v>49.3413640643881</v>
      </c>
      <c r="I1266" s="16" t="n">
        <v>12.5860085928493</v>
      </c>
      <c r="J1266" s="15" t="n">
        <v>27.0979881314228</v>
      </c>
      <c r="K1266" s="15" t="n">
        <v>2887.36715729108</v>
      </c>
      <c r="L1266" s="15" t="n">
        <v>227.152667423802</v>
      </c>
      <c r="M1266" s="15" t="n">
        <v>164.880785440842</v>
      </c>
      <c r="N1266" s="17" t="n">
        <v>9.78077003269418</v>
      </c>
      <c r="O1266" s="18" t="n">
        <v>0.338743550781068</v>
      </c>
    </row>
    <row r="1267" ht="15" customHeight="1" s="12">
      <c r="A1267" s="14" t="inlineStr">
        <is>
          <t>Panjgur</t>
        </is>
      </c>
      <c r="B1267" s="14" t="inlineStr">
        <is>
          <t>Balochistan</t>
        </is>
      </c>
      <c r="C1267" s="14" t="n">
        <v>2015</v>
      </c>
      <c r="D1267" s="15" t="n">
        <v>20.4500043107009</v>
      </c>
      <c r="E1267" s="15" t="n">
        <v>3263.33951141585</v>
      </c>
      <c r="F1267" s="15" t="n">
        <v>61.4758194684982</v>
      </c>
      <c r="G1267" s="15" t="n">
        <v>2.43632459640503</v>
      </c>
      <c r="H1267" s="15" t="n">
        <v>13.9694738868984</v>
      </c>
      <c r="I1267" s="16" t="n">
        <v>68.31037135570951</v>
      </c>
      <c r="J1267" s="15" t="n">
        <v>7.42195026049346</v>
      </c>
      <c r="K1267" s="15" t="n">
        <v>17613.4730431382</v>
      </c>
      <c r="L1267" s="15" t="n">
        <v>52.8263539794327</v>
      </c>
      <c r="M1267" s="15" t="n">
        <v>-32.3763496687318</v>
      </c>
      <c r="N1267" s="17" t="n">
        <v>15.9773861270883</v>
      </c>
      <c r="O1267" s="18" t="n">
        <v>0.09071116234689811</v>
      </c>
    </row>
    <row r="1268" ht="15" customHeight="1" s="12">
      <c r="A1268" s="14" t="inlineStr">
        <is>
          <t>Panjgur</t>
        </is>
      </c>
      <c r="B1268" s="14" t="inlineStr">
        <is>
          <t>Balochistan</t>
        </is>
      </c>
      <c r="C1268" s="14" t="n">
        <v>2016</v>
      </c>
      <c r="D1268" s="15" t="n">
        <v>31.2644449725852</v>
      </c>
      <c r="E1268" s="15" t="n">
        <v>4989.06978362524</v>
      </c>
      <c r="F1268" s="15" t="n">
        <v>86.7012885212898</v>
      </c>
      <c r="G1268" s="15" t="n">
        <v>10.9567012190819</v>
      </c>
      <c r="H1268" s="15" t="n">
        <v>19.2853919725437</v>
      </c>
      <c r="I1268" s="16" t="n">
        <v>61.6847412114766</v>
      </c>
      <c r="J1268" s="15" t="n">
        <v>10.5879042563649</v>
      </c>
      <c r="K1268" s="15" t="n">
        <v>17613.4730431382</v>
      </c>
      <c r="L1268" s="15" t="n">
        <v>52.8263539794327</v>
      </c>
      <c r="M1268" s="15" t="n">
        <v>-21.5619090068475</v>
      </c>
      <c r="N1268" s="17" t="n">
        <v>4.11401261761474</v>
      </c>
      <c r="O1268" s="18" t="n">
        <v>0.0233571914382749</v>
      </c>
    </row>
    <row r="1269" ht="15" customHeight="1" s="12">
      <c r="A1269" s="14" t="inlineStr">
        <is>
          <t>Panjgur</t>
        </is>
      </c>
      <c r="B1269" s="14" t="inlineStr">
        <is>
          <t>Balochistan</t>
        </is>
      </c>
      <c r="C1269" s="14" t="n">
        <v>2017</v>
      </c>
      <c r="D1269" s="15" t="n">
        <v>22.5388101842091</v>
      </c>
      <c r="E1269" s="15" t="n">
        <v>3596.66378045425</v>
      </c>
      <c r="F1269" s="15" t="n">
        <v>66.5076574683189</v>
      </c>
      <c r="G1269" s="15" t="n">
        <v>1.30408453941345</v>
      </c>
      <c r="H1269" s="15" t="n">
        <v>15.4537818281268</v>
      </c>
      <c r="I1269" s="16" t="n">
        <v>68.5652068668377</v>
      </c>
      <c r="J1269" s="15" t="n">
        <v>7.51725154821587</v>
      </c>
      <c r="K1269" s="15" t="n">
        <v>17613.4730431382</v>
      </c>
      <c r="L1269" s="15" t="n">
        <v>52.8263539794327</v>
      </c>
      <c r="M1269" s="15" t="n">
        <v>-30.2875437952236</v>
      </c>
      <c r="N1269" s="17" t="n">
        <v>0.796350259792433</v>
      </c>
      <c r="O1269" s="18" t="n">
        <v>0.00452125630102617</v>
      </c>
    </row>
    <row r="1270" ht="15" customHeight="1" s="12">
      <c r="A1270" s="14" t="inlineStr">
        <is>
          <t>Panjgur</t>
        </is>
      </c>
      <c r="B1270" s="14" t="inlineStr">
        <is>
          <t>Balochistan</t>
        </is>
      </c>
      <c r="C1270" s="14" t="n">
        <v>2018</v>
      </c>
      <c r="D1270" s="15" t="n">
        <v>22.8832219620068</v>
      </c>
      <c r="E1270" s="15" t="n">
        <v>3651.62379638424</v>
      </c>
      <c r="F1270" s="15" t="n">
        <v>58.8410049111902</v>
      </c>
      <c r="G1270" s="15" t="n">
        <v>8.25476056709886</v>
      </c>
      <c r="H1270" s="15" t="n">
        <v>12.3011148143265</v>
      </c>
      <c r="I1270" s="16" t="n">
        <v>53.7560437719397</v>
      </c>
      <c r="J1270" s="15" t="n">
        <v>8.16946820013762</v>
      </c>
      <c r="K1270" s="15" t="n">
        <v>17613.4730431382</v>
      </c>
      <c r="L1270" s="15" t="n">
        <v>52.8263539794327</v>
      </c>
      <c r="M1270" s="15" t="n">
        <v>-29.9431320174259</v>
      </c>
      <c r="N1270" s="17" t="n">
        <v>4.50520073054101</v>
      </c>
      <c r="O1270" s="18" t="n">
        <v>0.0255781509955876</v>
      </c>
    </row>
    <row r="1271" ht="15" customHeight="1" s="12">
      <c r="A1271" s="14" t="inlineStr">
        <is>
          <t>Panjgur</t>
        </is>
      </c>
      <c r="B1271" s="14" t="inlineStr">
        <is>
          <t>Balochistan</t>
        </is>
      </c>
      <c r="C1271" s="14" t="n">
        <v>2019</v>
      </c>
      <c r="D1271" s="15" t="n">
        <v>41.9215446612649</v>
      </c>
      <c r="E1271" s="15" t="n">
        <v>6689.69213865173</v>
      </c>
      <c r="F1271" s="15" t="n">
        <v>104.98191084154</v>
      </c>
      <c r="G1271" s="15" t="n">
        <v>12.910086967051</v>
      </c>
      <c r="H1271" s="15" t="n">
        <v>24.65702756638</v>
      </c>
      <c r="I1271" s="16" t="n">
        <v>58.8170778667963</v>
      </c>
      <c r="J1271" s="15" t="n">
        <v>12.1437137520889</v>
      </c>
      <c r="K1271" s="15" t="n">
        <v>17613.4730431382</v>
      </c>
      <c r="L1271" s="15" t="n">
        <v>52.8263539794327</v>
      </c>
      <c r="M1271" s="15" t="n">
        <v>-10.9048093181678</v>
      </c>
      <c r="N1271" s="17" t="n">
        <v>7.50484572611013</v>
      </c>
      <c r="O1271" s="18" t="n">
        <v>0.0426085514635845</v>
      </c>
    </row>
    <row r="1272" ht="15" customHeight="1" s="12">
      <c r="A1272" s="14" t="inlineStr">
        <is>
          <t>Panjgur</t>
        </is>
      </c>
      <c r="B1272" s="14" t="inlineStr">
        <is>
          <t>Balochistan</t>
        </is>
      </c>
      <c r="C1272" s="14" t="n">
        <v>2020</v>
      </c>
      <c r="D1272" s="15" t="n">
        <v>71.0795612107103</v>
      </c>
      <c r="E1272" s="15" t="n">
        <v>11342.6255089656</v>
      </c>
      <c r="F1272" s="15" t="n">
        <v>162.32065953058</v>
      </c>
      <c r="G1272" s="15" t="n">
        <v>28.7889433995588</v>
      </c>
      <c r="H1272" s="15" t="n">
        <v>29.0330026487545</v>
      </c>
      <c r="I1272" s="16" t="n">
        <v>40.8457820423064</v>
      </c>
      <c r="J1272" s="15" t="n">
        <v>20.6443035486091</v>
      </c>
      <c r="K1272" s="15" t="n">
        <v>17613.4730431382</v>
      </c>
      <c r="L1272" s="15" t="n">
        <v>52.8263539794327</v>
      </c>
      <c r="M1272" s="15" t="n">
        <v>18.2532072312776</v>
      </c>
      <c r="N1272" s="17" t="n">
        <v>29.2416414591825</v>
      </c>
      <c r="O1272" s="18" t="n">
        <v>0.166018600576758</v>
      </c>
    </row>
    <row r="1273" ht="15" customHeight="1" s="12">
      <c r="A1273" s="14" t="inlineStr">
        <is>
          <t>Panjgur</t>
        </is>
      </c>
      <c r="B1273" s="14" t="inlineStr">
        <is>
          <t>Balochistan</t>
        </is>
      </c>
      <c r="C1273" s="14" t="n">
        <v>2021</v>
      </c>
      <c r="D1273" s="15" t="n">
        <v>50.4641367578395</v>
      </c>
      <c r="E1273" s="15" t="n">
        <v>8052.88883509805</v>
      </c>
      <c r="F1273" s="15" t="n">
        <v>110.44044393301</v>
      </c>
      <c r="G1273" s="15" t="n">
        <v>22.8750436902046</v>
      </c>
      <c r="H1273" s="15" t="n">
        <v>22.8561938444032</v>
      </c>
      <c r="I1273" s="16" t="n">
        <v>45.2919544707214</v>
      </c>
      <c r="J1273" s="15" t="n">
        <v>9.21972377862971</v>
      </c>
      <c r="K1273" s="15" t="n">
        <v>17613.4730431382</v>
      </c>
      <c r="L1273" s="15" t="n">
        <v>52.8263539794327</v>
      </c>
      <c r="M1273" s="15" t="n">
        <v>-2.36221722159323</v>
      </c>
      <c r="N1273" s="17" t="n">
        <v>22.4421214822988</v>
      </c>
      <c r="O1273" s="18" t="n">
        <v>0.127414516304277</v>
      </c>
    </row>
    <row r="1274" ht="15" customHeight="1" s="12">
      <c r="A1274" s="14" t="inlineStr">
        <is>
          <t>Panjgur</t>
        </is>
      </c>
      <c r="B1274" s="14" t="inlineStr">
        <is>
          <t>Balochistan</t>
        </is>
      </c>
      <c r="C1274" s="14" t="n">
        <v>2022</v>
      </c>
      <c r="D1274" s="15" t="n">
        <v>181.331548127138</v>
      </c>
      <c r="E1274" s="15" t="n">
        <v>28936.2484564294</v>
      </c>
      <c r="F1274" s="15" t="n">
        <v>349.498878186569</v>
      </c>
      <c r="G1274" s="15" t="n">
        <v>75.3234873823822</v>
      </c>
      <c r="H1274" s="15" t="n">
        <v>70.5118788873375</v>
      </c>
      <c r="I1274" s="16" t="n">
        <v>38.8856101520179</v>
      </c>
      <c r="J1274" s="15" t="n">
        <v>31.6154280939742</v>
      </c>
      <c r="K1274" s="15" t="n">
        <v>17613.4730431382</v>
      </c>
      <c r="L1274" s="15" t="n">
        <v>52.8263539794327</v>
      </c>
      <c r="M1274" s="15" t="n">
        <v>128.505194147705</v>
      </c>
      <c r="N1274" s="17" t="n">
        <v>51.4407909542011</v>
      </c>
      <c r="O1274" s="18" t="n">
        <v>0.292053650226814</v>
      </c>
    </row>
    <row r="1275" ht="15" customHeight="1" s="12">
      <c r="A1275" s="14" t="inlineStr">
        <is>
          <t>Panjgur</t>
        </is>
      </c>
      <c r="B1275" s="14" t="inlineStr">
        <is>
          <t>Balochistan</t>
        </is>
      </c>
      <c r="C1275" s="14" t="n">
        <v>2023</v>
      </c>
      <c r="D1275" s="15" t="n">
        <v>44.9353119914433</v>
      </c>
      <c r="E1275" s="15" t="n">
        <v>7170.61849237572</v>
      </c>
      <c r="F1275" s="15" t="n">
        <v>101.079617738724</v>
      </c>
      <c r="G1275" s="15" t="n">
        <v>14.1169076561928</v>
      </c>
      <c r="H1275" s="15" t="n">
        <v>22.7237582550289</v>
      </c>
      <c r="I1275" s="16" t="n">
        <v>50.5699354204018</v>
      </c>
      <c r="J1275" s="15" t="n">
        <v>12.8923129853534</v>
      </c>
      <c r="K1275" s="15" t="n">
        <v>17613.4730431382</v>
      </c>
      <c r="L1275" s="15" t="n">
        <v>52.8263539794327</v>
      </c>
      <c r="M1275" s="15" t="n">
        <v>-7.89104198798943</v>
      </c>
      <c r="N1275" s="17" t="n">
        <v>19.5437429693476</v>
      </c>
      <c r="O1275" s="18" t="n">
        <v>0.110959053455737</v>
      </c>
    </row>
    <row r="1276" ht="15" customHeight="1" s="12">
      <c r="A1276" s="14" t="inlineStr">
        <is>
          <t>Panjgur</t>
        </is>
      </c>
      <c r="B1276" s="14" t="inlineStr">
        <is>
          <t>Balochistan</t>
        </is>
      </c>
      <c r="C1276" s="14" t="n">
        <v>2024</v>
      </c>
      <c r="D1276" s="15" t="n">
        <v>53.8235242080997</v>
      </c>
      <c r="E1276" s="15" t="n">
        <v>8588.96802774899</v>
      </c>
      <c r="F1276" s="15" t="n">
        <v>128.716565010138</v>
      </c>
      <c r="G1276" s="15" t="n">
        <v>19.1728630773549</v>
      </c>
      <c r="H1276" s="15" t="n">
        <v>27.8536973037894</v>
      </c>
      <c r="I1276" s="16" t="n">
        <v>51.7500437096942</v>
      </c>
      <c r="J1276" s="15" t="n">
        <v>18.7772535142043</v>
      </c>
      <c r="K1276" s="15" t="n">
        <v>17613.4730431382</v>
      </c>
      <c r="L1276" s="15" t="n">
        <v>52.8263539794327</v>
      </c>
      <c r="M1276" s="15" t="n">
        <v>0.997170228667002</v>
      </c>
      <c r="N1276" s="17" t="n">
        <v>2.23035113635254</v>
      </c>
      <c r="O1276" s="18" t="n">
        <v>0.0126627561236222</v>
      </c>
    </row>
    <row r="1277" ht="15" customHeight="1" s="12">
      <c r="A1277" s="14" t="inlineStr">
        <is>
          <t>Panjgur</t>
        </is>
      </c>
      <c r="B1277" s="14" t="inlineStr">
        <is>
          <t>Balochistan</t>
        </is>
      </c>
      <c r="C1277" s="14" t="n">
        <v>2025</v>
      </c>
      <c r="D1277" s="15" t="n">
        <v>40.3977853877622</v>
      </c>
      <c r="E1277" s="15" t="n">
        <v>6446.53601176008</v>
      </c>
      <c r="F1277" s="15" t="n">
        <v>100.830995566922</v>
      </c>
      <c r="G1277" s="15" t="n">
        <v>14.8205153354465</v>
      </c>
      <c r="H1277" s="15" t="n">
        <v>22.5044721128621</v>
      </c>
      <c r="I1277" s="16" t="n">
        <v>55.707192601898</v>
      </c>
      <c r="J1277" s="15" t="n">
        <v>13.1342770077657</v>
      </c>
      <c r="K1277" s="15" t="n">
        <v>17613.4730431382</v>
      </c>
      <c r="L1277" s="15" t="n">
        <v>52.8263539794327</v>
      </c>
      <c r="M1277" s="15" t="n">
        <v>-12.4285685916705</v>
      </c>
      <c r="N1277" s="17" t="n">
        <v>3.16149109185792</v>
      </c>
      <c r="O1277" s="18" t="n">
        <v>0.0179492771477546</v>
      </c>
    </row>
    <row r="1278" ht="15" customHeight="1" s="12">
      <c r="A1278" s="14" t="inlineStr">
        <is>
          <t>Peshawar</t>
        </is>
      </c>
      <c r="B1278" s="14" t="inlineStr">
        <is>
          <t>Khyber Pakhtunkhwa</t>
        </is>
      </c>
      <c r="C1278" s="14" t="n">
        <v>2015</v>
      </c>
      <c r="D1278" s="15" t="n">
        <v>257.652997437188</v>
      </c>
      <c r="E1278" s="15" t="n">
        <v>3861.76374982327</v>
      </c>
      <c r="F1278" s="15" t="n">
        <v>394.002752363682</v>
      </c>
      <c r="G1278" s="15" t="n">
        <v>123.602307796478</v>
      </c>
      <c r="H1278" s="15" t="n">
        <v>84.6890789012752</v>
      </c>
      <c r="I1278" s="16" t="n">
        <v>32.8694328199776</v>
      </c>
      <c r="J1278" s="15" t="n">
        <v>19.9170591313448</v>
      </c>
      <c r="K1278" s="15" t="n">
        <v>1539.53910637638</v>
      </c>
      <c r="L1278" s="15" t="n">
        <v>223.644256430171</v>
      </c>
      <c r="M1278" s="15" t="n">
        <v>34.0087410070173</v>
      </c>
      <c r="N1278" s="17" t="n">
        <v>0.647871169930731</v>
      </c>
      <c r="O1278" s="18" t="n">
        <v>0.0420821509013584</v>
      </c>
    </row>
    <row r="1279" ht="15" customHeight="1" s="12">
      <c r="A1279" s="14" t="inlineStr">
        <is>
          <t>Peshawar</t>
        </is>
      </c>
      <c r="B1279" s="14" t="inlineStr">
        <is>
          <t>Khyber Pakhtunkhwa</t>
        </is>
      </c>
      <c r="C1279" s="14" t="n">
        <v>2016</v>
      </c>
      <c r="D1279" s="15" t="n">
        <v>272.013316457182</v>
      </c>
      <c r="E1279" s="15" t="n">
        <v>4076.99959019352</v>
      </c>
      <c r="F1279" s="15" t="n">
        <v>407.202553987503</v>
      </c>
      <c r="G1279" s="15" t="n">
        <v>134.576066493988</v>
      </c>
      <c r="H1279" s="15" t="n">
        <v>85.81613130969011</v>
      </c>
      <c r="I1279" s="16" t="n">
        <v>31.5485037377568</v>
      </c>
      <c r="J1279" s="15" t="n">
        <v>18.1412872841444</v>
      </c>
      <c r="K1279" s="15" t="n">
        <v>1539.53910637638</v>
      </c>
      <c r="L1279" s="15" t="n">
        <v>223.644256430171</v>
      </c>
      <c r="M1279" s="15" t="n">
        <v>48.3690600270109</v>
      </c>
      <c r="N1279" s="17" t="n">
        <v>0.77402198675178</v>
      </c>
      <c r="O1279" s="18" t="n">
        <v>0.0502762147155587</v>
      </c>
    </row>
    <row r="1280" ht="15" customHeight="1" s="12">
      <c r="A1280" s="14" t="inlineStr">
        <is>
          <t>Peshawar</t>
        </is>
      </c>
      <c r="B1280" s="14" t="inlineStr">
        <is>
          <t>Khyber Pakhtunkhwa</t>
        </is>
      </c>
      <c r="C1280" s="14" t="n">
        <v>2017</v>
      </c>
      <c r="D1280" s="15" t="n">
        <v>308.307333600219</v>
      </c>
      <c r="E1280" s="15" t="n">
        <v>4620.9828589021</v>
      </c>
      <c r="F1280" s="15" t="n">
        <v>405.581961512566</v>
      </c>
      <c r="G1280" s="15" t="n">
        <v>157.283518850803</v>
      </c>
      <c r="H1280" s="15" t="n">
        <v>82.28066904018451</v>
      </c>
      <c r="I1280" s="16" t="n">
        <v>26.6878728051528</v>
      </c>
      <c r="J1280" s="15" t="n">
        <v>24.5832025117739</v>
      </c>
      <c r="K1280" s="15" t="n">
        <v>1539.53910637638</v>
      </c>
      <c r="L1280" s="15" t="n">
        <v>223.644256430171</v>
      </c>
      <c r="M1280" s="15" t="n">
        <v>84.6630771700477</v>
      </c>
      <c r="N1280" s="17" t="n">
        <v>0.310399699803491</v>
      </c>
      <c r="O1280" s="18" t="n">
        <v>0.020161858735377</v>
      </c>
    </row>
    <row r="1281" ht="15" customHeight="1" s="12">
      <c r="A1281" s="14" t="inlineStr">
        <is>
          <t>Peshawar</t>
        </is>
      </c>
      <c r="B1281" s="14" t="inlineStr">
        <is>
          <t>Khyber Pakhtunkhwa</t>
        </is>
      </c>
      <c r="C1281" s="14" t="n">
        <v>2018</v>
      </c>
      <c r="D1281" s="15" t="n">
        <v>269.789059397603</v>
      </c>
      <c r="E1281" s="15" t="n">
        <v>4043.66190202996</v>
      </c>
      <c r="F1281" s="15" t="n">
        <v>514.451115369797</v>
      </c>
      <c r="G1281" s="15" t="n">
        <v>118.507349848747</v>
      </c>
      <c r="H1281" s="15" t="n">
        <v>118.816297791524</v>
      </c>
      <c r="I1281" s="16" t="n">
        <v>44.0404433214682</v>
      </c>
      <c r="J1281" s="15" t="n">
        <v>22.0115122972266</v>
      </c>
      <c r="K1281" s="15" t="n">
        <v>1539.53910637638</v>
      </c>
      <c r="L1281" s="15" t="n">
        <v>223.644256430171</v>
      </c>
      <c r="M1281" s="15" t="n">
        <v>46.1448029674323</v>
      </c>
      <c r="N1281" s="17" t="n">
        <v>0.9210428050494029</v>
      </c>
      <c r="O1281" s="18" t="n">
        <v>0.0598258791371184</v>
      </c>
    </row>
    <row r="1282" ht="15" customHeight="1" s="12">
      <c r="A1282" s="14" t="inlineStr">
        <is>
          <t>Peshawar</t>
        </is>
      </c>
      <c r="B1282" s="14" t="inlineStr">
        <is>
          <t>Khyber Pakhtunkhwa</t>
        </is>
      </c>
      <c r="C1282" s="14" t="n">
        <v>2019</v>
      </c>
      <c r="D1282" s="15" t="n">
        <v>186.926229153605</v>
      </c>
      <c r="E1282" s="15" t="n">
        <v>2801.69430519639</v>
      </c>
      <c r="F1282" s="15" t="n">
        <v>310.615933214478</v>
      </c>
      <c r="G1282" s="15" t="n">
        <v>74.7300622009017</v>
      </c>
      <c r="H1282" s="15" t="n">
        <v>71.2501445592187</v>
      </c>
      <c r="I1282" s="16" t="n">
        <v>38.1167184946899</v>
      </c>
      <c r="J1282" s="15" t="n">
        <v>17.432757718472</v>
      </c>
      <c r="K1282" s="15" t="n">
        <v>1539.53910637638</v>
      </c>
      <c r="L1282" s="15" t="n">
        <v>223.644256430171</v>
      </c>
      <c r="M1282" s="15" t="n">
        <v>-36.7180272765658</v>
      </c>
      <c r="N1282" s="17" t="n">
        <v>0.495044549697696</v>
      </c>
      <c r="O1282" s="18" t="n">
        <v>0.0321553734911539</v>
      </c>
    </row>
    <row r="1283" ht="15" customHeight="1" s="12">
      <c r="A1283" s="14" t="inlineStr">
        <is>
          <t>Peshawar</t>
        </is>
      </c>
      <c r="B1283" s="14" t="inlineStr">
        <is>
          <t>Khyber Pakhtunkhwa</t>
        </is>
      </c>
      <c r="C1283" s="14" t="n">
        <v>2020</v>
      </c>
      <c r="D1283" s="15" t="n">
        <v>155.81424723685</v>
      </c>
      <c r="E1283" s="15" t="n">
        <v>2335.38059976173</v>
      </c>
      <c r="F1283" s="15" t="n">
        <v>270.009216010571</v>
      </c>
      <c r="G1283" s="15" t="n">
        <v>61.7650428837449</v>
      </c>
      <c r="H1283" s="15" t="n">
        <v>58.7652172660005</v>
      </c>
      <c r="I1283" s="16" t="n">
        <v>37.7149190835372</v>
      </c>
      <c r="J1283" s="15" t="n">
        <v>15.9463631606489</v>
      </c>
      <c r="K1283" s="15" t="n">
        <v>1539.53910637638</v>
      </c>
      <c r="L1283" s="15" t="n">
        <v>223.644256430171</v>
      </c>
      <c r="M1283" s="15" t="n">
        <v>-67.8300091933209</v>
      </c>
      <c r="N1283" s="17" t="n">
        <v>0.734050542778704</v>
      </c>
      <c r="O1283" s="18" t="n">
        <v>0.0476798893732842</v>
      </c>
    </row>
    <row r="1284" ht="15" customHeight="1" s="12">
      <c r="A1284" s="14" t="inlineStr">
        <is>
          <t>Peshawar</t>
        </is>
      </c>
      <c r="B1284" s="14" t="inlineStr">
        <is>
          <t>Khyber Pakhtunkhwa</t>
        </is>
      </c>
      <c r="C1284" s="14" t="n">
        <v>2021</v>
      </c>
      <c r="D1284" s="15" t="n">
        <v>206.204756638787</v>
      </c>
      <c r="E1284" s="15" t="n">
        <v>3090.6454112684</v>
      </c>
      <c r="F1284" s="15" t="n">
        <v>396.957947731018</v>
      </c>
      <c r="G1284" s="15" t="n">
        <v>75.4856053590775</v>
      </c>
      <c r="H1284" s="15" t="n">
        <v>103.350355031592</v>
      </c>
      <c r="I1284" s="16" t="n">
        <v>50.120257513086</v>
      </c>
      <c r="J1284" s="15" t="n">
        <v>16.7862375719519</v>
      </c>
      <c r="K1284" s="15" t="n">
        <v>1539.53910637638</v>
      </c>
      <c r="L1284" s="15" t="n">
        <v>223.644256430171</v>
      </c>
      <c r="M1284" s="15" t="n">
        <v>-17.4394997913842</v>
      </c>
      <c r="N1284" s="17" t="n">
        <v>0.628062141666188</v>
      </c>
      <c r="O1284" s="18" t="n">
        <v>0.0407954652834031</v>
      </c>
    </row>
    <row r="1285" ht="15" customHeight="1" s="12">
      <c r="A1285" s="14" t="inlineStr">
        <is>
          <t>Peshawar</t>
        </is>
      </c>
      <c r="B1285" s="14" t="inlineStr">
        <is>
          <t>Khyber Pakhtunkhwa</t>
        </is>
      </c>
      <c r="C1285" s="14" t="n">
        <v>2022</v>
      </c>
      <c r="D1285" s="15" t="n">
        <v>213.121104670597</v>
      </c>
      <c r="E1285" s="15" t="n">
        <v>3194.30926294518</v>
      </c>
      <c r="F1285" s="15" t="n">
        <v>368.108017541876</v>
      </c>
      <c r="G1285" s="15" t="n">
        <v>109.155195004052</v>
      </c>
      <c r="H1285" s="15" t="n">
        <v>77.6342367518521</v>
      </c>
      <c r="I1285" s="16" t="n">
        <v>36.4272871388522</v>
      </c>
      <c r="J1285" s="15" t="n">
        <v>24.1185243328101</v>
      </c>
      <c r="K1285" s="15" t="n">
        <v>1539.53910637638</v>
      </c>
      <c r="L1285" s="15" t="n">
        <v>223.644256430171</v>
      </c>
      <c r="M1285" s="15" t="n">
        <v>-10.5231517595742</v>
      </c>
      <c r="N1285" s="17" t="n">
        <v>1.89701219003667</v>
      </c>
      <c r="O1285" s="18" t="n">
        <v>0.12321948706465</v>
      </c>
    </row>
    <row r="1286" ht="15" customHeight="1" s="12">
      <c r="A1286" s="14" t="inlineStr">
        <is>
          <t>Peshawar</t>
        </is>
      </c>
      <c r="B1286" s="14" t="inlineStr">
        <is>
          <t>Khyber Pakhtunkhwa</t>
        </is>
      </c>
      <c r="C1286" s="14" t="n">
        <v>2023</v>
      </c>
      <c r="D1286" s="15" t="n">
        <v>162.819603214817</v>
      </c>
      <c r="E1286" s="15" t="n">
        <v>2440.37852347856</v>
      </c>
      <c r="F1286" s="15" t="n">
        <v>299.039076328278</v>
      </c>
      <c r="G1286" s="15" t="n">
        <v>81.29376971721651</v>
      </c>
      <c r="H1286" s="15" t="n">
        <v>63.5110182110688</v>
      </c>
      <c r="I1286" s="16" t="n">
        <v>39.0069850049168</v>
      </c>
      <c r="J1286" s="15" t="n">
        <v>13.9139194139194</v>
      </c>
      <c r="K1286" s="15" t="n">
        <v>1539.53910637638</v>
      </c>
      <c r="L1286" s="15" t="n">
        <v>223.644256430171</v>
      </c>
      <c r="M1286" s="15" t="n">
        <v>-60.8246532153536</v>
      </c>
      <c r="N1286" s="17" t="n">
        <v>0.45065817979114</v>
      </c>
      <c r="O1286" s="18" t="n">
        <v>0.0292722788219299</v>
      </c>
    </row>
    <row r="1287" ht="15" customHeight="1" s="12">
      <c r="A1287" s="14" t="inlineStr">
        <is>
          <t>Peshawar</t>
        </is>
      </c>
      <c r="B1287" s="14" t="inlineStr">
        <is>
          <t>Khyber Pakhtunkhwa</t>
        </is>
      </c>
      <c r="C1287" s="14" t="n">
        <v>2024</v>
      </c>
      <c r="D1287" s="15" t="n">
        <v>208.455997066355</v>
      </c>
      <c r="E1287" s="15" t="n">
        <v>3124.38753250042</v>
      </c>
      <c r="F1287" s="15" t="n">
        <v>339.942463308573</v>
      </c>
      <c r="G1287" s="15" t="n">
        <v>86.6064752787352</v>
      </c>
      <c r="H1287" s="15" t="n">
        <v>80.1875019187587</v>
      </c>
      <c r="I1287" s="16" t="n">
        <v>38.4673518858917</v>
      </c>
      <c r="J1287" s="15" t="n">
        <v>23.1321297749869</v>
      </c>
      <c r="K1287" s="15" t="n">
        <v>1539.53910637638</v>
      </c>
      <c r="L1287" s="15" t="n">
        <v>223.644256430171</v>
      </c>
      <c r="M1287" s="15" t="n">
        <v>-15.1882593638164</v>
      </c>
      <c r="N1287" s="17" t="n">
        <v>0.280440324988511</v>
      </c>
      <c r="O1287" s="18" t="n">
        <v>0.0182158623855022</v>
      </c>
    </row>
    <row r="1288" ht="15" customHeight="1" s="12">
      <c r="A1288" s="14" t="inlineStr">
        <is>
          <t>Peshawar</t>
        </is>
      </c>
      <c r="B1288" s="14" t="inlineStr">
        <is>
          <t>Khyber Pakhtunkhwa</t>
        </is>
      </c>
      <c r="C1288" s="14" t="n">
        <v>2025</v>
      </c>
      <c r="D1288" s="15" t="n">
        <v>218.982175858678</v>
      </c>
      <c r="E1288" s="15" t="n">
        <v>3282.15637698771</v>
      </c>
      <c r="F1288" s="15" t="n">
        <v>390.851574922912</v>
      </c>
      <c r="G1288" s="15" t="n">
        <v>81.7638678234071</v>
      </c>
      <c r="H1288" s="15" t="n">
        <v>93.31817145993691</v>
      </c>
      <c r="I1288" s="16" t="n">
        <v>42.6145055386429</v>
      </c>
      <c r="J1288" s="15" t="n">
        <v>24.6718995290424</v>
      </c>
      <c r="K1288" s="15" t="n">
        <v>1539.53910637638</v>
      </c>
      <c r="L1288" s="15" t="n">
        <v>223.644256430171</v>
      </c>
      <c r="M1288" s="15" t="n">
        <v>-4.66208057149336</v>
      </c>
      <c r="N1288" s="17" t="n">
        <v>0.167248765697045</v>
      </c>
      <c r="O1288" s="18" t="n">
        <v>0.0108635607243976</v>
      </c>
    </row>
    <row r="1289" ht="15" customHeight="1" s="12">
      <c r="A1289" s="14" t="inlineStr">
        <is>
          <t>Pishin</t>
        </is>
      </c>
      <c r="B1289" s="14" t="inlineStr">
        <is>
          <t>Balochistan</t>
        </is>
      </c>
      <c r="C1289" s="14" t="n">
        <v>2015</v>
      </c>
      <c r="D1289" s="15" t="n">
        <v>15.1509478283066</v>
      </c>
      <c r="E1289" s="15" t="n">
        <v>869.902067271518</v>
      </c>
      <c r="F1289" s="15" t="n">
        <v>57.9338948726654</v>
      </c>
      <c r="G1289" s="15" t="n">
        <v>0</v>
      </c>
      <c r="H1289" s="15" t="n">
        <v>11.6130784302134</v>
      </c>
      <c r="I1289" s="16" t="n">
        <v>76.6491876403703</v>
      </c>
      <c r="J1289" s="15" t="n">
        <v>3.0301208933816</v>
      </c>
      <c r="K1289" s="15" t="n">
        <v>6091.84348212112</v>
      </c>
      <c r="L1289" s="15" t="n">
        <v>24.4236295307661</v>
      </c>
      <c r="M1289" s="15" t="n">
        <v>-9.27268170245951</v>
      </c>
      <c r="N1289" s="17" t="n">
        <v>0.749910906433105</v>
      </c>
      <c r="O1289" s="18" t="n">
        <v>0.012310081646615</v>
      </c>
    </row>
    <row r="1290" ht="15" customHeight="1" s="12">
      <c r="A1290" s="14" t="inlineStr">
        <is>
          <t>Pishin</t>
        </is>
      </c>
      <c r="B1290" s="14" t="inlineStr">
        <is>
          <t>Balochistan</t>
        </is>
      </c>
      <c r="C1290" s="14" t="n">
        <v>2016</v>
      </c>
      <c r="D1290" s="15" t="n">
        <v>11.0417810128357</v>
      </c>
      <c r="E1290" s="15" t="n">
        <v>633.971434544816</v>
      </c>
      <c r="F1290" s="15" t="n">
        <v>59.8789944648743</v>
      </c>
      <c r="G1290" s="15" t="n">
        <v>0</v>
      </c>
      <c r="H1290" s="15" t="n">
        <v>11.4363884545388</v>
      </c>
      <c r="I1290" s="16" t="n">
        <v>103.57376623612</v>
      </c>
      <c r="J1290" s="15" t="n">
        <v>3.28481661088724</v>
      </c>
      <c r="K1290" s="15" t="n">
        <v>6091.84348212112</v>
      </c>
      <c r="L1290" s="15" t="n">
        <v>24.4236295307661</v>
      </c>
      <c r="M1290" s="15" t="n">
        <v>-13.3818485179304</v>
      </c>
      <c r="N1290" s="17" t="n">
        <v>0.262304012512207</v>
      </c>
      <c r="O1290" s="18" t="n">
        <v>0.00430582324188138</v>
      </c>
    </row>
    <row r="1291" ht="15" customHeight="1" s="12">
      <c r="A1291" s="14" t="inlineStr">
        <is>
          <t>Pishin</t>
        </is>
      </c>
      <c r="B1291" s="14" t="inlineStr">
        <is>
          <t>Balochistan</t>
        </is>
      </c>
      <c r="C1291" s="14" t="n">
        <v>2017</v>
      </c>
      <c r="D1291" s="15" t="n">
        <v>10.9138203681637</v>
      </c>
      <c r="E1291" s="15" t="n">
        <v>626.624486314841</v>
      </c>
      <c r="F1291" s="15" t="n">
        <v>43.7958543896675</v>
      </c>
      <c r="G1291" s="15" t="n">
        <v>2.54828214645386</v>
      </c>
      <c r="H1291" s="15" t="n">
        <v>8.47373563762457</v>
      </c>
      <c r="I1291" s="16" t="n">
        <v>77.6422494761138</v>
      </c>
      <c r="J1291" s="15" t="n">
        <v>2.69920087425722</v>
      </c>
      <c r="K1291" s="15" t="n">
        <v>6091.84348212112</v>
      </c>
      <c r="L1291" s="15" t="n">
        <v>24.4236295307661</v>
      </c>
      <c r="M1291" s="15" t="n">
        <v>-13.5098091626024</v>
      </c>
      <c r="N1291" s="17" t="n">
        <v>0.158204949829102</v>
      </c>
      <c r="O1291" s="18" t="n">
        <v>0.0025969962999446</v>
      </c>
    </row>
    <row r="1292" ht="15" customHeight="1" s="12">
      <c r="A1292" s="14" t="inlineStr">
        <is>
          <t>Pishin</t>
        </is>
      </c>
      <c r="B1292" s="14" t="inlineStr">
        <is>
          <t>Balochistan</t>
        </is>
      </c>
      <c r="C1292" s="14" t="n">
        <v>2018</v>
      </c>
      <c r="D1292" s="15" t="n">
        <v>7.00704360482649</v>
      </c>
      <c r="E1292" s="15" t="n">
        <v>402.314217326528</v>
      </c>
      <c r="F1292" s="15" t="n">
        <v>21.9501713126847</v>
      </c>
      <c r="G1292" s="15" t="n">
        <v>0.765931910835207</v>
      </c>
      <c r="H1292" s="15" t="n">
        <v>5.00095383207373</v>
      </c>
      <c r="I1292" s="16" t="n">
        <v>71.3703826336837</v>
      </c>
      <c r="J1292" s="15" t="n">
        <v>2.17696878628509</v>
      </c>
      <c r="K1292" s="15" t="n">
        <v>6091.84348212112</v>
      </c>
      <c r="L1292" s="15" t="n">
        <v>24.4236295307661</v>
      </c>
      <c r="M1292" s="15" t="n">
        <v>-17.4165859259396</v>
      </c>
      <c r="N1292" s="17" t="n">
        <v>0.341085217224121</v>
      </c>
      <c r="O1292" s="18" t="n">
        <v>0.00559904761547417</v>
      </c>
    </row>
    <row r="1293" ht="15" customHeight="1" s="12">
      <c r="A1293" s="14" t="inlineStr">
        <is>
          <t>Pishin</t>
        </is>
      </c>
      <c r="B1293" s="14" t="inlineStr">
        <is>
          <t>Balochistan</t>
        </is>
      </c>
      <c r="C1293" s="14" t="n">
        <v>2019</v>
      </c>
      <c r="D1293" s="15" t="n">
        <v>13.7264377496295</v>
      </c>
      <c r="E1293" s="15" t="n">
        <v>788.112843499316</v>
      </c>
      <c r="F1293" s="15" t="n">
        <v>47.4829518795013</v>
      </c>
      <c r="G1293" s="15" t="n">
        <v>2.32345668971539</v>
      </c>
      <c r="H1293" s="15" t="n">
        <v>7.89011757421145</v>
      </c>
      <c r="I1293" s="16" t="n">
        <v>57.4811740535116</v>
      </c>
      <c r="J1293" s="15" t="n">
        <v>3.69571750563486</v>
      </c>
      <c r="K1293" s="15" t="n">
        <v>6091.84348212112</v>
      </c>
      <c r="L1293" s="15" t="n">
        <v>24.4236295307661</v>
      </c>
      <c r="M1293" s="15" t="n">
        <v>-10.6971917811366</v>
      </c>
      <c r="N1293" s="17" t="n">
        <v>0.673313358642578</v>
      </c>
      <c r="O1293" s="18" t="n">
        <v>0.0110527028578242</v>
      </c>
    </row>
    <row r="1294" ht="15" customHeight="1" s="12">
      <c r="A1294" s="14" t="inlineStr">
        <is>
          <t>Pishin</t>
        </is>
      </c>
      <c r="B1294" s="14" t="inlineStr">
        <is>
          <t>Balochistan</t>
        </is>
      </c>
      <c r="C1294" s="14" t="n">
        <v>2020</v>
      </c>
      <c r="D1294" s="15" t="n">
        <v>20.0559122423172</v>
      </c>
      <c r="E1294" s="15" t="n">
        <v>1151.52396525398</v>
      </c>
      <c r="F1294" s="15" t="n">
        <v>94.74489198159429</v>
      </c>
      <c r="G1294" s="15" t="n">
        <v>4.99190033669584</v>
      </c>
      <c r="H1294" s="15" t="n">
        <v>13.1485667343624</v>
      </c>
      <c r="I1294" s="16" t="n">
        <v>65.55955458669879</v>
      </c>
      <c r="J1294" s="15" t="n">
        <v>5.48207089679667</v>
      </c>
      <c r="K1294" s="15" t="n">
        <v>6091.84348212112</v>
      </c>
      <c r="L1294" s="15" t="n">
        <v>24.4236295307661</v>
      </c>
      <c r="M1294" s="15" t="n">
        <v>-4.36771728844892</v>
      </c>
      <c r="N1294" s="17" t="n">
        <v>0.362340615478516</v>
      </c>
      <c r="O1294" s="18" t="n">
        <v>0.00594796331425692</v>
      </c>
    </row>
    <row r="1295" ht="15" customHeight="1" s="12">
      <c r="A1295" s="14" t="inlineStr">
        <is>
          <t>Pishin</t>
        </is>
      </c>
      <c r="B1295" s="14" t="inlineStr">
        <is>
          <t>Balochistan</t>
        </is>
      </c>
      <c r="C1295" s="14" t="n">
        <v>2021</v>
      </c>
      <c r="D1295" s="15" t="n">
        <v>20.78177959982</v>
      </c>
      <c r="E1295" s="15" t="n">
        <v>1193.20013772927</v>
      </c>
      <c r="F1295" s="15" t="n">
        <v>57.7570748329163</v>
      </c>
      <c r="G1295" s="15" t="n">
        <v>7.2098560333252</v>
      </c>
      <c r="H1295" s="15" t="n">
        <v>10.0532544708726</v>
      </c>
      <c r="I1295" s="16" t="n">
        <v>48.3753300461316</v>
      </c>
      <c r="J1295" s="15" t="n">
        <v>3.59415340482208</v>
      </c>
      <c r="K1295" s="15" t="n">
        <v>6091.84348212112</v>
      </c>
      <c r="L1295" s="15" t="n">
        <v>24.4236295307661</v>
      </c>
      <c r="M1295" s="15" t="n">
        <v>-3.64184993094615</v>
      </c>
      <c r="N1295" s="17" t="n">
        <v>0.541551774902343</v>
      </c>
      <c r="O1295" s="18" t="n">
        <v>0.00888978478340321</v>
      </c>
    </row>
    <row r="1296" ht="15" customHeight="1" s="12">
      <c r="A1296" s="14" t="inlineStr">
        <is>
          <t>Pishin</t>
        </is>
      </c>
      <c r="B1296" s="14" t="inlineStr">
        <is>
          <t>Balochistan</t>
        </is>
      </c>
      <c r="C1296" s="14" t="n">
        <v>2022</v>
      </c>
      <c r="D1296" s="15" t="n">
        <v>76.8154073700623</v>
      </c>
      <c r="E1296" s="15" t="n">
        <v>4410.40933060816</v>
      </c>
      <c r="F1296" s="15" t="n">
        <v>231.106290661439</v>
      </c>
      <c r="G1296" s="15" t="n">
        <v>29.9004132263362</v>
      </c>
      <c r="H1296" s="15" t="n">
        <v>34.842080666685</v>
      </c>
      <c r="I1296" s="16" t="n">
        <v>45.3581929193338</v>
      </c>
      <c r="J1296" s="15" t="n">
        <v>15.3006625230517</v>
      </c>
      <c r="K1296" s="15" t="n">
        <v>6091.84348212112</v>
      </c>
      <c r="L1296" s="15" t="n">
        <v>24.4236295307661</v>
      </c>
      <c r="M1296" s="15" t="n">
        <v>52.3917778392962</v>
      </c>
      <c r="N1296" s="17" t="n">
        <v>2.89232653416222</v>
      </c>
      <c r="O1296" s="18" t="n">
        <v>0.0474786744382202</v>
      </c>
    </row>
    <row r="1297" ht="15" customHeight="1" s="12">
      <c r="A1297" s="14" t="inlineStr">
        <is>
          <t>Pishin</t>
        </is>
      </c>
      <c r="B1297" s="14" t="inlineStr">
        <is>
          <t>Balochistan</t>
        </is>
      </c>
      <c r="C1297" s="14" t="n">
        <v>2023</v>
      </c>
      <c r="D1297" s="15" t="n">
        <v>14.5996934815953</v>
      </c>
      <c r="E1297" s="15" t="n">
        <v>838.251420643283</v>
      </c>
      <c r="F1297" s="15" t="n">
        <v>46.6936948299408</v>
      </c>
      <c r="G1297" s="15" t="n">
        <v>6.06216883659363</v>
      </c>
      <c r="H1297" s="15" t="n">
        <v>8.03937283904825</v>
      </c>
      <c r="I1297" s="16" t="n">
        <v>55.0653535924083</v>
      </c>
      <c r="J1297" s="15" t="n">
        <v>2.21856430571682</v>
      </c>
      <c r="K1297" s="15" t="n">
        <v>6091.84348212112</v>
      </c>
      <c r="L1297" s="15" t="n">
        <v>24.4236295307661</v>
      </c>
      <c r="M1297" s="15" t="n">
        <v>-9.823936049170801</v>
      </c>
      <c r="N1297" s="17" t="n">
        <v>0.385416887634277</v>
      </c>
      <c r="O1297" s="18" t="n">
        <v>0.00632676937228333</v>
      </c>
    </row>
    <row r="1298" ht="15" customHeight="1" s="12">
      <c r="A1298" s="14" t="inlineStr">
        <is>
          <t>Pishin</t>
        </is>
      </c>
      <c r="B1298" s="14" t="inlineStr">
        <is>
          <t>Balochistan</t>
        </is>
      </c>
      <c r="C1298" s="14" t="n">
        <v>2024</v>
      </c>
      <c r="D1298" s="15" t="n">
        <v>46.5275436697879</v>
      </c>
      <c r="E1298" s="15" t="n">
        <v>2671.41085046809</v>
      </c>
      <c r="F1298" s="15" t="n">
        <v>178.163136543357</v>
      </c>
      <c r="G1298" s="15" t="n">
        <v>16.7504459940828</v>
      </c>
      <c r="H1298" s="15" t="n">
        <v>25.5572575500792</v>
      </c>
      <c r="I1298" s="16" t="n">
        <v>54.9293075333235</v>
      </c>
      <c r="J1298" s="15" t="n">
        <v>9.789700157093099</v>
      </c>
      <c r="K1298" s="15" t="n">
        <v>6091.84348212112</v>
      </c>
      <c r="L1298" s="15" t="n">
        <v>24.4236295307661</v>
      </c>
      <c r="M1298" s="15" t="n">
        <v>22.1039141390217</v>
      </c>
      <c r="N1298" s="17" t="n">
        <v>0.813963827697753</v>
      </c>
      <c r="O1298" s="18" t="n">
        <v>0.0133615354709399</v>
      </c>
    </row>
    <row r="1299" ht="15" customHeight="1" s="12">
      <c r="A1299" s="14" t="inlineStr">
        <is>
          <t>Pishin</t>
        </is>
      </c>
      <c r="B1299" s="14" t="inlineStr">
        <is>
          <t>Balochistan</t>
        </is>
      </c>
      <c r="C1299" s="14" t="n">
        <v>2025</v>
      </c>
      <c r="D1299" s="15" t="n">
        <v>32.0395579110827</v>
      </c>
      <c r="E1299" s="15" t="n">
        <v>1839.57320539671</v>
      </c>
      <c r="F1299" s="15" t="n">
        <v>90.9465474632098</v>
      </c>
      <c r="G1299" s="15" t="n">
        <v>12.32502605021</v>
      </c>
      <c r="H1299" s="15" t="n">
        <v>14.4499431306942</v>
      </c>
      <c r="I1299" s="16" t="n">
        <v>45.1003199569612</v>
      </c>
      <c r="J1299" s="15" t="n">
        <v>6.3994262686975</v>
      </c>
      <c r="K1299" s="15" t="n">
        <v>6091.84348212112</v>
      </c>
      <c r="L1299" s="15" t="n">
        <v>24.4236295307661</v>
      </c>
      <c r="M1299" s="15" t="n">
        <v>7.61592838031653</v>
      </c>
      <c r="N1299" s="17" t="n">
        <v>0.208284666015625</v>
      </c>
      <c r="O1299" s="18" t="n">
        <v>0.00341907448257522</v>
      </c>
    </row>
    <row r="1300" ht="15" customHeight="1" s="12">
      <c r="A1300" s="14" t="inlineStr">
        <is>
          <t>Poonch</t>
        </is>
      </c>
      <c r="B1300" s="14" t="inlineStr">
        <is>
          <t>Azad Kashmir</t>
        </is>
      </c>
      <c r="C1300" s="14" t="n">
        <v>2015</v>
      </c>
      <c r="D1300" s="15" t="n">
        <v>744.635051850928</v>
      </c>
      <c r="E1300" s="15" t="n">
        <v>5154.04261379172</v>
      </c>
      <c r="F1300" s="15" t="n">
        <v>922.23602437973</v>
      </c>
      <c r="G1300" s="15" t="n">
        <v>594.727242231369</v>
      </c>
      <c r="H1300" s="15" t="n">
        <v>76.6741080639832</v>
      </c>
      <c r="I1300" s="16" t="n">
        <v>10.2968706446729</v>
      </c>
      <c r="J1300" s="15" t="n">
        <v>31.5229461756374</v>
      </c>
      <c r="K1300" s="15" t="n">
        <v>719.807716913188</v>
      </c>
      <c r="L1300" s="15" t="n">
        <v>725.433835592025</v>
      </c>
      <c r="M1300" s="15" t="n">
        <v>19.2012162589028</v>
      </c>
      <c r="N1300" s="17" t="n">
        <v>0.151818133291686</v>
      </c>
      <c r="O1300" s="18" t="n">
        <v>0.0210914845346116</v>
      </c>
    </row>
    <row r="1301" ht="15" customHeight="1" s="12">
      <c r="A1301" s="14" t="inlineStr">
        <is>
          <t>Poonch</t>
        </is>
      </c>
      <c r="B1301" s="14" t="inlineStr">
        <is>
          <t>Azad Kashmir</t>
        </is>
      </c>
      <c r="C1301" s="14" t="n">
        <v>2016</v>
      </c>
      <c r="D1301" s="15" t="n">
        <v>658.309234673781</v>
      </c>
      <c r="E1301" s="15" t="n">
        <v>4556.53254587931</v>
      </c>
      <c r="F1301" s="15" t="n">
        <v>801.063251495361</v>
      </c>
      <c r="G1301" s="15" t="n">
        <v>514.299988627434</v>
      </c>
      <c r="H1301" s="15" t="n">
        <v>68.2525347067529</v>
      </c>
      <c r="I1301" s="16" t="n">
        <v>10.3678531474004</v>
      </c>
      <c r="J1301" s="15" t="n">
        <v>27.2084985835694</v>
      </c>
      <c r="K1301" s="15" t="n">
        <v>719.807716913188</v>
      </c>
      <c r="L1301" s="15" t="n">
        <v>725.433835592025</v>
      </c>
      <c r="M1301" s="15" t="n">
        <v>-67.1246009182441</v>
      </c>
      <c r="N1301" s="17" t="n">
        <v>0.527003054607556</v>
      </c>
      <c r="O1301" s="18" t="n">
        <v>0.07321442132734381</v>
      </c>
    </row>
    <row r="1302" ht="15" customHeight="1" s="12">
      <c r="A1302" s="14" t="inlineStr">
        <is>
          <t>Poonch</t>
        </is>
      </c>
      <c r="B1302" s="14" t="inlineStr">
        <is>
          <t>Azad Kashmir</t>
        </is>
      </c>
      <c r="C1302" s="14" t="n">
        <v>2017</v>
      </c>
      <c r="D1302" s="15" t="n">
        <v>550.573061128345</v>
      </c>
      <c r="E1302" s="15" t="n">
        <v>3810.8292270256</v>
      </c>
      <c r="F1302" s="15" t="n">
        <v>706.571474552155</v>
      </c>
      <c r="G1302" s="15" t="n">
        <v>429.90261387825</v>
      </c>
      <c r="H1302" s="15" t="n">
        <v>66.8934514520878</v>
      </c>
      <c r="I1302" s="16" t="n">
        <v>12.1497864997238</v>
      </c>
      <c r="J1302" s="15" t="n">
        <v>37.8419263456091</v>
      </c>
      <c r="K1302" s="15" t="n">
        <v>719.807716913188</v>
      </c>
      <c r="L1302" s="15" t="n">
        <v>725.433835592025</v>
      </c>
      <c r="M1302" s="15" t="n">
        <v>-174.86077446368</v>
      </c>
      <c r="N1302" s="17" t="n">
        <v>0.0729503208247166</v>
      </c>
      <c r="O1302" s="18" t="n">
        <v>0.0101346955736395</v>
      </c>
    </row>
    <row r="1303" ht="15" customHeight="1" s="12">
      <c r="A1303" s="14" t="inlineStr">
        <is>
          <t>Poonch</t>
        </is>
      </c>
      <c r="B1303" s="14" t="inlineStr">
        <is>
          <t>Azad Kashmir</t>
        </is>
      </c>
      <c r="C1303" s="14" t="n">
        <v>2018</v>
      </c>
      <c r="D1303" s="15" t="n">
        <v>627.3618624153791</v>
      </c>
      <c r="E1303" s="15" t="n">
        <v>4342.32818495351</v>
      </c>
      <c r="F1303" s="15" t="n">
        <v>770.8681336641311</v>
      </c>
      <c r="G1303" s="15" t="n">
        <v>478.22122579813</v>
      </c>
      <c r="H1303" s="15" t="n">
        <v>72.0695165975152</v>
      </c>
      <c r="I1303" s="16" t="n">
        <v>11.4877108276941</v>
      </c>
      <c r="J1303" s="15" t="n">
        <v>28.8623229461756</v>
      </c>
      <c r="K1303" s="15" t="n">
        <v>719.807716913188</v>
      </c>
      <c r="L1303" s="15" t="n">
        <v>725.433835592025</v>
      </c>
      <c r="M1303" s="15" t="n">
        <v>-98.071973176646</v>
      </c>
      <c r="N1303" s="17" t="n">
        <v>0.0678620444273705</v>
      </c>
      <c r="O1303" s="18" t="n">
        <v>0.009427801735495281</v>
      </c>
    </row>
    <row r="1304" ht="15" customHeight="1" s="12">
      <c r="A1304" s="14" t="inlineStr">
        <is>
          <t>Poonch</t>
        </is>
      </c>
      <c r="B1304" s="14" t="inlineStr">
        <is>
          <t>Azad Kashmir</t>
        </is>
      </c>
      <c r="C1304" s="14" t="n">
        <v>2019</v>
      </c>
      <c r="D1304" s="15" t="n">
        <v>687.655132527215</v>
      </c>
      <c r="E1304" s="15" t="n">
        <v>4759.65219180602</v>
      </c>
      <c r="F1304" s="15" t="n">
        <v>829.337763896678</v>
      </c>
      <c r="G1304" s="15" t="n">
        <v>535.227608263493</v>
      </c>
      <c r="H1304" s="15" t="n">
        <v>74.2442116560797</v>
      </c>
      <c r="I1304" s="16" t="n">
        <v>10.7967218078084</v>
      </c>
      <c r="J1304" s="15" t="n">
        <v>30.7614730878187</v>
      </c>
      <c r="K1304" s="15" t="n">
        <v>719.807716913188</v>
      </c>
      <c r="L1304" s="15" t="n">
        <v>725.433835592025</v>
      </c>
      <c r="M1304" s="15" t="n">
        <v>-37.77870306481</v>
      </c>
      <c r="N1304" s="17" t="n">
        <v>0.0530340443232517</v>
      </c>
      <c r="O1304" s="18" t="n">
        <v>0.00736780713475566</v>
      </c>
    </row>
    <row r="1305" ht="15" customHeight="1" s="12">
      <c r="A1305" s="14" t="inlineStr">
        <is>
          <t>Poonch</t>
        </is>
      </c>
      <c r="B1305" s="14" t="inlineStr">
        <is>
          <t>Azad Kashmir</t>
        </is>
      </c>
      <c r="C1305" s="14" t="n">
        <v>2020</v>
      </c>
      <c r="D1305" s="15" t="n">
        <v>732.268795757514</v>
      </c>
      <c r="E1305" s="15" t="n">
        <v>5068.44872357652</v>
      </c>
      <c r="F1305" s="15" t="n">
        <v>875.467509513081</v>
      </c>
      <c r="G1305" s="15" t="n">
        <v>583.961372720223</v>
      </c>
      <c r="H1305" s="15" t="n">
        <v>68.5948253458033</v>
      </c>
      <c r="I1305" s="16" t="n">
        <v>9.367437987691901</v>
      </c>
      <c r="J1305" s="15" t="n">
        <v>39.5779036827196</v>
      </c>
      <c r="K1305" s="15" t="n">
        <v>719.807716913188</v>
      </c>
      <c r="L1305" s="15" t="n">
        <v>725.433835592025</v>
      </c>
      <c r="M1305" s="15" t="n">
        <v>6.83496016548861</v>
      </c>
      <c r="N1305" s="17" t="n">
        <v>0.0372607547839594</v>
      </c>
      <c r="O1305" s="18" t="n">
        <v>0.00517648726298015</v>
      </c>
    </row>
    <row r="1306" ht="15" customHeight="1" s="12">
      <c r="A1306" s="14" t="inlineStr">
        <is>
          <t>Poonch</t>
        </is>
      </c>
      <c r="B1306" s="14" t="inlineStr">
        <is>
          <t>Azad Kashmir</t>
        </is>
      </c>
      <c r="C1306" s="14" t="n">
        <v>2021</v>
      </c>
      <c r="D1306" s="15" t="n">
        <v>885.092426548261</v>
      </c>
      <c r="E1306" s="15" t="n">
        <v>6126.2279719909</v>
      </c>
      <c r="F1306" s="15" t="n">
        <v>1048.24595594406</v>
      </c>
      <c r="G1306" s="15" t="n">
        <v>690.849643707275</v>
      </c>
      <c r="H1306" s="15" t="n">
        <v>90.7479606667452</v>
      </c>
      <c r="I1306" s="16" t="n">
        <v>10.2529360713942</v>
      </c>
      <c r="J1306" s="15" t="n">
        <v>22.8351274787535</v>
      </c>
      <c r="K1306" s="15" t="n">
        <v>719.807716913188</v>
      </c>
      <c r="L1306" s="15" t="n">
        <v>725.433835592025</v>
      </c>
      <c r="M1306" s="15" t="n">
        <v>159.658590956236</v>
      </c>
      <c r="N1306" s="17" t="n">
        <v>0.0399757696794098</v>
      </c>
      <c r="O1306" s="18" t="n">
        <v>0.00555367339639553</v>
      </c>
    </row>
    <row r="1307" ht="15" customHeight="1" s="12">
      <c r="A1307" s="14" t="inlineStr">
        <is>
          <t>Poonch</t>
        </is>
      </c>
      <c r="B1307" s="14" t="inlineStr">
        <is>
          <t>Azad Kashmir</t>
        </is>
      </c>
      <c r="C1307" s="14" t="n">
        <v>2022</v>
      </c>
      <c r="D1307" s="15" t="n">
        <v>690.321696625062</v>
      </c>
      <c r="E1307" s="15" t="n">
        <v>4778.10899820876</v>
      </c>
      <c r="F1307" s="15" t="n">
        <v>852.074434280396</v>
      </c>
      <c r="G1307" s="15" t="n">
        <v>516.734707593918</v>
      </c>
      <c r="H1307" s="15" t="n">
        <v>81.82202782891051</v>
      </c>
      <c r="I1307" s="16" t="n">
        <v>11.8527388359562</v>
      </c>
      <c r="J1307" s="15" t="n">
        <v>34.5195467422096</v>
      </c>
      <c r="K1307" s="15" t="n">
        <v>719.807716913188</v>
      </c>
      <c r="L1307" s="15" t="n">
        <v>725.433835592025</v>
      </c>
      <c r="M1307" s="15" t="n">
        <v>-35.1121389669629</v>
      </c>
      <c r="N1307" s="17" t="n">
        <v>0.103135533420697</v>
      </c>
      <c r="O1307" s="18" t="n">
        <v>0.0143282061302402</v>
      </c>
    </row>
    <row r="1308" ht="15" customHeight="1" s="12">
      <c r="A1308" s="14" t="inlineStr">
        <is>
          <t>Poonch</t>
        </is>
      </c>
      <c r="B1308" s="14" t="inlineStr">
        <is>
          <t>Azad Kashmir</t>
        </is>
      </c>
      <c r="C1308" s="14" t="n">
        <v>2023</v>
      </c>
      <c r="D1308" s="15" t="n">
        <v>826.93033654602</v>
      </c>
      <c r="E1308" s="15" t="n">
        <v>5723.65507452441</v>
      </c>
      <c r="F1308" s="15" t="n">
        <v>985.994703292847</v>
      </c>
      <c r="G1308" s="15" t="n">
        <v>653.162947654724</v>
      </c>
      <c r="H1308" s="15" t="n">
        <v>82.2215132082123</v>
      </c>
      <c r="I1308" s="16" t="n">
        <v>9.942979423350319</v>
      </c>
      <c r="J1308" s="15" t="n">
        <v>27.7065155807365</v>
      </c>
      <c r="K1308" s="15" t="n">
        <v>719.807716913188</v>
      </c>
      <c r="L1308" s="15" t="n">
        <v>725.433835592025</v>
      </c>
      <c r="M1308" s="15" t="n">
        <v>101.496500953995</v>
      </c>
      <c r="N1308" s="17" t="n">
        <v>0.0789406318155924</v>
      </c>
      <c r="O1308" s="18" t="n">
        <v>0.0109669054611029</v>
      </c>
    </row>
    <row r="1309" ht="15" customHeight="1" s="12">
      <c r="A1309" s="14" t="inlineStr">
        <is>
          <t>Poonch</t>
        </is>
      </c>
      <c r="B1309" s="14" t="inlineStr">
        <is>
          <t>Azad Kashmir</t>
        </is>
      </c>
      <c r="C1309" s="14" t="n">
        <v>2024</v>
      </c>
      <c r="D1309" s="15" t="n">
        <v>647.786805898521</v>
      </c>
      <c r="E1309" s="15" t="n">
        <v>4483.70083298388</v>
      </c>
      <c r="F1309" s="15" t="n">
        <v>858.087960042991</v>
      </c>
      <c r="G1309" s="15" t="n">
        <v>465.954692184925</v>
      </c>
      <c r="H1309" s="15" t="n">
        <v>97.5544625193489</v>
      </c>
      <c r="I1309" s="16" t="n">
        <v>15.0596556816304</v>
      </c>
      <c r="J1309" s="15" t="n">
        <v>35.5807365439094</v>
      </c>
      <c r="K1309" s="15" t="n">
        <v>719.807716913188</v>
      </c>
      <c r="L1309" s="15" t="n">
        <v>725.433835592025</v>
      </c>
      <c r="M1309" s="15" t="n">
        <v>-77.64702969350409</v>
      </c>
      <c r="N1309" s="17" t="n">
        <v>0.0491170167947208</v>
      </c>
      <c r="O1309" s="18" t="n">
        <v>0.0068236302057657</v>
      </c>
    </row>
    <row r="1310" ht="15" customHeight="1" s="12">
      <c r="A1310" s="14" t="inlineStr">
        <is>
          <t>Poonch</t>
        </is>
      </c>
      <c r="B1310" s="14" t="inlineStr">
        <is>
          <t>Azad Kashmir</t>
        </is>
      </c>
      <c r="C1310" s="14" t="n">
        <v>2025</v>
      </c>
      <c r="D1310" s="15" t="n">
        <v>928.83778754125</v>
      </c>
      <c r="E1310" s="15" t="n">
        <v>6429.0144902365</v>
      </c>
      <c r="F1310" s="15" t="n">
        <v>1187.70559581369</v>
      </c>
      <c r="G1310" s="15" t="n">
        <v>686.924856137484</v>
      </c>
      <c r="H1310" s="15" t="n">
        <v>122.812297867399</v>
      </c>
      <c r="I1310" s="16" t="n">
        <v>13.2221470223017</v>
      </c>
      <c r="J1310" s="15" t="n">
        <v>50.7660056657224</v>
      </c>
      <c r="K1310" s="15" t="n">
        <v>719.807716913188</v>
      </c>
      <c r="L1310" s="15" t="n">
        <v>725.433835592025</v>
      </c>
      <c r="M1310" s="15" t="n">
        <v>203.403951949225</v>
      </c>
      <c r="N1310" s="17" t="n">
        <v>0.138799273464786</v>
      </c>
      <c r="O1310" s="18" t="n">
        <v>0.0192828265387333</v>
      </c>
    </row>
    <row r="1311" ht="15" customHeight="1" s="12">
      <c r="A1311" s="14" t="inlineStr">
        <is>
          <t>Quetta</t>
        </is>
      </c>
      <c r="B1311" s="14" t="inlineStr">
        <is>
          <t>Balochistan</t>
        </is>
      </c>
      <c r="C1311" s="14" t="n">
        <v>2015</v>
      </c>
      <c r="D1311" s="15" t="n">
        <v>17.1626661275688</v>
      </c>
      <c r="E1311" s="15" t="n">
        <v>604.058543117374</v>
      </c>
      <c r="F1311" s="15" t="n">
        <v>78.55148637294771</v>
      </c>
      <c r="G1311" s="15" t="n">
        <v>0</v>
      </c>
      <c r="H1311" s="15" t="n">
        <v>17.4400127246859</v>
      </c>
      <c r="I1311" s="16" t="n">
        <v>101.615987836946</v>
      </c>
      <c r="J1311" s="15" t="n">
        <v>3.23654596100279</v>
      </c>
      <c r="K1311" s="15" t="n">
        <v>3763.88129495838</v>
      </c>
      <c r="L1311" s="15" t="n">
        <v>31.4455261112104</v>
      </c>
      <c r="M1311" s="15" t="n">
        <v>-14.2828599836416</v>
      </c>
      <c r="N1311" s="17" t="n">
        <v>0.125620252072562</v>
      </c>
      <c r="O1311" s="18" t="n">
        <v>0.0033375189658831</v>
      </c>
    </row>
    <row r="1312" ht="15" customHeight="1" s="12">
      <c r="A1312" s="14" t="inlineStr">
        <is>
          <t>Quetta</t>
        </is>
      </c>
      <c r="B1312" s="14" t="inlineStr">
        <is>
          <t>Balochistan</t>
        </is>
      </c>
      <c r="C1312" s="14" t="n">
        <v>2016</v>
      </c>
      <c r="D1312" s="15" t="n">
        <v>13.889805967499</v>
      </c>
      <c r="E1312" s="15" t="n">
        <v>488.86670022864</v>
      </c>
      <c r="F1312" s="15" t="n">
        <v>65.89805555343629</v>
      </c>
      <c r="G1312" s="15" t="n">
        <v>0</v>
      </c>
      <c r="H1312" s="15" t="n">
        <v>15.1094858108997</v>
      </c>
      <c r="I1312" s="16" t="n">
        <v>108.781115058444</v>
      </c>
      <c r="J1312" s="15" t="n">
        <v>4.30941504178273</v>
      </c>
      <c r="K1312" s="15" t="n">
        <v>3763.88129495838</v>
      </c>
      <c r="L1312" s="15" t="n">
        <v>31.4455261112104</v>
      </c>
      <c r="M1312" s="15" t="n">
        <v>-17.5557201437115</v>
      </c>
      <c r="N1312" s="17" t="n">
        <v>0.0321734904502719</v>
      </c>
      <c r="O1312" s="18" t="n">
        <v>0.000854795566835954</v>
      </c>
    </row>
    <row r="1313" ht="15" customHeight="1" s="12">
      <c r="A1313" s="14" t="inlineStr">
        <is>
          <t>Quetta</t>
        </is>
      </c>
      <c r="B1313" s="14" t="inlineStr">
        <is>
          <t>Balochistan</t>
        </is>
      </c>
      <c r="C1313" s="14" t="n">
        <v>2017</v>
      </c>
      <c r="D1313" s="15" t="n">
        <v>10.8722572747811</v>
      </c>
      <c r="E1313" s="15" t="n">
        <v>382.660819769256</v>
      </c>
      <c r="F1313" s="15" t="n">
        <v>53.9535054564476</v>
      </c>
      <c r="G1313" s="15" t="n">
        <v>2.94101095199585</v>
      </c>
      <c r="H1313" s="15" t="n">
        <v>10.8306491559211</v>
      </c>
      <c r="I1313" s="16" t="n">
        <v>99.6173000894993</v>
      </c>
      <c r="J1313" s="15" t="n">
        <v>2.74729805013928</v>
      </c>
      <c r="K1313" s="15" t="n">
        <v>3763.88129495838</v>
      </c>
      <c r="L1313" s="15" t="n">
        <v>31.4455261112104</v>
      </c>
      <c r="M1313" s="15" t="n">
        <v>-20.5732688364293</v>
      </c>
      <c r="N1313" s="17" t="n">
        <v>0.0247900698852539</v>
      </c>
      <c r="O1313" s="18" t="n">
        <v>0.000658630491839888</v>
      </c>
    </row>
    <row r="1314" ht="15" customHeight="1" s="12">
      <c r="A1314" s="14" t="inlineStr">
        <is>
          <t>Quetta</t>
        </is>
      </c>
      <c r="B1314" s="14" t="inlineStr">
        <is>
          <t>Balochistan</t>
        </is>
      </c>
      <c r="C1314" s="14" t="n">
        <v>2018</v>
      </c>
      <c r="D1314" s="15" t="n">
        <v>6.74495307243869</v>
      </c>
      <c r="E1314" s="15" t="n">
        <v>237.39589735348</v>
      </c>
      <c r="F1314" s="15" t="n">
        <v>41.5180294327438</v>
      </c>
      <c r="G1314" s="15" t="n">
        <v>0.959967213078926</v>
      </c>
      <c r="H1314" s="15" t="n">
        <v>8.948481426091121</v>
      </c>
      <c r="I1314" s="16" t="n">
        <v>132.66929109791</v>
      </c>
      <c r="J1314" s="15" t="n">
        <v>2.16612813370474</v>
      </c>
      <c r="K1314" s="15" t="n">
        <v>3763.88129495838</v>
      </c>
      <c r="L1314" s="15" t="n">
        <v>31.4455261112104</v>
      </c>
      <c r="M1314" s="15" t="n">
        <v>-24.7005730387717</v>
      </c>
      <c r="N1314" s="17" t="n">
        <v>0.0325188258666992</v>
      </c>
      <c r="O1314" s="18" t="n">
        <v>0.000863970548440445</v>
      </c>
    </row>
    <row r="1315" ht="15" customHeight="1" s="12">
      <c r="A1315" s="14" t="inlineStr">
        <is>
          <t>Quetta</t>
        </is>
      </c>
      <c r="B1315" s="14" t="inlineStr">
        <is>
          <t>Balochistan</t>
        </is>
      </c>
      <c r="C1315" s="14" t="n">
        <v>2019</v>
      </c>
      <c r="D1315" s="15" t="n">
        <v>18.1438960531987</v>
      </c>
      <c r="E1315" s="15" t="n">
        <v>638.593988539053</v>
      </c>
      <c r="F1315" s="15" t="n">
        <v>68.4874535650015</v>
      </c>
      <c r="G1315" s="15" t="n">
        <v>3.45456498861313</v>
      </c>
      <c r="H1315" s="15" t="n">
        <v>15.132432757455</v>
      </c>
      <c r="I1315" s="16" t="n">
        <v>83.4023338377053</v>
      </c>
      <c r="J1315" s="15" t="n">
        <v>4.44144846796657</v>
      </c>
      <c r="K1315" s="15" t="n">
        <v>3763.88129495838</v>
      </c>
      <c r="L1315" s="15" t="n">
        <v>31.4455261112104</v>
      </c>
      <c r="M1315" s="15" t="n">
        <v>-13.3016300580117</v>
      </c>
      <c r="N1315" s="17" t="n">
        <v>0.0528137634251014</v>
      </c>
      <c r="O1315" s="18" t="n">
        <v>0.00140317292938659</v>
      </c>
    </row>
    <row r="1316" ht="15" customHeight="1" s="12">
      <c r="A1316" s="14" t="inlineStr">
        <is>
          <t>Quetta</t>
        </is>
      </c>
      <c r="B1316" s="14" t="inlineStr">
        <is>
          <t>Balochistan</t>
        </is>
      </c>
      <c r="C1316" s="14" t="n">
        <v>2020</v>
      </c>
      <c r="D1316" s="15" t="n">
        <v>25.257322127741</v>
      </c>
      <c r="E1316" s="15" t="n">
        <v>888.958690574413</v>
      </c>
      <c r="F1316" s="15" t="n">
        <v>96.6216425616294</v>
      </c>
      <c r="G1316" s="15" t="n">
        <v>11.6210501259193</v>
      </c>
      <c r="H1316" s="15" t="n">
        <v>19.1638381862699</v>
      </c>
      <c r="I1316" s="16" t="n">
        <v>75.8743864030683</v>
      </c>
      <c r="J1316" s="15" t="n">
        <v>5.89348189415042</v>
      </c>
      <c r="K1316" s="15" t="n">
        <v>3763.88129495838</v>
      </c>
      <c r="L1316" s="15" t="n">
        <v>31.4455261112104</v>
      </c>
      <c r="M1316" s="15" t="n">
        <v>-6.18820398346943</v>
      </c>
      <c r="N1316" s="17" t="n">
        <v>0.0410277496948242</v>
      </c>
      <c r="O1316" s="18" t="n">
        <v>0.00109003835348845</v>
      </c>
    </row>
    <row r="1317" ht="15" customHeight="1" s="12">
      <c r="A1317" s="14" t="inlineStr">
        <is>
          <t>Quetta</t>
        </is>
      </c>
      <c r="B1317" s="14" t="inlineStr">
        <is>
          <t>Balochistan</t>
        </is>
      </c>
      <c r="C1317" s="14" t="n">
        <v>2021</v>
      </c>
      <c r="D1317" s="15" t="n">
        <v>23.5507327817343</v>
      </c>
      <c r="E1317" s="15" t="n">
        <v>828.893438102217</v>
      </c>
      <c r="F1317" s="15" t="n">
        <v>67.06949281692511</v>
      </c>
      <c r="G1317" s="15" t="n">
        <v>8.072116851806641</v>
      </c>
      <c r="H1317" s="15" t="n">
        <v>11.280735767336</v>
      </c>
      <c r="I1317" s="16" t="n">
        <v>47.8997230017625</v>
      </c>
      <c r="J1317" s="15" t="n">
        <v>2.65949860724234</v>
      </c>
      <c r="K1317" s="15" t="n">
        <v>3763.88129495838</v>
      </c>
      <c r="L1317" s="15" t="n">
        <v>31.4455261112104</v>
      </c>
      <c r="M1317" s="15" t="n">
        <v>-7.89479332947611</v>
      </c>
      <c r="N1317" s="17" t="n">
        <v>0.12311488861084</v>
      </c>
      <c r="O1317" s="18" t="n">
        <v>0.00327095566950395</v>
      </c>
    </row>
    <row r="1318" ht="15" customHeight="1" s="12">
      <c r="A1318" s="14" t="inlineStr">
        <is>
          <t>Quetta</t>
        </is>
      </c>
      <c r="B1318" s="14" t="inlineStr">
        <is>
          <t>Balochistan</t>
        </is>
      </c>
      <c r="C1318" s="14" t="n">
        <v>2022</v>
      </c>
      <c r="D1318" s="15" t="n">
        <v>100.622496295681</v>
      </c>
      <c r="E1318" s="15" t="n">
        <v>3541.51727158329</v>
      </c>
      <c r="F1318" s="15" t="n">
        <v>264.485416384181</v>
      </c>
      <c r="G1318" s="15" t="n">
        <v>32.6190462103114</v>
      </c>
      <c r="H1318" s="15" t="n">
        <v>56.6969191464785</v>
      </c>
      <c r="I1318" s="16" t="n">
        <v>56.3461663482026</v>
      </c>
      <c r="J1318" s="15" t="n">
        <v>20.3205571030641</v>
      </c>
      <c r="K1318" s="15" t="n">
        <v>3763.88129495838</v>
      </c>
      <c r="L1318" s="15" t="n">
        <v>31.4455261112104</v>
      </c>
      <c r="M1318" s="15" t="n">
        <v>69.1769701844707</v>
      </c>
      <c r="N1318" s="17" t="n">
        <v>0.722432614959358</v>
      </c>
      <c r="O1318" s="18" t="n">
        <v>0.0191938203770411</v>
      </c>
    </row>
    <row r="1319" ht="15" customHeight="1" s="12">
      <c r="A1319" s="14" t="inlineStr">
        <is>
          <t>Quetta</t>
        </is>
      </c>
      <c r="B1319" s="14" t="inlineStr">
        <is>
          <t>Balochistan</t>
        </is>
      </c>
      <c r="C1319" s="14" t="n">
        <v>2023</v>
      </c>
      <c r="D1319" s="15" t="n">
        <v>22.158170862437</v>
      </c>
      <c r="E1319" s="15" t="n">
        <v>779.880719570085</v>
      </c>
      <c r="F1319" s="15" t="n">
        <v>79.383026599884</v>
      </c>
      <c r="G1319" s="15" t="n">
        <v>8.278116792440411</v>
      </c>
      <c r="H1319" s="15" t="n">
        <v>15.1923347020904</v>
      </c>
      <c r="I1319" s="16" t="n">
        <v>68.56312642594879</v>
      </c>
      <c r="J1319" s="15" t="n">
        <v>3.30284122562674</v>
      </c>
      <c r="K1319" s="15" t="n">
        <v>3763.88129495838</v>
      </c>
      <c r="L1319" s="15" t="n">
        <v>31.4455261112104</v>
      </c>
      <c r="M1319" s="15" t="n">
        <v>-9.28735524877346</v>
      </c>
      <c r="N1319" s="17" t="n">
        <v>0.0689433042602539</v>
      </c>
      <c r="O1319" s="18" t="n">
        <v>0.00183170772023554</v>
      </c>
    </row>
    <row r="1320" ht="15" customHeight="1" s="12">
      <c r="A1320" s="14" t="inlineStr">
        <is>
          <t>Quetta</t>
        </is>
      </c>
      <c r="B1320" s="14" t="inlineStr">
        <is>
          <t>Balochistan</t>
        </is>
      </c>
      <c r="C1320" s="14" t="n">
        <v>2024</v>
      </c>
      <c r="D1320" s="15" t="n">
        <v>62.0467228280635</v>
      </c>
      <c r="E1320" s="15" t="n">
        <v>2183.80132306616</v>
      </c>
      <c r="F1320" s="15" t="n">
        <v>191.810241442174</v>
      </c>
      <c r="G1320" s="15" t="n">
        <v>18.2257207689918</v>
      </c>
      <c r="H1320" s="15" t="n">
        <v>37.7765951603167</v>
      </c>
      <c r="I1320" s="16" t="n">
        <v>60.8841102937842</v>
      </c>
      <c r="J1320" s="15" t="n">
        <v>12.0978272980501</v>
      </c>
      <c r="K1320" s="15" t="n">
        <v>3763.88129495838</v>
      </c>
      <c r="L1320" s="15" t="n">
        <v>31.4455261112104</v>
      </c>
      <c r="M1320" s="15" t="n">
        <v>30.601196716853</v>
      </c>
      <c r="N1320" s="17" t="n">
        <v>0.108154082948213</v>
      </c>
      <c r="O1320" s="18" t="n">
        <v>0.00287347220787975</v>
      </c>
    </row>
    <row r="1321" ht="15" customHeight="1" s="12">
      <c r="A1321" s="14" t="inlineStr">
        <is>
          <t>Quetta</t>
        </is>
      </c>
      <c r="B1321" s="14" t="inlineStr">
        <is>
          <t>Balochistan</t>
        </is>
      </c>
      <c r="C1321" s="14" t="n">
        <v>2025</v>
      </c>
      <c r="D1321" s="15" t="n">
        <v>45.4517638321715</v>
      </c>
      <c r="E1321" s="15" t="n">
        <v>1599.72384468133</v>
      </c>
      <c r="F1321" s="15" t="n">
        <v>111.253007127642</v>
      </c>
      <c r="G1321" s="15" t="n">
        <v>11.680120753912</v>
      </c>
      <c r="H1321" s="15" t="n">
        <v>23.4910540185535</v>
      </c>
      <c r="I1321" s="16" t="n">
        <v>51.6834816472538</v>
      </c>
      <c r="J1321" s="15" t="n">
        <v>6.99654596100279</v>
      </c>
      <c r="K1321" s="15" t="n">
        <v>3763.88129495838</v>
      </c>
      <c r="L1321" s="15" t="n">
        <v>31.4455261112104</v>
      </c>
      <c r="M1321" s="15" t="n">
        <v>14.0062377209611</v>
      </c>
      <c r="N1321" s="17" t="n">
        <v>0.0760391293918983</v>
      </c>
      <c r="O1321" s="18" t="n">
        <v>0.00202023186793247</v>
      </c>
    </row>
    <row r="1322" ht="15" customHeight="1" s="12">
      <c r="A1322" s="14" t="inlineStr">
        <is>
          <t>Rahim Yar Khan</t>
        </is>
      </c>
      <c r="B1322" s="14" t="inlineStr">
        <is>
          <t>Punjab</t>
        </is>
      </c>
      <c r="C1322" s="14" t="n">
        <v>2015</v>
      </c>
      <c r="D1322" s="15" t="n">
        <v>131.245668961874</v>
      </c>
      <c r="E1322" s="15" t="n">
        <v>15512.2086934977</v>
      </c>
      <c r="F1322" s="15" t="n">
        <v>218.033329725266</v>
      </c>
      <c r="G1322" s="15" t="n">
        <v>59.5957650542259</v>
      </c>
      <c r="H1322" s="15" t="n">
        <v>37.8278111790862</v>
      </c>
      <c r="I1322" s="16" t="n">
        <v>28.8221405538914</v>
      </c>
      <c r="J1322" s="15" t="n">
        <v>16.8705995553933</v>
      </c>
      <c r="K1322" s="15" t="n">
        <v>12867.304597969</v>
      </c>
      <c r="L1322" s="15" t="n">
        <v>169.050005537704</v>
      </c>
      <c r="M1322" s="15" t="n">
        <v>-37.8043365758307</v>
      </c>
      <c r="N1322" s="17" t="n">
        <v>49.1271596974331</v>
      </c>
      <c r="O1322" s="18" t="n">
        <v>0.381798373726131</v>
      </c>
    </row>
    <row r="1323" ht="15" customHeight="1" s="12">
      <c r="A1323" s="14" t="inlineStr">
        <is>
          <t>Rahim Yar Khan</t>
        </is>
      </c>
      <c r="B1323" s="14" t="inlineStr">
        <is>
          <t>Punjab</t>
        </is>
      </c>
      <c r="C1323" s="14" t="n">
        <v>2016</v>
      </c>
      <c r="D1323" s="15" t="n">
        <v>162.336579898224</v>
      </c>
      <c r="E1323" s="15" t="n">
        <v>19186.9105158924</v>
      </c>
      <c r="F1323" s="15" t="n">
        <v>260.019211173058</v>
      </c>
      <c r="G1323" s="15" t="n">
        <v>82.96961319446559</v>
      </c>
      <c r="H1323" s="15" t="n">
        <v>46.1160932066529</v>
      </c>
      <c r="I1323" s="16" t="n">
        <v>28.4077028329445</v>
      </c>
      <c r="J1323" s="15" t="n">
        <v>22.2115199575301</v>
      </c>
      <c r="K1323" s="15" t="n">
        <v>12867.304597969</v>
      </c>
      <c r="L1323" s="15" t="n">
        <v>169.050005537704</v>
      </c>
      <c r="M1323" s="15" t="n">
        <v>-6.71342563948068</v>
      </c>
      <c r="N1323" s="17" t="n">
        <v>29.6537350692872</v>
      </c>
      <c r="O1323" s="18" t="n">
        <v>0.230458017399914</v>
      </c>
    </row>
    <row r="1324" ht="15" customHeight="1" s="12">
      <c r="A1324" s="14" t="inlineStr">
        <is>
          <t>Rahim Yar Khan</t>
        </is>
      </c>
      <c r="B1324" s="14" t="inlineStr">
        <is>
          <t>Punjab</t>
        </is>
      </c>
      <c r="C1324" s="14" t="n">
        <v>2017</v>
      </c>
      <c r="D1324" s="15" t="n">
        <v>198.305477266966</v>
      </c>
      <c r="E1324" s="15" t="n">
        <v>23438.1520758787</v>
      </c>
      <c r="F1324" s="15" t="n">
        <v>317.617813110352</v>
      </c>
      <c r="G1324" s="15" t="n">
        <v>74.8368419706821</v>
      </c>
      <c r="H1324" s="15" t="n">
        <v>64.8697194856023</v>
      </c>
      <c r="I1324" s="16" t="n">
        <v>32.7120160167197</v>
      </c>
      <c r="J1324" s="15" t="n">
        <v>22.4466969707024</v>
      </c>
      <c r="K1324" s="15" t="n">
        <v>12867.304597969</v>
      </c>
      <c r="L1324" s="15" t="n">
        <v>169.050005537704</v>
      </c>
      <c r="M1324" s="15" t="n">
        <v>29.2554717292613</v>
      </c>
      <c r="N1324" s="17" t="n">
        <v>33.2962933746127</v>
      </c>
      <c r="O1324" s="18" t="n">
        <v>0.25876665249588</v>
      </c>
    </row>
    <row r="1325" ht="15" customHeight="1" s="12">
      <c r="A1325" s="14" t="inlineStr">
        <is>
          <t>Rahim Yar Khan</t>
        </is>
      </c>
      <c r="B1325" s="14" t="inlineStr">
        <is>
          <t>Punjab</t>
        </is>
      </c>
      <c r="C1325" s="14" t="n">
        <v>2018</v>
      </c>
      <c r="D1325" s="15" t="n">
        <v>85.1281606726692</v>
      </c>
      <c r="E1325" s="15" t="n">
        <v>10061.4809196611</v>
      </c>
      <c r="F1325" s="15" t="n">
        <v>146.03122112155</v>
      </c>
      <c r="G1325" s="15" t="n">
        <v>25.1544892191887</v>
      </c>
      <c r="H1325" s="15" t="n">
        <v>32.1753147928615</v>
      </c>
      <c r="I1325" s="16" t="n">
        <v>37.7963232596796</v>
      </c>
      <c r="J1325" s="15" t="n">
        <v>15.1315239390823</v>
      </c>
      <c r="K1325" s="15" t="n">
        <v>12867.304597969</v>
      </c>
      <c r="L1325" s="15" t="n">
        <v>169.050005537704</v>
      </c>
      <c r="M1325" s="15" t="n">
        <v>-83.921844865035</v>
      </c>
      <c r="N1325" s="17" t="n">
        <v>27.7452732457337</v>
      </c>
      <c r="O1325" s="18" t="n">
        <v>0.215626147920002</v>
      </c>
    </row>
    <row r="1326" ht="15" customHeight="1" s="12">
      <c r="A1326" s="14" t="inlineStr">
        <is>
          <t>Rahim Yar Khan</t>
        </is>
      </c>
      <c r="B1326" s="14" t="inlineStr">
        <is>
          <t>Punjab</t>
        </is>
      </c>
      <c r="C1326" s="14" t="n">
        <v>2019</v>
      </c>
      <c r="D1326" s="15" t="n">
        <v>120.89033438529</v>
      </c>
      <c r="E1326" s="15" t="n">
        <v>14288.2893648559</v>
      </c>
      <c r="F1326" s="15" t="n">
        <v>219.509752086553</v>
      </c>
      <c r="G1326" s="15" t="n">
        <v>47.7846125575743</v>
      </c>
      <c r="H1326" s="15" t="n">
        <v>48.2635183258943</v>
      </c>
      <c r="I1326" s="16" t="n">
        <v>39.9233888890351</v>
      </c>
      <c r="J1326" s="15" t="n">
        <v>20.5030691131093</v>
      </c>
      <c r="K1326" s="15" t="n">
        <v>12867.304597969</v>
      </c>
      <c r="L1326" s="15" t="n">
        <v>169.050005537704</v>
      </c>
      <c r="M1326" s="15" t="n">
        <v>-48.1596711524143</v>
      </c>
      <c r="N1326" s="17" t="n">
        <v>35.3177459477188</v>
      </c>
      <c r="O1326" s="18" t="n">
        <v>0.274476644885624</v>
      </c>
    </row>
    <row r="1327" ht="15" customHeight="1" s="12">
      <c r="A1327" s="14" t="inlineStr">
        <is>
          <t>Rahim Yar Khan</t>
        </is>
      </c>
      <c r="B1327" s="14" t="inlineStr">
        <is>
          <t>Punjab</t>
        </is>
      </c>
      <c r="C1327" s="14" t="n">
        <v>2020</v>
      </c>
      <c r="D1327" s="15" t="n">
        <v>128.8729941658</v>
      </c>
      <c r="E1327" s="15" t="n">
        <v>15231.7771418159</v>
      </c>
      <c r="F1327" s="15" t="n">
        <v>219.696890619758</v>
      </c>
      <c r="G1327" s="15" t="n">
        <v>51.3525383765655</v>
      </c>
      <c r="H1327" s="15" t="n">
        <v>49.0601793410324</v>
      </c>
      <c r="I1327" s="16" t="n">
        <v>38.0686269133427</v>
      </c>
      <c r="J1327" s="15" t="n">
        <v>18.1473174292445</v>
      </c>
      <c r="K1327" s="15" t="n">
        <v>12867.304597969</v>
      </c>
      <c r="L1327" s="15" t="n">
        <v>169.050005537704</v>
      </c>
      <c r="M1327" s="15" t="n">
        <v>-40.1770113719039</v>
      </c>
      <c r="N1327" s="17" t="n">
        <v>36.7298114054855</v>
      </c>
      <c r="O1327" s="18" t="n">
        <v>0.285450702793522</v>
      </c>
    </row>
    <row r="1328" ht="15" customHeight="1" s="12">
      <c r="A1328" s="14" t="inlineStr">
        <is>
          <t>Rahim Yar Khan</t>
        </is>
      </c>
      <c r="B1328" s="14" t="inlineStr">
        <is>
          <t>Punjab</t>
        </is>
      </c>
      <c r="C1328" s="14" t="n">
        <v>2021</v>
      </c>
      <c r="D1328" s="15" t="n">
        <v>130.294278079032</v>
      </c>
      <c r="E1328" s="15" t="n">
        <v>15399.7617530351</v>
      </c>
      <c r="F1328" s="15" t="n">
        <v>224.096632242203</v>
      </c>
      <c r="G1328" s="15" t="n">
        <v>33.7392322421074</v>
      </c>
      <c r="H1328" s="15" t="n">
        <v>50.1035626596554</v>
      </c>
      <c r="I1328" s="16" t="n">
        <v>38.4541542409594</v>
      </c>
      <c r="J1328" s="15" t="n">
        <v>15.4405587444839</v>
      </c>
      <c r="K1328" s="15" t="n">
        <v>12867.304597969</v>
      </c>
      <c r="L1328" s="15" t="n">
        <v>169.050005537704</v>
      </c>
      <c r="M1328" s="15" t="n">
        <v>-38.7557274586724</v>
      </c>
      <c r="N1328" s="17" t="n">
        <v>34.3972543621517</v>
      </c>
      <c r="O1328" s="18" t="n">
        <v>0.267322919887831</v>
      </c>
    </row>
    <row r="1329" ht="15" customHeight="1" s="12">
      <c r="A1329" s="14" t="inlineStr">
        <is>
          <t>Rahim Yar Khan</t>
        </is>
      </c>
      <c r="B1329" s="14" t="inlineStr">
        <is>
          <t>Punjab</t>
        </is>
      </c>
      <c r="C1329" s="14" t="n">
        <v>2022</v>
      </c>
      <c r="D1329" s="15" t="n">
        <v>338.399951107989</v>
      </c>
      <c r="E1329" s="15" t="n">
        <v>39996.2201037008</v>
      </c>
      <c r="F1329" s="15" t="n">
        <v>493.246317461133</v>
      </c>
      <c r="G1329" s="15" t="n">
        <v>172.538065522909</v>
      </c>
      <c r="H1329" s="15" t="n">
        <v>79.4841884506899</v>
      </c>
      <c r="I1329" s="16" t="n">
        <v>23.4882387513481</v>
      </c>
      <c r="J1329" s="15" t="n">
        <v>32.7690367961777</v>
      </c>
      <c r="K1329" s="15" t="n">
        <v>12867.304597969</v>
      </c>
      <c r="L1329" s="15" t="n">
        <v>169.050005537704</v>
      </c>
      <c r="M1329" s="15" t="n">
        <v>169.349945570285</v>
      </c>
      <c r="N1329" s="17" t="n">
        <v>53.0561889404992</v>
      </c>
      <c r="O1329" s="18" t="n">
        <v>0.412333356504779</v>
      </c>
    </row>
    <row r="1330" ht="15" customHeight="1" s="12">
      <c r="A1330" s="14" t="inlineStr">
        <is>
          <t>Rahim Yar Khan</t>
        </is>
      </c>
      <c r="B1330" s="14" t="inlineStr">
        <is>
          <t>Punjab</t>
        </is>
      </c>
      <c r="C1330" s="14" t="n">
        <v>2023</v>
      </c>
      <c r="D1330" s="15" t="n">
        <v>141.816092874142</v>
      </c>
      <c r="E1330" s="15" t="n">
        <v>16761.5498946422</v>
      </c>
      <c r="F1330" s="15" t="n">
        <v>227.39657831192</v>
      </c>
      <c r="G1330" s="15" t="n">
        <v>58.1494526863098</v>
      </c>
      <c r="H1330" s="15" t="n">
        <v>49.9775255763919</v>
      </c>
      <c r="I1330" s="16" t="n">
        <v>35.2410819981804</v>
      </c>
      <c r="J1330" s="15" t="n">
        <v>15.9868608779322</v>
      </c>
      <c r="K1330" s="15" t="n">
        <v>12867.304597969</v>
      </c>
      <c r="L1330" s="15" t="n">
        <v>169.050005537704</v>
      </c>
      <c r="M1330" s="15" t="n">
        <v>-27.2339126635625</v>
      </c>
      <c r="N1330" s="17" t="n">
        <v>35.7258481832957</v>
      </c>
      <c r="O1330" s="18" t="n">
        <v>0.277648266669111</v>
      </c>
    </row>
    <row r="1331" ht="15" customHeight="1" s="12">
      <c r="A1331" s="14" t="inlineStr">
        <is>
          <t>Rahim Yar Khan</t>
        </is>
      </c>
      <c r="B1331" s="14" t="inlineStr">
        <is>
          <t>Punjab</t>
        </is>
      </c>
      <c r="C1331" s="14" t="n">
        <v>2024</v>
      </c>
      <c r="D1331" s="15" t="n">
        <v>265.437360660921</v>
      </c>
      <c r="E1331" s="15" t="n">
        <v>31372.6141684687</v>
      </c>
      <c r="F1331" s="15" t="n">
        <v>494.113122039707</v>
      </c>
      <c r="G1331" s="15" t="n">
        <v>97.9396454833368</v>
      </c>
      <c r="H1331" s="15" t="n">
        <v>100.619608588149</v>
      </c>
      <c r="I1331" s="16" t="n">
        <v>37.9071010718359</v>
      </c>
      <c r="J1331" s="15" t="n">
        <v>30.9828129665882</v>
      </c>
      <c r="K1331" s="15" t="n">
        <v>12867.304597969</v>
      </c>
      <c r="L1331" s="15" t="n">
        <v>169.050005537704</v>
      </c>
      <c r="M1331" s="15" t="n">
        <v>96.38735512321711</v>
      </c>
      <c r="N1331" s="17" t="n">
        <v>40.2409914552662</v>
      </c>
      <c r="O1331" s="18" t="n">
        <v>0.31273831398705</v>
      </c>
    </row>
    <row r="1332" ht="15" customHeight="1" s="12">
      <c r="A1332" s="14" t="inlineStr">
        <is>
          <t>Rahim Yar Khan</t>
        </is>
      </c>
      <c r="B1332" s="14" t="inlineStr">
        <is>
          <t>Punjab</t>
        </is>
      </c>
      <c r="C1332" s="14" t="n">
        <v>2025</v>
      </c>
      <c r="D1332" s="15" t="n">
        <v>156.82316284184</v>
      </c>
      <c r="E1332" s="15" t="n">
        <v>18535.2678623146</v>
      </c>
      <c r="F1332" s="15" t="n">
        <v>261.693308125284</v>
      </c>
      <c r="G1332" s="15" t="n">
        <v>53.8730692932591</v>
      </c>
      <c r="H1332" s="15" t="n">
        <v>57.0724036381404</v>
      </c>
      <c r="I1332" s="16" t="n">
        <v>36.3928405752787</v>
      </c>
      <c r="J1332" s="15" t="n">
        <v>22.7483659046418</v>
      </c>
      <c r="K1332" s="15" t="n">
        <v>12867.304597969</v>
      </c>
      <c r="L1332" s="15" t="n">
        <v>169.050005537704</v>
      </c>
      <c r="M1332" s="15" t="n">
        <v>-12.2268426958643</v>
      </c>
      <c r="N1332" s="17" t="n">
        <v>43.7444922817472</v>
      </c>
      <c r="O1332" s="18" t="n">
        <v>0.339966245056887</v>
      </c>
    </row>
    <row r="1333" ht="15" customHeight="1" s="12">
      <c r="A1333" s="14" t="inlineStr">
        <is>
          <t>Rajanpur</t>
        </is>
      </c>
      <c r="B1333" s="14" t="inlineStr">
        <is>
          <t>Punjab</t>
        </is>
      </c>
      <c r="C1333" s="14" t="n">
        <v>2015</v>
      </c>
      <c r="D1333" s="15" t="n">
        <v>180.664646222302</v>
      </c>
      <c r="E1333" s="15" t="n">
        <v>21069.7486823727</v>
      </c>
      <c r="F1333" s="15" t="n">
        <v>331.641348361969</v>
      </c>
      <c r="G1333" s="15" t="n">
        <v>59.5957650542259</v>
      </c>
      <c r="H1333" s="15" t="n">
        <v>73.9763180758916</v>
      </c>
      <c r="I1333" s="16" t="n">
        <v>40.9467594367446</v>
      </c>
      <c r="J1333" s="15" t="n">
        <v>19.6737953529036</v>
      </c>
      <c r="K1333" s="15" t="n">
        <v>12600.9930795389</v>
      </c>
      <c r="L1333" s="15" t="n">
        <v>175.811063930687</v>
      </c>
      <c r="M1333" s="15" t="n">
        <v>4.85358229161474</v>
      </c>
      <c r="N1333" s="17" t="n">
        <v>120.362985643016</v>
      </c>
      <c r="O1333" s="18" t="n">
        <v>0.955186506994101</v>
      </c>
    </row>
    <row r="1334" ht="15" customHeight="1" s="12">
      <c r="A1334" s="14" t="inlineStr">
        <is>
          <t>Rajanpur</t>
        </is>
      </c>
      <c r="B1334" s="14" t="inlineStr">
        <is>
          <t>Punjab</t>
        </is>
      </c>
      <c r="C1334" s="14" t="n">
        <v>2016</v>
      </c>
      <c r="D1334" s="15" t="n">
        <v>194.620611808432</v>
      </c>
      <c r="E1334" s="15" t="n">
        <v>22697.3426453763</v>
      </c>
      <c r="F1334" s="15" t="n">
        <v>347.004328370094</v>
      </c>
      <c r="G1334" s="15" t="n">
        <v>82.96961319446559</v>
      </c>
      <c r="H1334" s="15" t="n">
        <v>66.6313189179274</v>
      </c>
      <c r="I1334" s="16" t="n">
        <v>34.236517036291</v>
      </c>
      <c r="J1334" s="15" t="n">
        <v>22.1078381922728</v>
      </c>
      <c r="K1334" s="15" t="n">
        <v>12600.9930795389</v>
      </c>
      <c r="L1334" s="15" t="n">
        <v>175.811063930687</v>
      </c>
      <c r="M1334" s="15" t="n">
        <v>18.8095478777443</v>
      </c>
      <c r="N1334" s="17" t="n">
        <v>63.6170832876299</v>
      </c>
      <c r="O1334" s="18" t="n">
        <v>0.504857695628206</v>
      </c>
    </row>
    <row r="1335" ht="15" customHeight="1" s="12">
      <c r="A1335" s="14" t="inlineStr">
        <is>
          <t>Rajanpur</t>
        </is>
      </c>
      <c r="B1335" s="14" t="inlineStr">
        <is>
          <t>Punjab</t>
        </is>
      </c>
      <c r="C1335" s="14" t="n">
        <v>2017</v>
      </c>
      <c r="D1335" s="15" t="n">
        <v>184.619312505333</v>
      </c>
      <c r="E1335" s="15" t="n">
        <v>21530.9558219455</v>
      </c>
      <c r="F1335" s="15" t="n">
        <v>355.458528995514</v>
      </c>
      <c r="G1335" s="15" t="n">
        <v>74.8368419706821</v>
      </c>
      <c r="H1335" s="15" t="n">
        <v>62.8993706057659</v>
      </c>
      <c r="I1335" s="16" t="n">
        <v>34.0697675406786</v>
      </c>
      <c r="J1335" s="15" t="n">
        <v>22.7398029523521</v>
      </c>
      <c r="K1335" s="15" t="n">
        <v>12600.9930795389</v>
      </c>
      <c r="L1335" s="15" t="n">
        <v>175.811063930687</v>
      </c>
      <c r="M1335" s="15" t="n">
        <v>8.808248574645891</v>
      </c>
      <c r="N1335" s="17" t="n">
        <v>80.84463044374939</v>
      </c>
      <c r="O1335" s="18" t="n">
        <v>0.641573484990023</v>
      </c>
    </row>
    <row r="1336" ht="15" customHeight="1" s="12">
      <c r="A1336" s="14" t="inlineStr">
        <is>
          <t>Rajanpur</t>
        </is>
      </c>
      <c r="B1336" s="14" t="inlineStr">
        <is>
          <t>Punjab</t>
        </is>
      </c>
      <c r="C1336" s="14" t="n">
        <v>2018</v>
      </c>
      <c r="D1336" s="15" t="n">
        <v>87.9286238100933</v>
      </c>
      <c r="E1336" s="15" t="n">
        <v>10254.5464450524</v>
      </c>
      <c r="F1336" s="15" t="n">
        <v>204.197593212128</v>
      </c>
      <c r="G1336" s="15" t="n">
        <v>25.1544892191887</v>
      </c>
      <c r="H1336" s="15" t="n">
        <v>44.4360254078749</v>
      </c>
      <c r="I1336" s="16" t="n">
        <v>50.5364732010899</v>
      </c>
      <c r="J1336" s="15" t="n">
        <v>15.0860486230203</v>
      </c>
      <c r="K1336" s="15" t="n">
        <v>12600.9930795389</v>
      </c>
      <c r="L1336" s="15" t="n">
        <v>175.811063930687</v>
      </c>
      <c r="M1336" s="15" t="n">
        <v>-87.8824401205939</v>
      </c>
      <c r="N1336" s="17" t="n">
        <v>67.9444055827443</v>
      </c>
      <c r="O1336" s="18" t="n">
        <v>0.5391988167430261</v>
      </c>
    </row>
    <row r="1337" ht="15" customHeight="1" s="12">
      <c r="A1337" s="14" t="inlineStr">
        <is>
          <t>Rajanpur</t>
        </is>
      </c>
      <c r="B1337" s="14" t="inlineStr">
        <is>
          <t>Punjab</t>
        </is>
      </c>
      <c r="C1337" s="14" t="n">
        <v>2019</v>
      </c>
      <c r="D1337" s="15" t="n">
        <v>133.111770797358</v>
      </c>
      <c r="E1337" s="15" t="n">
        <v>15523.9645166377</v>
      </c>
      <c r="F1337" s="15" t="n">
        <v>269.081391453743</v>
      </c>
      <c r="G1337" s="15" t="n">
        <v>47.7846125575743</v>
      </c>
      <c r="H1337" s="15" t="n">
        <v>52.315105503223</v>
      </c>
      <c r="I1337" s="16" t="n">
        <v>39.3016374058045</v>
      </c>
      <c r="J1337" s="15" t="n">
        <v>21.5796428931706</v>
      </c>
      <c r="K1337" s="15" t="n">
        <v>12600.9930795389</v>
      </c>
      <c r="L1337" s="15" t="n">
        <v>175.811063930687</v>
      </c>
      <c r="M1337" s="15" t="n">
        <v>-42.6992931333295</v>
      </c>
      <c r="N1337" s="17" t="n">
        <v>87.99067690155201</v>
      </c>
      <c r="O1337" s="18" t="n">
        <v>0.698283669756382</v>
      </c>
    </row>
    <row r="1338" ht="15" customHeight="1" s="12">
      <c r="A1338" s="14" t="inlineStr">
        <is>
          <t>Rajanpur</t>
        </is>
      </c>
      <c r="B1338" s="14" t="inlineStr">
        <is>
          <t>Punjab</t>
        </is>
      </c>
      <c r="C1338" s="14" t="n">
        <v>2020</v>
      </c>
      <c r="D1338" s="15" t="n">
        <v>130.993563976606</v>
      </c>
      <c r="E1338" s="15" t="n">
        <v>15276.9317611776</v>
      </c>
      <c r="F1338" s="15" t="n">
        <v>225.15311946928</v>
      </c>
      <c r="G1338" s="15" t="n">
        <v>49.0089559222042</v>
      </c>
      <c r="H1338" s="15" t="n">
        <v>48.2840446672554</v>
      </c>
      <c r="I1338" s="16" t="n">
        <v>36.8598602873943</v>
      </c>
      <c r="J1338" s="15" t="n">
        <v>20.1495006557046</v>
      </c>
      <c r="K1338" s="15" t="n">
        <v>12600.9930795389</v>
      </c>
      <c r="L1338" s="15" t="n">
        <v>175.811063930687</v>
      </c>
      <c r="M1338" s="15" t="n">
        <v>-44.8174999540811</v>
      </c>
      <c r="N1338" s="17" t="n">
        <v>86.8352200965045</v>
      </c>
      <c r="O1338" s="18" t="n">
        <v>0.689114100360112</v>
      </c>
    </row>
    <row r="1339" ht="15" customHeight="1" s="12">
      <c r="A1339" s="14" t="inlineStr">
        <is>
          <t>Rajanpur</t>
        </is>
      </c>
      <c r="B1339" s="14" t="inlineStr">
        <is>
          <t>Punjab</t>
        </is>
      </c>
      <c r="C1339" s="14" t="n">
        <v>2021</v>
      </c>
      <c r="D1339" s="15" t="n">
        <v>124.408589594415</v>
      </c>
      <c r="E1339" s="15" t="n">
        <v>14508.9688076404</v>
      </c>
      <c r="F1339" s="15" t="n">
        <v>241.009907722473</v>
      </c>
      <c r="G1339" s="15" t="n">
        <v>33.7392322421074</v>
      </c>
      <c r="H1339" s="15" t="n">
        <v>63.7153495575366</v>
      </c>
      <c r="I1339" s="16" t="n">
        <v>51.2145903793743</v>
      </c>
      <c r="J1339" s="15" t="n">
        <v>15.8156629341942</v>
      </c>
      <c r="K1339" s="15" t="n">
        <v>12600.9930795389</v>
      </c>
      <c r="L1339" s="15" t="n">
        <v>175.811063930687</v>
      </c>
      <c r="M1339" s="15" t="n">
        <v>-51.4024743362721</v>
      </c>
      <c r="N1339" s="17" t="n">
        <v>74.43650576448</v>
      </c>
      <c r="O1339" s="18" t="n">
        <v>0.590719360725209</v>
      </c>
    </row>
    <row r="1340" ht="15" customHeight="1" s="12">
      <c r="A1340" s="14" t="inlineStr">
        <is>
          <t>Rajanpur</t>
        </is>
      </c>
      <c r="B1340" s="14" t="inlineStr">
        <is>
          <t>Punjab</t>
        </is>
      </c>
      <c r="C1340" s="14" t="n">
        <v>2022</v>
      </c>
      <c r="D1340" s="15" t="n">
        <v>349.856748419137</v>
      </c>
      <c r="E1340" s="15" t="n">
        <v>40801.5287891636</v>
      </c>
      <c r="F1340" s="15" t="n">
        <v>612.656509419787</v>
      </c>
      <c r="G1340" s="15" t="n">
        <v>172.538065522909</v>
      </c>
      <c r="H1340" s="15" t="n">
        <v>106.61786122512</v>
      </c>
      <c r="I1340" s="16" t="n">
        <v>30.4747190691285</v>
      </c>
      <c r="J1340" s="15" t="n">
        <v>32.9026530818118</v>
      </c>
      <c r="K1340" s="15" t="n">
        <v>12600.9930795389</v>
      </c>
      <c r="L1340" s="15" t="n">
        <v>175.811063930687</v>
      </c>
      <c r="M1340" s="15" t="n">
        <v>174.04568448845</v>
      </c>
      <c r="N1340" s="17" t="n">
        <v>129.805585324776</v>
      </c>
      <c r="O1340" s="18" t="n">
        <v>1.03012186821648</v>
      </c>
    </row>
    <row r="1341" ht="15" customHeight="1" s="12">
      <c r="A1341" s="14" t="inlineStr">
        <is>
          <t>Rajanpur</t>
        </is>
      </c>
      <c r="B1341" s="14" t="inlineStr">
        <is>
          <t>Punjab</t>
        </is>
      </c>
      <c r="C1341" s="14" t="n">
        <v>2023</v>
      </c>
      <c r="D1341" s="15" t="n">
        <v>171.653207382801</v>
      </c>
      <c r="E1341" s="15" t="n">
        <v>20018.8028798318</v>
      </c>
      <c r="F1341" s="15" t="n">
        <v>333.656751811504</v>
      </c>
      <c r="G1341" s="15" t="n">
        <v>58.1494526863098</v>
      </c>
      <c r="H1341" s="15" t="n">
        <v>68.44088070865691</v>
      </c>
      <c r="I1341" s="16" t="n">
        <v>39.8716002760311</v>
      </c>
      <c r="J1341" s="15" t="n">
        <v>20.2591546454151</v>
      </c>
      <c r="K1341" s="15" t="n">
        <v>12600.9930795389</v>
      </c>
      <c r="L1341" s="15" t="n">
        <v>175.811063930687</v>
      </c>
      <c r="M1341" s="15" t="n">
        <v>-4.15785654788652</v>
      </c>
      <c r="N1341" s="17" t="n">
        <v>89.8471030352886</v>
      </c>
      <c r="O1341" s="18" t="n">
        <v>0.713016049355502</v>
      </c>
    </row>
    <row r="1342" ht="15" customHeight="1" s="12">
      <c r="A1342" s="14" t="inlineStr">
        <is>
          <t>Rajanpur</t>
        </is>
      </c>
      <c r="B1342" s="14" t="inlineStr">
        <is>
          <t>Punjab</t>
        </is>
      </c>
      <c r="C1342" s="14" t="n">
        <v>2024</v>
      </c>
      <c r="D1342" s="15" t="n">
        <v>242.685979427158</v>
      </c>
      <c r="E1342" s="15" t="n">
        <v>28302.8954595461</v>
      </c>
      <c r="F1342" s="15" t="n">
        <v>455.498241145653</v>
      </c>
      <c r="G1342" s="15" t="n">
        <v>97.9396454833368</v>
      </c>
      <c r="H1342" s="15" t="n">
        <v>79.8162044354781</v>
      </c>
      <c r="I1342" s="16" t="n">
        <v>32.8886755732154</v>
      </c>
      <c r="J1342" s="15" t="n">
        <v>31.2507145499176</v>
      </c>
      <c r="K1342" s="15" t="n">
        <v>12600.9930795389</v>
      </c>
      <c r="L1342" s="15" t="n">
        <v>175.811063930687</v>
      </c>
      <c r="M1342" s="15" t="n">
        <v>66.87491549647081</v>
      </c>
      <c r="N1342" s="17" t="n">
        <v>111.457415793253</v>
      </c>
      <c r="O1342" s="18" t="n">
        <v>0.884512951397731</v>
      </c>
    </row>
    <row r="1343" ht="15" customHeight="1" s="12">
      <c r="A1343" s="14" t="inlineStr">
        <is>
          <t>Rajanpur</t>
        </is>
      </c>
      <c r="B1343" s="14" t="inlineStr">
        <is>
          <t>Punjab</t>
        </is>
      </c>
      <c r="C1343" s="14" t="n">
        <v>2025</v>
      </c>
      <c r="D1343" s="15" t="n">
        <v>133.378649293925</v>
      </c>
      <c r="E1343" s="15" t="n">
        <v>15555.0888288315</v>
      </c>
      <c r="F1343" s="15" t="n">
        <v>257.128378884052</v>
      </c>
      <c r="G1343" s="15" t="n">
        <v>52.3199409318004</v>
      </c>
      <c r="H1343" s="15" t="n">
        <v>48.136936423959</v>
      </c>
      <c r="I1343" s="16" t="n">
        <v>36.0904362720605</v>
      </c>
      <c r="J1343" s="15" t="n">
        <v>18.1270721947611</v>
      </c>
      <c r="K1343" s="15" t="n">
        <v>12600.9930795389</v>
      </c>
      <c r="L1343" s="15" t="n">
        <v>175.811063930687</v>
      </c>
      <c r="M1343" s="15" t="n">
        <v>-42.4324146367624</v>
      </c>
      <c r="N1343" s="17" t="n">
        <v>108.605306638479</v>
      </c>
      <c r="O1343" s="18" t="n">
        <v>0.861878948372956</v>
      </c>
    </row>
    <row r="1344" ht="15" customHeight="1" s="12">
      <c r="A1344" s="14" t="inlineStr">
        <is>
          <t>Rawalpindi</t>
        </is>
      </c>
      <c r="B1344" s="14" t="inlineStr">
        <is>
          <t>Punjab</t>
        </is>
      </c>
      <c r="C1344" s="14" t="n">
        <v>2015</v>
      </c>
      <c r="D1344" s="15" t="n">
        <v>741.410539502314</v>
      </c>
      <c r="E1344" s="15" t="n">
        <v>37585.1531142997</v>
      </c>
      <c r="F1344" s="15" t="n">
        <v>1086.2699098587</v>
      </c>
      <c r="G1344" s="15" t="n">
        <v>560.104516506195</v>
      </c>
      <c r="H1344" s="15" t="n">
        <v>118.435875713591</v>
      </c>
      <c r="I1344" s="16" t="n">
        <v>15.9743987174897</v>
      </c>
      <c r="J1344" s="15" t="n">
        <v>32.3381294964029</v>
      </c>
      <c r="K1344" s="15" t="n">
        <v>5228.08753972431</v>
      </c>
      <c r="L1344" s="15" t="n">
        <v>760.324743449826</v>
      </c>
      <c r="M1344" s="15" t="n">
        <v>-18.914203947512</v>
      </c>
      <c r="N1344" s="17" t="n">
        <v>3.99783936051576</v>
      </c>
      <c r="O1344" s="18" t="n">
        <v>0.0764684854669931</v>
      </c>
    </row>
    <row r="1345" ht="15" customHeight="1" s="12">
      <c r="A1345" s="14" t="inlineStr">
        <is>
          <t>Rawalpindi</t>
        </is>
      </c>
      <c r="B1345" s="14" t="inlineStr">
        <is>
          <t>Punjab</t>
        </is>
      </c>
      <c r="C1345" s="14" t="n">
        <v>2016</v>
      </c>
      <c r="D1345" s="15" t="n">
        <v>689.942435688593</v>
      </c>
      <c r="E1345" s="15" t="n">
        <v>34976.0230044959</v>
      </c>
      <c r="F1345" s="15" t="n">
        <v>991.2863831520081</v>
      </c>
      <c r="G1345" s="15" t="n">
        <v>471.946401238442</v>
      </c>
      <c r="H1345" s="15" t="n">
        <v>111.782479309043</v>
      </c>
      <c r="I1345" s="16" t="n">
        <v>16.2017109728116</v>
      </c>
      <c r="J1345" s="15" t="n">
        <v>35.5971996596271</v>
      </c>
      <c r="K1345" s="15" t="n">
        <v>5228.08753972431</v>
      </c>
      <c r="L1345" s="15" t="n">
        <v>760.324743449826</v>
      </c>
      <c r="M1345" s="15" t="n">
        <v>-70.38230776123309</v>
      </c>
      <c r="N1345" s="17" t="n">
        <v>13.8430637979174</v>
      </c>
      <c r="O1345" s="18" t="n">
        <v>0.264782555623531</v>
      </c>
    </row>
    <row r="1346" ht="15" customHeight="1" s="12">
      <c r="A1346" s="14" t="inlineStr">
        <is>
          <t>Rawalpindi</t>
        </is>
      </c>
      <c r="B1346" s="14" t="inlineStr">
        <is>
          <t>Punjab</t>
        </is>
      </c>
      <c r="C1346" s="14" t="n">
        <v>2017</v>
      </c>
      <c r="D1346" s="15" t="n">
        <v>647.621863701402</v>
      </c>
      <c r="E1346" s="15" t="n">
        <v>32830.6189492864</v>
      </c>
      <c r="F1346" s="15" t="n">
        <v>888.324664592743</v>
      </c>
      <c r="G1346" s="15" t="n">
        <v>480.110609769821</v>
      </c>
      <c r="H1346" s="15" t="n">
        <v>78.6469085496055</v>
      </c>
      <c r="I1346" s="16" t="n">
        <v>12.1439551314881</v>
      </c>
      <c r="J1346" s="15" t="n">
        <v>35.0234393130657</v>
      </c>
      <c r="K1346" s="15" t="n">
        <v>5228.08753972431</v>
      </c>
      <c r="L1346" s="15" t="n">
        <v>760.324743449826</v>
      </c>
      <c r="M1346" s="15" t="n">
        <v>-112.702879748424</v>
      </c>
      <c r="N1346" s="17" t="n">
        <v>11.5142681966993</v>
      </c>
      <c r="O1346" s="18" t="n">
        <v>0.220238626633755</v>
      </c>
    </row>
    <row r="1347" ht="15" customHeight="1" s="12">
      <c r="A1347" s="14" t="inlineStr">
        <is>
          <t>Rawalpindi</t>
        </is>
      </c>
      <c r="B1347" s="14" t="inlineStr">
        <is>
          <t>Punjab</t>
        </is>
      </c>
      <c r="C1347" s="14" t="n">
        <v>2018</v>
      </c>
      <c r="D1347" s="15" t="n">
        <v>658.952371509527</v>
      </c>
      <c r="E1347" s="15" t="n">
        <v>33405.0090451124</v>
      </c>
      <c r="F1347" s="15" t="n">
        <v>1017.16950464249</v>
      </c>
      <c r="G1347" s="15" t="n">
        <v>472.138102293015</v>
      </c>
      <c r="H1347" s="15" t="n">
        <v>113.214905208009</v>
      </c>
      <c r="I1347" s="16" t="n">
        <v>17.1810452625971</v>
      </c>
      <c r="J1347" s="15" t="n">
        <v>30.8838864392357</v>
      </c>
      <c r="K1347" s="15" t="n">
        <v>5228.08753972431</v>
      </c>
      <c r="L1347" s="15" t="n">
        <v>760.324743449826</v>
      </c>
      <c r="M1347" s="15" t="n">
        <v>-101.3723719403</v>
      </c>
      <c r="N1347" s="17" t="n">
        <v>8.28694058534006</v>
      </c>
      <c r="O1347" s="18" t="n">
        <v>0.158508068626889</v>
      </c>
    </row>
    <row r="1348" ht="15" customHeight="1" s="12">
      <c r="A1348" s="14" t="inlineStr">
        <is>
          <t>Rawalpindi</t>
        </is>
      </c>
      <c r="B1348" s="14" t="inlineStr">
        <is>
          <t>Punjab</t>
        </is>
      </c>
      <c r="C1348" s="14" t="n">
        <v>2019</v>
      </c>
      <c r="D1348" s="15" t="n">
        <v>695.106588819277</v>
      </c>
      <c r="E1348" s="15" t="n">
        <v>35237.8151908502</v>
      </c>
      <c r="F1348" s="15" t="n">
        <v>1040.05335440568</v>
      </c>
      <c r="G1348" s="15" t="n">
        <v>499.048937551359</v>
      </c>
      <c r="H1348" s="15" t="n">
        <v>113.39523914628</v>
      </c>
      <c r="I1348" s="16" t="n">
        <v>16.3133598458469</v>
      </c>
      <c r="J1348" s="15" t="n">
        <v>26.8109383460973</v>
      </c>
      <c r="K1348" s="15" t="n">
        <v>5228.08753972431</v>
      </c>
      <c r="L1348" s="15" t="n">
        <v>760.324743449826</v>
      </c>
      <c r="M1348" s="15" t="n">
        <v>-65.21815463054909</v>
      </c>
      <c r="N1348" s="17" t="n">
        <v>9.47412190144448</v>
      </c>
      <c r="O1348" s="18" t="n">
        <v>0.181215823749273</v>
      </c>
    </row>
    <row r="1349" ht="15" customHeight="1" s="12">
      <c r="A1349" s="14" t="inlineStr">
        <is>
          <t>Rawalpindi</t>
        </is>
      </c>
      <c r="B1349" s="14" t="inlineStr">
        <is>
          <t>Punjab</t>
        </is>
      </c>
      <c r="C1349" s="14" t="n">
        <v>2020</v>
      </c>
      <c r="D1349" s="15" t="n">
        <v>755.292112956354</v>
      </c>
      <c r="E1349" s="15" t="n">
        <v>38288.8672321051</v>
      </c>
      <c r="F1349" s="15" t="n">
        <v>1029.92088660802</v>
      </c>
      <c r="G1349" s="15" t="n">
        <v>516.911823242903</v>
      </c>
      <c r="H1349" s="15" t="n">
        <v>106.003355347497</v>
      </c>
      <c r="I1349" s="16" t="n">
        <v>14.0347494074286</v>
      </c>
      <c r="J1349" s="15" t="n">
        <v>31.5264949330858</v>
      </c>
      <c r="K1349" s="15" t="n">
        <v>5228.08753972431</v>
      </c>
      <c r="L1349" s="15" t="n">
        <v>760.324743449826</v>
      </c>
      <c r="M1349" s="15" t="n">
        <v>-5.03263049347208</v>
      </c>
      <c r="N1349" s="17" t="n">
        <v>1.26719438674292</v>
      </c>
      <c r="O1349" s="18" t="n">
        <v>0.0242382013903644</v>
      </c>
    </row>
    <row r="1350" ht="15" customHeight="1" s="12">
      <c r="A1350" s="14" t="inlineStr">
        <is>
          <t>Rawalpindi</t>
        </is>
      </c>
      <c r="B1350" s="14" t="inlineStr">
        <is>
          <t>Punjab</t>
        </is>
      </c>
      <c r="C1350" s="14" t="n">
        <v>2021</v>
      </c>
      <c r="D1350" s="15" t="n">
        <v>929.90340735745</v>
      </c>
      <c r="E1350" s="15" t="n">
        <v>47140.6327329795</v>
      </c>
      <c r="F1350" s="15" t="n">
        <v>1330.93293762207</v>
      </c>
      <c r="G1350" s="15" t="n">
        <v>630.873707652092</v>
      </c>
      <c r="H1350" s="15" t="n">
        <v>146.332997190805</v>
      </c>
      <c r="I1350" s="16" t="n">
        <v>15.7363653077309</v>
      </c>
      <c r="J1350" s="15" t="n">
        <v>22.1547149377272</v>
      </c>
      <c r="K1350" s="15" t="n">
        <v>5228.08753972431</v>
      </c>
      <c r="L1350" s="15" t="n">
        <v>760.324743449826</v>
      </c>
      <c r="M1350" s="15" t="n">
        <v>169.578663907624</v>
      </c>
      <c r="N1350" s="17" t="n">
        <v>10.8918768842451</v>
      </c>
      <c r="O1350" s="18" t="n">
        <v>0.208333865901936</v>
      </c>
    </row>
    <row r="1351" ht="15" customHeight="1" s="12">
      <c r="A1351" s="14" t="inlineStr">
        <is>
          <t>Rawalpindi</t>
        </is>
      </c>
      <c r="B1351" s="14" t="inlineStr">
        <is>
          <t>Punjab</t>
        </is>
      </c>
      <c r="C1351" s="14" t="n">
        <v>2022</v>
      </c>
      <c r="D1351" s="15" t="n">
        <v>758.0349300757661</v>
      </c>
      <c r="E1351" s="15" t="n">
        <v>38427.9119258409</v>
      </c>
      <c r="F1351" s="15" t="n">
        <v>1084.42582583427</v>
      </c>
      <c r="G1351" s="15" t="n">
        <v>509.174904521162</v>
      </c>
      <c r="H1351" s="15" t="n">
        <v>118.260827474024</v>
      </c>
      <c r="I1351" s="16" t="n">
        <v>15.6009733564922</v>
      </c>
      <c r="J1351" s="15" t="n">
        <v>33.9173822232537</v>
      </c>
      <c r="K1351" s="15" t="n">
        <v>5228.08753972431</v>
      </c>
      <c r="L1351" s="15" t="n">
        <v>760.324743449826</v>
      </c>
      <c r="M1351" s="15" t="n">
        <v>-2.28981337406037</v>
      </c>
      <c r="N1351" s="17" t="n">
        <v>10.2264198723228</v>
      </c>
      <c r="O1351" s="18" t="n">
        <v>0.195605368016888</v>
      </c>
    </row>
    <row r="1352" ht="15" customHeight="1" s="12">
      <c r="A1352" s="14" t="inlineStr">
        <is>
          <t>Rawalpindi</t>
        </is>
      </c>
      <c r="B1352" s="14" t="inlineStr">
        <is>
          <t>Punjab</t>
        </is>
      </c>
      <c r="C1352" s="14" t="n">
        <v>2023</v>
      </c>
      <c r="D1352" s="15" t="n">
        <v>779.811431479682</v>
      </c>
      <c r="E1352" s="15" t="n">
        <v>39531.8524499524</v>
      </c>
      <c r="F1352" s="15" t="n">
        <v>1232.97997283936</v>
      </c>
      <c r="G1352" s="15" t="n">
        <v>521.999798297882</v>
      </c>
      <c r="H1352" s="15" t="n">
        <v>166.718608034487</v>
      </c>
      <c r="I1352" s="16" t="n">
        <v>21.3793490713698</v>
      </c>
      <c r="J1352" s="15" t="n">
        <v>22.5408834222944</v>
      </c>
      <c r="K1352" s="15" t="n">
        <v>5228.08753972431</v>
      </c>
      <c r="L1352" s="15" t="n">
        <v>760.324743449826</v>
      </c>
      <c r="M1352" s="15" t="n">
        <v>19.4866880298561</v>
      </c>
      <c r="N1352" s="17" t="n">
        <v>12.2806223290228</v>
      </c>
      <c r="O1352" s="18" t="n">
        <v>0.234897029472281</v>
      </c>
    </row>
    <row r="1353" ht="15" customHeight="1" s="12">
      <c r="A1353" s="14" t="inlineStr">
        <is>
          <t>Rawalpindi</t>
        </is>
      </c>
      <c r="B1353" s="14" t="inlineStr">
        <is>
          <t>Punjab</t>
        </is>
      </c>
      <c r="C1353" s="14" t="n">
        <v>2024</v>
      </c>
      <c r="D1353" s="15" t="n">
        <v>731.610030603788</v>
      </c>
      <c r="E1353" s="15" t="n">
        <v>37088.3249631967</v>
      </c>
      <c r="F1353" s="15" t="n">
        <v>1040.78857005388</v>
      </c>
      <c r="G1353" s="15" t="n">
        <v>452.810180973262</v>
      </c>
      <c r="H1353" s="15" t="n">
        <v>133.127602687611</v>
      </c>
      <c r="I1353" s="16" t="n">
        <v>18.1965250774025</v>
      </c>
      <c r="J1353" s="15" t="n">
        <v>38.2241819447668</v>
      </c>
      <c r="K1353" s="15" t="n">
        <v>5228.08753972431</v>
      </c>
      <c r="L1353" s="15" t="n">
        <v>760.324743449826</v>
      </c>
      <c r="M1353" s="15" t="n">
        <v>-28.7147128460388</v>
      </c>
      <c r="N1353" s="17" t="n">
        <v>8.97605319904666</v>
      </c>
      <c r="O1353" s="18" t="n">
        <v>0.171689037929154</v>
      </c>
    </row>
    <row r="1354" ht="15" customHeight="1" s="12">
      <c r="A1354" s="14" t="inlineStr">
        <is>
          <t>Rawalpindi</t>
        </is>
      </c>
      <c r="B1354" s="14" t="inlineStr">
        <is>
          <t>Punjab</t>
        </is>
      </c>
      <c r="C1354" s="14" t="n">
        <v>2025</v>
      </c>
      <c r="D1354" s="15" t="n">
        <v>975.8864662539351</v>
      </c>
      <c r="E1354" s="15" t="n">
        <v>49471.7033304495</v>
      </c>
      <c r="F1354" s="15" t="n">
        <v>1486.82232607342</v>
      </c>
      <c r="G1354" s="15" t="n">
        <v>615.331086832274</v>
      </c>
      <c r="H1354" s="15" t="n">
        <v>190.377184330914</v>
      </c>
      <c r="I1354" s="16" t="n">
        <v>19.5081283442429</v>
      </c>
      <c r="J1354" s="15" t="n">
        <v>42.7582579098012</v>
      </c>
      <c r="K1354" s="15" t="n">
        <v>5228.08753972431</v>
      </c>
      <c r="L1354" s="15" t="n">
        <v>760.324743449826</v>
      </c>
      <c r="M1354" s="15" t="n">
        <v>215.561722804109</v>
      </c>
      <c r="N1354" s="17" t="n">
        <v>11.7823568792049</v>
      </c>
      <c r="O1354" s="18" t="n">
        <v>0.225366480375083</v>
      </c>
    </row>
    <row r="1355" ht="15" customHeight="1" s="12">
      <c r="A1355" s="14" t="inlineStr">
        <is>
          <t>Rondu</t>
        </is>
      </c>
      <c r="B1355" s="14" t="inlineStr">
        <is>
          <t>Gilgit Baltistan</t>
        </is>
      </c>
      <c r="C1355" s="14" t="n">
        <v>2015</v>
      </c>
      <c r="D1355" s="15" t="n">
        <v>150.386209825297</v>
      </c>
      <c r="E1355" s="15" t="n">
        <v>2811.92724881183</v>
      </c>
      <c r="F1355" s="15" t="n">
        <v>581.72363948822</v>
      </c>
      <c r="G1355" s="15" t="n">
        <v>19.3613405898213</v>
      </c>
      <c r="H1355" s="15" t="n">
        <v>117.033406913911</v>
      </c>
      <c r="I1355" s="16" t="n">
        <v>77.8219007247197</v>
      </c>
      <c r="J1355" s="15" t="n">
        <v>10.4672818791946</v>
      </c>
      <c r="K1355" s="15" t="n">
        <v>1881.79748974488</v>
      </c>
      <c r="L1355" s="15" t="n">
        <v>122.402122564028</v>
      </c>
      <c r="M1355" s="15" t="n">
        <v>27.9840872612694</v>
      </c>
      <c r="N1355" s="17" t="n">
        <v>0.655837271699554</v>
      </c>
      <c r="O1355" s="18" t="n">
        <v>0.0348516392052615</v>
      </c>
    </row>
    <row r="1356" ht="15" customHeight="1" s="12">
      <c r="A1356" s="14" t="inlineStr">
        <is>
          <t>Rondu</t>
        </is>
      </c>
      <c r="B1356" s="14" t="inlineStr">
        <is>
          <t>Gilgit Baltistan</t>
        </is>
      </c>
      <c r="C1356" s="14" t="n">
        <v>2016</v>
      </c>
      <c r="D1356" s="15" t="n">
        <v>101.553209914698</v>
      </c>
      <c r="E1356" s="15" t="n">
        <v>1898.84590146384</v>
      </c>
      <c r="F1356" s="15" t="n">
        <v>436.325703859329</v>
      </c>
      <c r="G1356" s="15" t="n">
        <v>13.0916537642479</v>
      </c>
      <c r="H1356" s="15" t="n">
        <v>85.8560908155109</v>
      </c>
      <c r="I1356" s="16" t="n">
        <v>84.54296116058561</v>
      </c>
      <c r="J1356" s="15" t="n">
        <v>16.6466023489933</v>
      </c>
      <c r="K1356" s="15" t="n">
        <v>1881.79748974488</v>
      </c>
      <c r="L1356" s="15" t="n">
        <v>122.402122564028</v>
      </c>
      <c r="M1356" s="15" t="n">
        <v>-20.8489126493298</v>
      </c>
      <c r="N1356" s="17" t="n">
        <v>0.4945149500888</v>
      </c>
      <c r="O1356" s="18" t="n">
        <v>0.0262788611837208</v>
      </c>
    </row>
    <row r="1357" ht="15" customHeight="1" s="12">
      <c r="A1357" s="14" t="inlineStr">
        <is>
          <t>Rondu</t>
        </is>
      </c>
      <c r="B1357" s="14" t="inlineStr">
        <is>
          <t>Gilgit Baltistan</t>
        </is>
      </c>
      <c r="C1357" s="14" t="n">
        <v>2017</v>
      </c>
      <c r="D1357" s="15" t="n">
        <v>96.89834035223259</v>
      </c>
      <c r="E1357" s="15" t="n">
        <v>1811.80896784096</v>
      </c>
      <c r="F1357" s="15" t="n">
        <v>434.231833577156</v>
      </c>
      <c r="G1357" s="15" t="n">
        <v>13.4705506563187</v>
      </c>
      <c r="H1357" s="15" t="n">
        <v>82.83076914974799</v>
      </c>
      <c r="I1357" s="16" t="n">
        <v>85.4821340062709</v>
      </c>
      <c r="J1357" s="15" t="n">
        <v>16.1375838926175</v>
      </c>
      <c r="K1357" s="15" t="n">
        <v>1881.79748974488</v>
      </c>
      <c r="L1357" s="15" t="n">
        <v>122.402122564028</v>
      </c>
      <c r="M1357" s="15" t="n">
        <v>-25.5037822117948</v>
      </c>
      <c r="N1357" s="17" t="n">
        <v>0.642396290957941</v>
      </c>
      <c r="O1357" s="18" t="n">
        <v>0.0341373763361238</v>
      </c>
    </row>
    <row r="1358" ht="15" customHeight="1" s="12">
      <c r="A1358" s="14" t="inlineStr">
        <is>
          <t>Rondu</t>
        </is>
      </c>
      <c r="B1358" s="14" t="inlineStr">
        <is>
          <t>Gilgit Baltistan</t>
        </is>
      </c>
      <c r="C1358" s="14" t="n">
        <v>2018</v>
      </c>
      <c r="D1358" s="15" t="n">
        <v>108.69884718994</v>
      </c>
      <c r="E1358" s="15" t="n">
        <v>2032.45530745739</v>
      </c>
      <c r="F1358" s="15" t="n">
        <v>434.413173913956</v>
      </c>
      <c r="G1358" s="15" t="n">
        <v>11.82032796368</v>
      </c>
      <c r="H1358" s="15" t="n">
        <v>87.3100011959569</v>
      </c>
      <c r="I1358" s="16" t="n">
        <v>80.3228400788755</v>
      </c>
      <c r="J1358" s="15" t="n">
        <v>17.6331795302013</v>
      </c>
      <c r="K1358" s="15" t="n">
        <v>1881.79748974488</v>
      </c>
      <c r="L1358" s="15" t="n">
        <v>122.402122564028</v>
      </c>
      <c r="M1358" s="15" t="n">
        <v>-13.7032753740873</v>
      </c>
      <c r="N1358" s="17" t="n">
        <v>1.05424991798862</v>
      </c>
      <c r="O1358" s="18" t="n">
        <v>0.0560235585249687</v>
      </c>
    </row>
    <row r="1359" ht="15" customHeight="1" s="12">
      <c r="A1359" s="14" t="inlineStr">
        <is>
          <t>Rondu</t>
        </is>
      </c>
      <c r="B1359" s="14" t="inlineStr">
        <is>
          <t>Gilgit Baltistan</t>
        </is>
      </c>
      <c r="C1359" s="14" t="n">
        <v>2019</v>
      </c>
      <c r="D1359" s="15" t="n">
        <v>139.767329236466</v>
      </c>
      <c r="E1359" s="15" t="n">
        <v>2613.37500313518</v>
      </c>
      <c r="F1359" s="15" t="n">
        <v>580.578817844391</v>
      </c>
      <c r="G1359" s="15" t="n">
        <v>23.718338534236</v>
      </c>
      <c r="H1359" s="15" t="n">
        <v>113.969501805132</v>
      </c>
      <c r="I1359" s="16" t="n">
        <v>81.5423049347332</v>
      </c>
      <c r="J1359" s="15" t="n">
        <v>21.6398909395973</v>
      </c>
      <c r="K1359" s="15" t="n">
        <v>1881.79748974488</v>
      </c>
      <c r="L1359" s="15" t="n">
        <v>122.402122564028</v>
      </c>
      <c r="M1359" s="15" t="n">
        <v>17.3652066724386</v>
      </c>
      <c r="N1359" s="17" t="n">
        <v>0.890356010213455</v>
      </c>
      <c r="O1359" s="18" t="n">
        <v>0.0473141246635504</v>
      </c>
    </row>
    <row r="1360" ht="15" customHeight="1" s="12">
      <c r="A1360" s="14" t="inlineStr">
        <is>
          <t>Rondu</t>
        </is>
      </c>
      <c r="B1360" s="14" t="inlineStr">
        <is>
          <t>Gilgit Baltistan</t>
        </is>
      </c>
      <c r="C1360" s="14" t="n">
        <v>2020</v>
      </c>
      <c r="D1360" s="15" t="n">
        <v>108.803141686709</v>
      </c>
      <c r="E1360" s="15" t="n">
        <v>2034.40541004795</v>
      </c>
      <c r="F1360" s="15" t="n">
        <v>458.214605152607</v>
      </c>
      <c r="G1360" s="15" t="n">
        <v>15.0506281256676</v>
      </c>
      <c r="H1360" s="15" t="n">
        <v>90.2849148023969</v>
      </c>
      <c r="I1360" s="16" t="n">
        <v>82.98006234265399</v>
      </c>
      <c r="J1360" s="15" t="n">
        <v>19.4542785234899</v>
      </c>
      <c r="K1360" s="15" t="n">
        <v>1881.79748974488</v>
      </c>
      <c r="L1360" s="15" t="n">
        <v>122.402122564028</v>
      </c>
      <c r="M1360" s="15" t="n">
        <v>-13.598980877319</v>
      </c>
      <c r="N1360" s="17" t="n">
        <v>1.20068428437811</v>
      </c>
      <c r="O1360" s="18" t="n">
        <v>0.06380518046821761</v>
      </c>
    </row>
    <row r="1361" ht="15" customHeight="1" s="12">
      <c r="A1361" s="14" t="inlineStr">
        <is>
          <t>Rondu</t>
        </is>
      </c>
      <c r="B1361" s="14" t="inlineStr">
        <is>
          <t>Gilgit Baltistan</t>
        </is>
      </c>
      <c r="C1361" s="14" t="n">
        <v>2021</v>
      </c>
      <c r="D1361" s="15" t="n">
        <v>111.679713399425</v>
      </c>
      <c r="E1361" s="15" t="n">
        <v>2088.19166073904</v>
      </c>
      <c r="F1361" s="15" t="n">
        <v>496.267171502113</v>
      </c>
      <c r="G1361" s="15" t="n">
        <v>12.7820331454277</v>
      </c>
      <c r="H1361" s="15" t="n">
        <v>94.3748285070462</v>
      </c>
      <c r="I1361" s="16" t="n">
        <v>84.50489854814811</v>
      </c>
      <c r="J1361" s="15" t="n">
        <v>15.598783557047</v>
      </c>
      <c r="K1361" s="15" t="n">
        <v>1881.79748974488</v>
      </c>
      <c r="L1361" s="15" t="n">
        <v>122.402122564028</v>
      </c>
      <c r="M1361" s="15" t="n">
        <v>-10.722409164603</v>
      </c>
      <c r="N1361" s="17" t="n">
        <v>0.491662569792145</v>
      </c>
      <c r="O1361" s="18" t="n">
        <v>0.026127283752451</v>
      </c>
    </row>
    <row r="1362" ht="15" customHeight="1" s="12">
      <c r="A1362" s="14" t="inlineStr">
        <is>
          <t>Rondu</t>
        </is>
      </c>
      <c r="B1362" s="14" t="inlineStr">
        <is>
          <t>Gilgit Baltistan</t>
        </is>
      </c>
      <c r="C1362" s="14" t="n">
        <v>2022</v>
      </c>
      <c r="D1362" s="15" t="n">
        <v>118.483158555565</v>
      </c>
      <c r="E1362" s="15" t="n">
        <v>2215.40274507032</v>
      </c>
      <c r="F1362" s="15" t="n">
        <v>507.263845443726</v>
      </c>
      <c r="G1362" s="15" t="n">
        <v>16.1662908256403</v>
      </c>
      <c r="H1362" s="15" t="n">
        <v>97.0882259209184</v>
      </c>
      <c r="I1362" s="16" t="n">
        <v>81.94263818126301</v>
      </c>
      <c r="J1362" s="15" t="n">
        <v>20.2263003355705</v>
      </c>
      <c r="K1362" s="15" t="n">
        <v>1881.79748974488</v>
      </c>
      <c r="L1362" s="15" t="n">
        <v>122.402122564028</v>
      </c>
      <c r="M1362" s="15" t="n">
        <v>-3.91896400846297</v>
      </c>
      <c r="N1362" s="17" t="n">
        <v>0.791561310436773</v>
      </c>
      <c r="O1362" s="18" t="n">
        <v>0.0420641070439565</v>
      </c>
    </row>
    <row r="1363" ht="15" customHeight="1" s="12">
      <c r="A1363" s="14" t="inlineStr">
        <is>
          <t>Rondu</t>
        </is>
      </c>
      <c r="B1363" s="14" t="inlineStr">
        <is>
          <t>Gilgit Baltistan</t>
        </is>
      </c>
      <c r="C1363" s="14" t="n">
        <v>2023</v>
      </c>
      <c r="D1363" s="15" t="n">
        <v>133.016908903858</v>
      </c>
      <c r="E1363" s="15" t="n">
        <v>2487.1553790337</v>
      </c>
      <c r="F1363" s="15" t="n">
        <v>516.52416574955</v>
      </c>
      <c r="G1363" s="15" t="n">
        <v>21.0083426833153</v>
      </c>
      <c r="H1363" s="15" t="n">
        <v>103.926123763329</v>
      </c>
      <c r="I1363" s="16" t="n">
        <v>78.13000965046071</v>
      </c>
      <c r="J1363" s="15" t="n">
        <v>18.6589765100671</v>
      </c>
      <c r="K1363" s="15" t="n">
        <v>1881.79748974488</v>
      </c>
      <c r="L1363" s="15" t="n">
        <v>122.402122564028</v>
      </c>
      <c r="M1363" s="15" t="n">
        <v>10.6147863398304</v>
      </c>
      <c r="N1363" s="17" t="n">
        <v>0.951533180040546</v>
      </c>
      <c r="O1363" s="18" t="n">
        <v>0.0505651211262667</v>
      </c>
    </row>
    <row r="1364" ht="15" customHeight="1" s="12">
      <c r="A1364" s="14" t="inlineStr">
        <is>
          <t>Rondu</t>
        </is>
      </c>
      <c r="B1364" s="14" t="inlineStr">
        <is>
          <t>Gilgit Baltistan</t>
        </is>
      </c>
      <c r="C1364" s="14" t="n">
        <v>2024</v>
      </c>
      <c r="D1364" s="15" t="n">
        <v>124.563894496513</v>
      </c>
      <c r="E1364" s="15" t="n">
        <v>2329.10058415441</v>
      </c>
      <c r="F1364" s="15" t="n">
        <v>479.581517193466</v>
      </c>
      <c r="G1364" s="15" t="n">
        <v>14.2911801100527</v>
      </c>
      <c r="H1364" s="15" t="n">
        <v>97.33078185611291</v>
      </c>
      <c r="I1364" s="16" t="n">
        <v>78.1372341074625</v>
      </c>
      <c r="J1364" s="15" t="n">
        <v>15.8015939597316</v>
      </c>
      <c r="K1364" s="15" t="n">
        <v>1881.79748974488</v>
      </c>
      <c r="L1364" s="15" t="n">
        <v>122.402122564028</v>
      </c>
      <c r="M1364" s="15" t="n">
        <v>2.16177193248538</v>
      </c>
      <c r="N1364" s="17" t="n">
        <v>0.797152235304649</v>
      </c>
      <c r="O1364" s="18" t="n">
        <v>0.042361212598531</v>
      </c>
    </row>
    <row r="1365" ht="15" customHeight="1" s="12">
      <c r="A1365" s="14" t="inlineStr">
        <is>
          <t>Rondu</t>
        </is>
      </c>
      <c r="B1365" s="14" t="inlineStr">
        <is>
          <t>Gilgit Baltistan</t>
        </is>
      </c>
      <c r="C1365" s="14" t="n">
        <v>2025</v>
      </c>
      <c r="D1365" s="15" t="n">
        <v>152.572594643601</v>
      </c>
      <c r="E1365" s="15" t="n">
        <v>2852.80835788505</v>
      </c>
      <c r="F1365" s="15" t="n">
        <v>521.481560592099</v>
      </c>
      <c r="G1365" s="15" t="n">
        <v>17.36168789363</v>
      </c>
      <c r="H1365" s="15" t="n">
        <v>121.747518337332</v>
      </c>
      <c r="I1365" s="16" t="n">
        <v>79.7964527127078</v>
      </c>
      <c r="J1365" s="15" t="n">
        <v>14.1860318791946</v>
      </c>
      <c r="K1365" s="15" t="n">
        <v>1881.79748974488</v>
      </c>
      <c r="L1365" s="15" t="n">
        <v>122.402122564028</v>
      </c>
      <c r="M1365" s="15" t="n">
        <v>30.1704720795732</v>
      </c>
      <c r="N1365" s="17" t="n">
        <v>0.659484522074382</v>
      </c>
      <c r="O1365" s="18" t="n">
        <v>0.0350454565737458</v>
      </c>
    </row>
    <row r="1366" ht="15" customHeight="1" s="12">
      <c r="A1366" s="14" t="inlineStr">
        <is>
          <t>Sahiwal</t>
        </is>
      </c>
      <c r="B1366" s="14" t="inlineStr">
        <is>
          <t>Punjab</t>
        </is>
      </c>
      <c r="C1366" s="14" t="n">
        <v>2015</v>
      </c>
      <c r="D1366" s="15" t="n">
        <v>243.621073595617</v>
      </c>
      <c r="E1366" s="15" t="n">
        <v>7362.13330638362</v>
      </c>
      <c r="F1366" s="15" t="n">
        <v>366.793886184692</v>
      </c>
      <c r="G1366" s="15" t="n">
        <v>152.081208825111</v>
      </c>
      <c r="H1366" s="15" t="n">
        <v>55.1376334377283</v>
      </c>
      <c r="I1366" s="16" t="n">
        <v>22.6325385665324</v>
      </c>
      <c r="J1366" s="15" t="n">
        <v>27.7196989358941</v>
      </c>
      <c r="K1366" s="15" t="n">
        <v>3232.00954381215</v>
      </c>
      <c r="L1366" s="15" t="n">
        <v>227.279151092035</v>
      </c>
      <c r="M1366" s="15" t="n">
        <v>16.3419225035815</v>
      </c>
      <c r="N1366" s="17" t="n">
        <v>2.50475877941248</v>
      </c>
      <c r="O1366" s="18" t="n">
        <v>0.07749849576428321</v>
      </c>
    </row>
    <row r="1367" ht="15" customHeight="1" s="12">
      <c r="A1367" s="14" t="inlineStr">
        <is>
          <t>Sahiwal</t>
        </is>
      </c>
      <c r="B1367" s="14" t="inlineStr">
        <is>
          <t>Punjab</t>
        </is>
      </c>
      <c r="C1367" s="14" t="n">
        <v>2016</v>
      </c>
      <c r="D1367" s="15" t="n">
        <v>179.0932290517</v>
      </c>
      <c r="E1367" s="15" t="n">
        <v>5412.12714930352</v>
      </c>
      <c r="F1367" s="15" t="n">
        <v>277.166259527206</v>
      </c>
      <c r="G1367" s="15" t="n">
        <v>109.230748057365</v>
      </c>
      <c r="H1367" s="15" t="n">
        <v>48.4062435994291</v>
      </c>
      <c r="I1367" s="16" t="n">
        <v>27.0285168544565</v>
      </c>
      <c r="J1367" s="15" t="n">
        <v>19.0643654295354</v>
      </c>
      <c r="K1367" s="15" t="n">
        <v>3232.00954381215</v>
      </c>
      <c r="L1367" s="15" t="n">
        <v>227.279151092035</v>
      </c>
      <c r="M1367" s="15" t="n">
        <v>-48.1859220403356</v>
      </c>
      <c r="N1367" s="17" t="n">
        <v>4.77933266001073</v>
      </c>
      <c r="O1367" s="18" t="n">
        <v>0.147874955046498</v>
      </c>
    </row>
    <row r="1368" ht="15" customHeight="1" s="12">
      <c r="A1368" s="14" t="inlineStr">
        <is>
          <t>Sahiwal</t>
        </is>
      </c>
      <c r="B1368" s="14" t="inlineStr">
        <is>
          <t>Punjab</t>
        </is>
      </c>
      <c r="C1368" s="14" t="n">
        <v>2017</v>
      </c>
      <c r="D1368" s="15" t="n">
        <v>180.287243508485</v>
      </c>
      <c r="E1368" s="15" t="n">
        <v>5448.20979794661</v>
      </c>
      <c r="F1368" s="15" t="n">
        <v>250.770195960999</v>
      </c>
      <c r="G1368" s="15" t="n">
        <v>123.496416389942</v>
      </c>
      <c r="H1368" s="15" t="n">
        <v>37.9639106973677</v>
      </c>
      <c r="I1368" s="16" t="n">
        <v>21.0574580644586</v>
      </c>
      <c r="J1368" s="15" t="n">
        <v>18.7138593303919</v>
      </c>
      <c r="K1368" s="15" t="n">
        <v>3232.00954381215</v>
      </c>
      <c r="L1368" s="15" t="n">
        <v>227.279151092035</v>
      </c>
      <c r="M1368" s="15" t="n">
        <v>-46.9919075835502</v>
      </c>
      <c r="N1368" s="17" t="n">
        <v>1.98817814621079</v>
      </c>
      <c r="O1368" s="18" t="n">
        <v>0.0615152312906151</v>
      </c>
    </row>
    <row r="1369" ht="15" customHeight="1" s="12">
      <c r="A1369" s="14" t="inlineStr">
        <is>
          <t>Sahiwal</t>
        </is>
      </c>
      <c r="B1369" s="14" t="inlineStr">
        <is>
          <t>Punjab</t>
        </is>
      </c>
      <c r="C1369" s="14" t="n">
        <v>2018</v>
      </c>
      <c r="D1369" s="15" t="n">
        <v>169.283162078887</v>
      </c>
      <c r="E1369" s="15" t="n">
        <v>5115.6707724702</v>
      </c>
      <c r="F1369" s="15" t="n">
        <v>270.834252767265</v>
      </c>
      <c r="G1369" s="15" t="n">
        <v>93.44421047787181</v>
      </c>
      <c r="H1369" s="15" t="n">
        <v>61.3283450132792</v>
      </c>
      <c r="I1369" s="16" t="n">
        <v>36.2282605429475</v>
      </c>
      <c r="J1369" s="15" t="n">
        <v>17.7128211783026</v>
      </c>
      <c r="K1369" s="15" t="n">
        <v>3232.00954381215</v>
      </c>
      <c r="L1369" s="15" t="n">
        <v>227.279151092035</v>
      </c>
      <c r="M1369" s="15" t="n">
        <v>-57.9959890131486</v>
      </c>
      <c r="N1369" s="17" t="n">
        <v>3.2067595188242</v>
      </c>
      <c r="O1369" s="18" t="n">
        <v>0.0992187515338161</v>
      </c>
    </row>
    <row r="1370" ht="15" customHeight="1" s="12">
      <c r="A1370" s="14" t="inlineStr">
        <is>
          <t>Sahiwal</t>
        </is>
      </c>
      <c r="B1370" s="14" t="inlineStr">
        <is>
          <t>Punjab</t>
        </is>
      </c>
      <c r="C1370" s="14" t="n">
        <v>2019</v>
      </c>
      <c r="D1370" s="15" t="n">
        <v>191.538411724818</v>
      </c>
      <c r="E1370" s="15" t="n">
        <v>5788.21568922135</v>
      </c>
      <c r="F1370" s="15" t="n">
        <v>311.374127984047</v>
      </c>
      <c r="G1370" s="15" t="n">
        <v>105.20622690022</v>
      </c>
      <c r="H1370" s="15" t="n">
        <v>63.3162314337435</v>
      </c>
      <c r="I1370" s="16" t="n">
        <v>33.0566756106914</v>
      </c>
      <c r="J1370" s="15" t="n">
        <v>18.0686478069037</v>
      </c>
      <c r="K1370" s="15" t="n">
        <v>3232.00954381215</v>
      </c>
      <c r="L1370" s="15" t="n">
        <v>227.279151092035</v>
      </c>
      <c r="M1370" s="15" t="n">
        <v>-35.7407393672177</v>
      </c>
      <c r="N1370" s="17" t="n">
        <v>2.16613990061729</v>
      </c>
      <c r="O1370" s="18" t="n">
        <v>0.06702145743240399</v>
      </c>
    </row>
    <row r="1371" ht="15" customHeight="1" s="12">
      <c r="A1371" s="14" t="inlineStr">
        <is>
          <t>Sahiwal</t>
        </is>
      </c>
      <c r="B1371" s="14" t="inlineStr">
        <is>
          <t>Punjab</t>
        </is>
      </c>
      <c r="C1371" s="14" t="n">
        <v>2020</v>
      </c>
      <c r="D1371" s="15" t="n">
        <v>233.933553702007</v>
      </c>
      <c r="E1371" s="15" t="n">
        <v>7069.38025422616</v>
      </c>
      <c r="F1371" s="15" t="n">
        <v>377.93991175259</v>
      </c>
      <c r="G1371" s="15" t="n">
        <v>137.12377849025</v>
      </c>
      <c r="H1371" s="15" t="n">
        <v>71.16739342801429</v>
      </c>
      <c r="I1371" s="16" t="n">
        <v>30.4220545970373</v>
      </c>
      <c r="J1371" s="15" t="n">
        <v>18.1553335063587</v>
      </c>
      <c r="K1371" s="15" t="n">
        <v>3232.00954381215</v>
      </c>
      <c r="L1371" s="15" t="n">
        <v>227.279151092035</v>
      </c>
      <c r="M1371" s="15" t="n">
        <v>6.65440260997221</v>
      </c>
      <c r="N1371" s="17" t="n">
        <v>3.58228072556871</v>
      </c>
      <c r="O1371" s="18" t="n">
        <v>0.110837566443056</v>
      </c>
    </row>
    <row r="1372" ht="15" customHeight="1" s="12">
      <c r="A1372" s="14" t="inlineStr">
        <is>
          <t>Sahiwal</t>
        </is>
      </c>
      <c r="B1372" s="14" t="inlineStr">
        <is>
          <t>Punjab</t>
        </is>
      </c>
      <c r="C1372" s="14" t="n">
        <v>2021</v>
      </c>
      <c r="D1372" s="15" t="n">
        <v>158.651670256606</v>
      </c>
      <c r="E1372" s="15" t="n">
        <v>4794.39125881335</v>
      </c>
      <c r="F1372" s="15" t="n">
        <v>253.934674501419</v>
      </c>
      <c r="G1372" s="15" t="n">
        <v>91.0752903223038</v>
      </c>
      <c r="H1372" s="15" t="n">
        <v>54.8249036994847</v>
      </c>
      <c r="I1372" s="16" t="n">
        <v>34.5567768752828</v>
      </c>
      <c r="J1372" s="15" t="n">
        <v>16.3332468206592</v>
      </c>
      <c r="K1372" s="15" t="n">
        <v>3232.00954381215</v>
      </c>
      <c r="L1372" s="15" t="n">
        <v>227.279151092035</v>
      </c>
      <c r="M1372" s="15" t="n">
        <v>-68.6274808354293</v>
      </c>
      <c r="N1372" s="17" t="n">
        <v>2.7242693601249</v>
      </c>
      <c r="O1372" s="18" t="n">
        <v>0.0842902634783568</v>
      </c>
    </row>
    <row r="1373" ht="15" customHeight="1" s="12">
      <c r="A1373" s="14" t="inlineStr">
        <is>
          <t>Sahiwal</t>
        </is>
      </c>
      <c r="B1373" s="14" t="inlineStr">
        <is>
          <t>Punjab</t>
        </is>
      </c>
      <c r="C1373" s="14" t="n">
        <v>2022</v>
      </c>
      <c r="D1373" s="15" t="n">
        <v>266.651373346721</v>
      </c>
      <c r="E1373" s="15" t="n">
        <v>8058.09993337189</v>
      </c>
      <c r="F1373" s="15" t="n">
        <v>388.097389578819</v>
      </c>
      <c r="G1373" s="15" t="n">
        <v>175.722292859575</v>
      </c>
      <c r="H1373" s="15" t="n">
        <v>61.1432370985049</v>
      </c>
      <c r="I1373" s="16" t="n">
        <v>22.9300289479483</v>
      </c>
      <c r="J1373" s="15" t="n">
        <v>24.8602387749805</v>
      </c>
      <c r="K1373" s="15" t="n">
        <v>3232.00954381215</v>
      </c>
      <c r="L1373" s="15" t="n">
        <v>227.279151092035</v>
      </c>
      <c r="M1373" s="15" t="n">
        <v>39.3722222546857</v>
      </c>
      <c r="N1373" s="17" t="n">
        <v>4.68596638561414</v>
      </c>
      <c r="O1373" s="18" t="n">
        <v>0.144986155581925</v>
      </c>
    </row>
    <row r="1374" ht="15" customHeight="1" s="12">
      <c r="A1374" s="14" t="inlineStr">
        <is>
          <t>Sahiwal</t>
        </is>
      </c>
      <c r="B1374" s="14" t="inlineStr">
        <is>
          <t>Punjab</t>
        </is>
      </c>
      <c r="C1374" s="14" t="n">
        <v>2023</v>
      </c>
      <c r="D1374" s="15" t="n">
        <v>202.172611749431</v>
      </c>
      <c r="E1374" s="15" t="n">
        <v>6109.57704369064</v>
      </c>
      <c r="F1374" s="15" t="n">
        <v>308.322303771973</v>
      </c>
      <c r="G1374" s="15" t="n">
        <v>118.697454571724</v>
      </c>
      <c r="H1374" s="15" t="n">
        <v>57.4049020313966</v>
      </c>
      <c r="I1374" s="16" t="n">
        <v>28.3940052684007</v>
      </c>
      <c r="J1374" s="15" t="n">
        <v>15.4541915390605</v>
      </c>
      <c r="K1374" s="15" t="n">
        <v>3232.00954381215</v>
      </c>
      <c r="L1374" s="15" t="n">
        <v>227.279151092035</v>
      </c>
      <c r="M1374" s="15" t="n">
        <v>-25.1065393426047</v>
      </c>
      <c r="N1374" s="17" t="n">
        <v>3.72458152509574</v>
      </c>
      <c r="O1374" s="18" t="n">
        <v>0.115240424714297</v>
      </c>
    </row>
    <row r="1375" ht="15" customHeight="1" s="12">
      <c r="A1375" s="14" t="inlineStr">
        <is>
          <t>Sahiwal</t>
        </is>
      </c>
      <c r="B1375" s="14" t="inlineStr">
        <is>
          <t>Punjab</t>
        </is>
      </c>
      <c r="C1375" s="14" t="n">
        <v>2024</v>
      </c>
      <c r="D1375" s="15" t="n">
        <v>292.817721205091</v>
      </c>
      <c r="E1375" s="15" t="n">
        <v>8848.836704338941</v>
      </c>
      <c r="F1375" s="15" t="n">
        <v>422.547784030438</v>
      </c>
      <c r="G1375" s="15" t="n">
        <v>203.633751295063</v>
      </c>
      <c r="H1375" s="15" t="n">
        <v>57.2865856148596</v>
      </c>
      <c r="I1375" s="16" t="n">
        <v>19.5639066444124</v>
      </c>
      <c r="J1375" s="15" t="n">
        <v>29.7348819101999</v>
      </c>
      <c r="K1375" s="15" t="n">
        <v>3232.00954381215</v>
      </c>
      <c r="L1375" s="15" t="n">
        <v>227.279151092035</v>
      </c>
      <c r="M1375" s="15" t="n">
        <v>65.5385701130554</v>
      </c>
      <c r="N1375" s="17" t="n">
        <v>3.37423515390553</v>
      </c>
      <c r="O1375" s="18" t="n">
        <v>0.104400531872367</v>
      </c>
    </row>
    <row r="1376" ht="15" customHeight="1" s="12">
      <c r="A1376" s="14" t="inlineStr">
        <is>
          <t>Sahiwal</t>
        </is>
      </c>
      <c r="B1376" s="14" t="inlineStr">
        <is>
          <t>Punjab</t>
        </is>
      </c>
      <c r="C1376" s="14" t="n">
        <v>2025</v>
      </c>
      <c r="D1376" s="15" t="n">
        <v>382.020611793026</v>
      </c>
      <c r="E1376" s="15" t="n">
        <v>11544.5130763806</v>
      </c>
      <c r="F1376" s="15" t="n">
        <v>591.033616571144</v>
      </c>
      <c r="G1376" s="15" t="n">
        <v>218.197146147828</v>
      </c>
      <c r="H1376" s="15" t="n">
        <v>117.412697088087</v>
      </c>
      <c r="I1376" s="16" t="n">
        <v>30.7346497711227</v>
      </c>
      <c r="J1376" s="15" t="n">
        <v>26.3737347521412</v>
      </c>
      <c r="K1376" s="15" t="n">
        <v>3232.00954381215</v>
      </c>
      <c r="L1376" s="15" t="n">
        <v>227.279151092035</v>
      </c>
      <c r="M1376" s="15" t="n">
        <v>154.741460700991</v>
      </c>
      <c r="N1376" s="17" t="n">
        <v>5.58969423038738</v>
      </c>
      <c r="O1376" s="18" t="n">
        <v>0.172947949398514</v>
      </c>
    </row>
    <row r="1377" ht="15" customHeight="1" s="12">
      <c r="A1377" s="14" t="inlineStr">
        <is>
          <t>Sanghar</t>
        </is>
      </c>
      <c r="B1377" s="14" t="inlineStr">
        <is>
          <t>Sindh</t>
        </is>
      </c>
      <c r="C1377" s="14" t="n">
        <v>2015</v>
      </c>
      <c r="D1377" s="15" t="n">
        <v>161.333209776406</v>
      </c>
      <c r="E1377" s="15" t="n">
        <v>14771.7952229785</v>
      </c>
      <c r="F1377" s="15" t="n">
        <v>274.019645214081</v>
      </c>
      <c r="G1377" s="15" t="n">
        <v>98.00460372120141</v>
      </c>
      <c r="H1377" s="15" t="n">
        <v>41.4468962098252</v>
      </c>
      <c r="I1377" s="16" t="n">
        <v>25.6902445982864</v>
      </c>
      <c r="J1377" s="15" t="n">
        <v>13.7876905944835</v>
      </c>
      <c r="K1377" s="15" t="n">
        <v>10177.7714747658</v>
      </c>
      <c r="L1377" s="15" t="n">
        <v>238.725843500508</v>
      </c>
      <c r="M1377" s="15" t="n">
        <v>-77.39263372410269</v>
      </c>
      <c r="N1377" s="17" t="n">
        <v>46.9334884252573</v>
      </c>
      <c r="O1377" s="18" t="n">
        <v>0.461137180586356</v>
      </c>
    </row>
    <row r="1378" ht="15" customHeight="1" s="12">
      <c r="A1378" s="14" t="inlineStr">
        <is>
          <t>Sanghar</t>
        </is>
      </c>
      <c r="B1378" s="14" t="inlineStr">
        <is>
          <t>Sindh</t>
        </is>
      </c>
      <c r="C1378" s="14" t="n">
        <v>2016</v>
      </c>
      <c r="D1378" s="15" t="n">
        <v>182.990131161315</v>
      </c>
      <c r="E1378" s="15" t="n">
        <v>16754.7199308015</v>
      </c>
      <c r="F1378" s="15" t="n">
        <v>278.981009423733</v>
      </c>
      <c r="G1378" s="15" t="n">
        <v>104.25086826086</v>
      </c>
      <c r="H1378" s="15" t="n">
        <v>42.1236224931959</v>
      </c>
      <c r="I1378" s="16" t="n">
        <v>23.0196143507115</v>
      </c>
      <c r="J1378" s="15" t="n">
        <v>21.4851807435326</v>
      </c>
      <c r="K1378" s="15" t="n">
        <v>10177.7714747658</v>
      </c>
      <c r="L1378" s="15" t="n">
        <v>238.725843500508</v>
      </c>
      <c r="M1378" s="15" t="n">
        <v>-55.7357123391934</v>
      </c>
      <c r="N1378" s="17" t="n">
        <v>55.4677025868551</v>
      </c>
      <c r="O1378" s="18" t="n">
        <v>0.544988681700888</v>
      </c>
    </row>
    <row r="1379" ht="15" customHeight="1" s="12">
      <c r="A1379" s="14" t="inlineStr">
        <is>
          <t>Sanghar</t>
        </is>
      </c>
      <c r="B1379" s="14" t="inlineStr">
        <is>
          <t>Sindh</t>
        </is>
      </c>
      <c r="C1379" s="14" t="n">
        <v>2017</v>
      </c>
      <c r="D1379" s="15" t="n">
        <v>289.056559277783</v>
      </c>
      <c r="E1379" s="15" t="n">
        <v>26466.2452785007</v>
      </c>
      <c r="F1379" s="15" t="n">
        <v>388.851707160473</v>
      </c>
      <c r="G1379" s="15" t="n">
        <v>184.173382163048</v>
      </c>
      <c r="H1379" s="15" t="n">
        <v>55.3033421837284</v>
      </c>
      <c r="I1379" s="16" t="n">
        <v>19.1323602280141</v>
      </c>
      <c r="J1379" s="15" t="n">
        <v>28.6344868939524</v>
      </c>
      <c r="K1379" s="15" t="n">
        <v>10177.7714747658</v>
      </c>
      <c r="L1379" s="15" t="n">
        <v>238.725843500508</v>
      </c>
      <c r="M1379" s="15" t="n">
        <v>50.3307157772745</v>
      </c>
      <c r="N1379" s="17" t="n">
        <v>44.2113410403478</v>
      </c>
      <c r="O1379" s="18" t="n">
        <v>0.434391174433057</v>
      </c>
    </row>
    <row r="1380" ht="15" customHeight="1" s="12">
      <c r="A1380" s="14" t="inlineStr">
        <is>
          <t>Sanghar</t>
        </is>
      </c>
      <c r="B1380" s="14" t="inlineStr">
        <is>
          <t>Sindh</t>
        </is>
      </c>
      <c r="C1380" s="14" t="n">
        <v>2018</v>
      </c>
      <c r="D1380" s="15" t="n">
        <v>74.2114123351646</v>
      </c>
      <c r="E1380" s="15" t="n">
        <v>6794.85511843695</v>
      </c>
      <c r="F1380" s="15" t="n">
        <v>127.504441261292</v>
      </c>
      <c r="G1380" s="15" t="n">
        <v>33.1451213769615</v>
      </c>
      <c r="H1380" s="15" t="n">
        <v>26.1814988171963</v>
      </c>
      <c r="I1380" s="16" t="n">
        <v>35.2796126543874</v>
      </c>
      <c r="J1380" s="15" t="n">
        <v>12.3647849922906</v>
      </c>
      <c r="K1380" s="15" t="n">
        <v>10177.7714747658</v>
      </c>
      <c r="L1380" s="15" t="n">
        <v>238.725843500508</v>
      </c>
      <c r="M1380" s="15" t="n">
        <v>-164.514431165344</v>
      </c>
      <c r="N1380" s="17" t="n">
        <v>28.5496638357442</v>
      </c>
      <c r="O1380" s="18" t="n">
        <v>0.280509971230232</v>
      </c>
    </row>
    <row r="1381" ht="15" customHeight="1" s="12">
      <c r="A1381" s="14" t="inlineStr">
        <is>
          <t>Sanghar</t>
        </is>
      </c>
      <c r="B1381" s="14" t="inlineStr">
        <is>
          <t>Sindh</t>
        </is>
      </c>
      <c r="C1381" s="14" t="n">
        <v>2019</v>
      </c>
      <c r="D1381" s="15" t="n">
        <v>258.755229736872</v>
      </c>
      <c r="E1381" s="15" t="n">
        <v>23691.8317799862</v>
      </c>
      <c r="F1381" s="15" t="n">
        <v>338.853317318411</v>
      </c>
      <c r="G1381" s="15" t="n">
        <v>220.580107048094</v>
      </c>
      <c r="H1381" s="15" t="n">
        <v>25.2039011545054</v>
      </c>
      <c r="I1381" s="16" t="n">
        <v>9.74044125799324</v>
      </c>
      <c r="J1381" s="15" t="n">
        <v>21.9410227856776</v>
      </c>
      <c r="K1381" s="15" t="n">
        <v>10177.7714747658</v>
      </c>
      <c r="L1381" s="15" t="n">
        <v>238.725843500508</v>
      </c>
      <c r="M1381" s="15" t="n">
        <v>20.0293862363634</v>
      </c>
      <c r="N1381" s="17" t="n">
        <v>66.9260658803438</v>
      </c>
      <c r="O1381" s="18" t="n">
        <v>0.657570923519718</v>
      </c>
    </row>
    <row r="1382" ht="15" customHeight="1" s="12">
      <c r="A1382" s="14" t="inlineStr">
        <is>
          <t>Sanghar</t>
        </is>
      </c>
      <c r="B1382" s="14" t="inlineStr">
        <is>
          <t>Sindh</t>
        </is>
      </c>
      <c r="C1382" s="14" t="n">
        <v>2020</v>
      </c>
      <c r="D1382" s="15" t="n">
        <v>308.778748711505</v>
      </c>
      <c r="E1382" s="15" t="n">
        <v>28272.0244114362</v>
      </c>
      <c r="F1382" s="15" t="n">
        <v>402.968578703702</v>
      </c>
      <c r="G1382" s="15" t="n">
        <v>230.024733354872</v>
      </c>
      <c r="H1382" s="15" t="n">
        <v>36.3032457017637</v>
      </c>
      <c r="I1382" s="16" t="n">
        <v>11.7570415235027</v>
      </c>
      <c r="J1382" s="15" t="n">
        <v>26.1994175089944</v>
      </c>
      <c r="K1382" s="15" t="n">
        <v>10177.7714747658</v>
      </c>
      <c r="L1382" s="15" t="n">
        <v>238.725843500508</v>
      </c>
      <c r="M1382" s="15" t="n">
        <v>70.052905210997</v>
      </c>
      <c r="N1382" s="17" t="n">
        <v>54.0724790145673</v>
      </c>
      <c r="O1382" s="18" t="n">
        <v>0.531280144662628</v>
      </c>
    </row>
    <row r="1383" ht="15" customHeight="1" s="12">
      <c r="A1383" s="14" t="inlineStr">
        <is>
          <t>Sanghar</t>
        </is>
      </c>
      <c r="B1383" s="14" t="inlineStr">
        <is>
          <t>Sindh</t>
        </is>
      </c>
      <c r="C1383" s="14" t="n">
        <v>2021</v>
      </c>
      <c r="D1383" s="15" t="n">
        <v>141.43595647112</v>
      </c>
      <c r="E1383" s="15" t="n">
        <v>12949.9871046577</v>
      </c>
      <c r="F1383" s="15" t="n">
        <v>235.113370060921</v>
      </c>
      <c r="G1383" s="15" t="n">
        <v>76.0711242556572</v>
      </c>
      <c r="H1383" s="15" t="n">
        <v>47.4476703072232</v>
      </c>
      <c r="I1383" s="16" t="n">
        <v>33.5471060478964</v>
      </c>
      <c r="J1383" s="15" t="n">
        <v>20.9788847010451</v>
      </c>
      <c r="K1383" s="15" t="n">
        <v>10177.7714747658</v>
      </c>
      <c r="L1383" s="15" t="n">
        <v>238.725843500508</v>
      </c>
      <c r="M1383" s="15" t="n">
        <v>-97.2898870293884</v>
      </c>
      <c r="N1383" s="17" t="n">
        <v>26.0425125033408</v>
      </c>
      <c r="O1383" s="18" t="n">
        <v>0.255876373014557</v>
      </c>
    </row>
    <row r="1384" ht="15" customHeight="1" s="12">
      <c r="A1384" s="14" t="inlineStr">
        <is>
          <t>Sanghar</t>
        </is>
      </c>
      <c r="B1384" s="14" t="inlineStr">
        <is>
          <t>Sindh</t>
        </is>
      </c>
      <c r="C1384" s="14" t="n">
        <v>2022</v>
      </c>
      <c r="D1384" s="15" t="n">
        <v>467.210841860661</v>
      </c>
      <c r="E1384" s="15" t="n">
        <v>42778.1911206381</v>
      </c>
      <c r="F1384" s="15" t="n">
        <v>562.205095451325</v>
      </c>
      <c r="G1384" s="15" t="n">
        <v>350.20674967762</v>
      </c>
      <c r="H1384" s="15" t="n">
        <v>45.0501898223216</v>
      </c>
      <c r="I1384" s="16" t="n">
        <v>9.64236823848305</v>
      </c>
      <c r="J1384" s="15" t="n">
        <v>34.4279595682714</v>
      </c>
      <c r="K1384" s="15" t="n">
        <v>10177.7714747658</v>
      </c>
      <c r="L1384" s="15" t="n">
        <v>238.725843500508</v>
      </c>
      <c r="M1384" s="15" t="n">
        <v>228.484998360153</v>
      </c>
      <c r="N1384" s="17" t="n">
        <v>113.829311547214</v>
      </c>
      <c r="O1384" s="18" t="n">
        <v>1.11841095891607</v>
      </c>
    </row>
    <row r="1385" ht="15" customHeight="1" s="12">
      <c r="A1385" s="14" t="inlineStr">
        <is>
          <t>Sanghar</t>
        </is>
      </c>
      <c r="B1385" s="14" t="inlineStr">
        <is>
          <t>Sindh</t>
        </is>
      </c>
      <c r="C1385" s="14" t="n">
        <v>2023</v>
      </c>
      <c r="D1385" s="15" t="n">
        <v>191.802635893148</v>
      </c>
      <c r="E1385" s="15" t="n">
        <v>17561.5997758165</v>
      </c>
      <c r="F1385" s="15" t="n">
        <v>273.941667348146</v>
      </c>
      <c r="G1385" s="15" t="n">
        <v>111.528809905052</v>
      </c>
      <c r="H1385" s="15" t="n">
        <v>39.9778244652861</v>
      </c>
      <c r="I1385" s="16" t="n">
        <v>20.8432091035274</v>
      </c>
      <c r="J1385" s="15" t="n">
        <v>17.4474044886072</v>
      </c>
      <c r="K1385" s="15" t="n">
        <v>10177.7714747658</v>
      </c>
      <c r="L1385" s="15" t="n">
        <v>238.725843500508</v>
      </c>
      <c r="M1385" s="15" t="n">
        <v>-46.9232076073603</v>
      </c>
      <c r="N1385" s="17" t="n">
        <v>19.5113406015733</v>
      </c>
      <c r="O1385" s="18" t="n">
        <v>0.191705430309068</v>
      </c>
    </row>
    <row r="1386" ht="15" customHeight="1" s="12">
      <c r="A1386" s="14" t="inlineStr">
        <is>
          <t>Sanghar</t>
        </is>
      </c>
      <c r="B1386" s="14" t="inlineStr">
        <is>
          <t>Sindh</t>
        </is>
      </c>
      <c r="C1386" s="14" t="n">
        <v>2024</v>
      </c>
      <c r="D1386" s="15" t="n">
        <v>327.587417569872</v>
      </c>
      <c r="E1386" s="15" t="n">
        <v>29994.1608840054</v>
      </c>
      <c r="F1386" s="15" t="n">
        <v>432.853723944934</v>
      </c>
      <c r="G1386" s="15" t="n">
        <v>217.913055368669</v>
      </c>
      <c r="H1386" s="15" t="n">
        <v>48.7996345871795</v>
      </c>
      <c r="I1386" s="16" t="n">
        <v>14.8966755039579</v>
      </c>
      <c r="J1386" s="15" t="n">
        <v>29.6060904574268</v>
      </c>
      <c r="K1386" s="15" t="n">
        <v>10177.7714747658</v>
      </c>
      <c r="L1386" s="15" t="n">
        <v>238.725843500508</v>
      </c>
      <c r="M1386" s="15" t="n">
        <v>88.8615740693638</v>
      </c>
      <c r="N1386" s="17" t="n">
        <v>54.0094690394594</v>
      </c>
      <c r="O1386" s="18" t="n">
        <v>0.530661050637339</v>
      </c>
    </row>
    <row r="1387" ht="15" customHeight="1" s="12">
      <c r="A1387" s="14" t="inlineStr">
        <is>
          <t>Sanghar</t>
        </is>
      </c>
      <c r="B1387" s="14" t="inlineStr">
        <is>
          <t>Sindh</t>
        </is>
      </c>
      <c r="C1387" s="14" t="n">
        <v>2025</v>
      </c>
      <c r="D1387" s="15" t="n">
        <v>222.822135711745</v>
      </c>
      <c r="E1387" s="15" t="n">
        <v>20401.7695082268</v>
      </c>
      <c r="F1387" s="15" t="n">
        <v>288.184481696752</v>
      </c>
      <c r="G1387" s="15" t="n">
        <v>157.467244865771</v>
      </c>
      <c r="H1387" s="15" t="n">
        <v>37.8183522344282</v>
      </c>
      <c r="I1387" s="16" t="n">
        <v>16.9724395260945</v>
      </c>
      <c r="J1387" s="15" t="n">
        <v>21.3251670378619</v>
      </c>
      <c r="K1387" s="15" t="n">
        <v>10177.7714747658</v>
      </c>
      <c r="L1387" s="15" t="n">
        <v>238.725843500508</v>
      </c>
      <c r="M1387" s="15" t="n">
        <v>-15.903707788763</v>
      </c>
      <c r="N1387" s="17" t="n">
        <v>38.3684366252709</v>
      </c>
      <c r="O1387" s="18" t="n">
        <v>0.376982689387353</v>
      </c>
    </row>
    <row r="1388" ht="15" customHeight="1" s="12">
      <c r="A1388" s="14" t="inlineStr">
        <is>
          <t>Sargodha</t>
        </is>
      </c>
      <c r="B1388" s="14" t="inlineStr">
        <is>
          <t>Punjab</t>
        </is>
      </c>
      <c r="C1388" s="14" t="n">
        <v>2015</v>
      </c>
      <c r="D1388" s="15" t="n">
        <v>303.324916532839</v>
      </c>
      <c r="E1388" s="15" t="n">
        <v>16926.719852009</v>
      </c>
      <c r="F1388" s="15" t="n">
        <v>532.444588184357</v>
      </c>
      <c r="G1388" s="15" t="n">
        <v>219.110906124115</v>
      </c>
      <c r="H1388" s="15" t="n">
        <v>61.4381401865854</v>
      </c>
      <c r="I1388" s="16" t="n">
        <v>20.2548939562418</v>
      </c>
      <c r="J1388" s="15" t="n">
        <v>25.8688685874912</v>
      </c>
      <c r="K1388" s="15" t="n">
        <v>5849.92530408593</v>
      </c>
      <c r="L1388" s="15" t="n">
        <v>352.955921136581</v>
      </c>
      <c r="M1388" s="15" t="n">
        <v>-49.6310046037417</v>
      </c>
      <c r="N1388" s="17" t="n">
        <v>11.0646265332821</v>
      </c>
      <c r="O1388" s="18" t="n">
        <v>0.189141330156027</v>
      </c>
    </row>
    <row r="1389" ht="15" customHeight="1" s="12">
      <c r="A1389" s="14" t="inlineStr">
        <is>
          <t>Sargodha</t>
        </is>
      </c>
      <c r="B1389" s="14" t="inlineStr">
        <is>
          <t>Punjab</t>
        </is>
      </c>
      <c r="C1389" s="14" t="n">
        <v>2016</v>
      </c>
      <c r="D1389" s="15" t="n">
        <v>398.482787581642</v>
      </c>
      <c r="E1389" s="15" t="n">
        <v>22236.902224654</v>
      </c>
      <c r="F1389" s="15" t="n">
        <v>543.607302069664</v>
      </c>
      <c r="G1389" s="15" t="n">
        <v>253.848943948746</v>
      </c>
      <c r="H1389" s="15" t="n">
        <v>56.0987659849281</v>
      </c>
      <c r="I1389" s="16" t="n">
        <v>14.0780901291589</v>
      </c>
      <c r="J1389" s="15" t="n">
        <v>30.5712579058328</v>
      </c>
      <c r="K1389" s="15" t="n">
        <v>5849.92530408593</v>
      </c>
      <c r="L1389" s="15" t="n">
        <v>352.955921136581</v>
      </c>
      <c r="M1389" s="15" t="n">
        <v>45.5268664450609</v>
      </c>
      <c r="N1389" s="17" t="n">
        <v>29.4935274940881</v>
      </c>
      <c r="O1389" s="18" t="n">
        <v>0.504169300648814</v>
      </c>
    </row>
    <row r="1390" ht="15" customHeight="1" s="12">
      <c r="A1390" s="14" t="inlineStr">
        <is>
          <t>Sargodha</t>
        </is>
      </c>
      <c r="B1390" s="14" t="inlineStr">
        <is>
          <t>Punjab</t>
        </is>
      </c>
      <c r="C1390" s="14" t="n">
        <v>2017</v>
      </c>
      <c r="D1390" s="15" t="n">
        <v>321.693965880945</v>
      </c>
      <c r="E1390" s="15" t="n">
        <v>17951.7848411209</v>
      </c>
      <c r="F1390" s="15" t="n">
        <v>511.057102918625</v>
      </c>
      <c r="G1390" s="15" t="n">
        <v>227.250410079956</v>
      </c>
      <c r="H1390" s="15" t="n">
        <v>57.4484198957002</v>
      </c>
      <c r="I1390" s="16" t="n">
        <v>17.8580968214248</v>
      </c>
      <c r="J1390" s="15" t="n">
        <v>26.4606465214336</v>
      </c>
      <c r="K1390" s="15" t="n">
        <v>5849.92530408593</v>
      </c>
      <c r="L1390" s="15" t="n">
        <v>352.955921136581</v>
      </c>
      <c r="M1390" s="15" t="n">
        <v>-31.2619552556362</v>
      </c>
      <c r="N1390" s="17" t="n">
        <v>10.0117072208532</v>
      </c>
      <c r="O1390" s="18" t="n">
        <v>0.171142479611842</v>
      </c>
    </row>
    <row r="1391" ht="15" customHeight="1" s="12">
      <c r="A1391" s="14" t="inlineStr">
        <is>
          <t>Sargodha</t>
        </is>
      </c>
      <c r="B1391" s="14" t="inlineStr">
        <is>
          <t>Punjab</t>
        </is>
      </c>
      <c r="C1391" s="14" t="n">
        <v>2018</v>
      </c>
      <c r="D1391" s="15" t="n">
        <v>278.081333291783</v>
      </c>
      <c r="E1391" s="15" t="n">
        <v>15518.028912714</v>
      </c>
      <c r="F1391" s="15" t="n">
        <v>493.272686183453</v>
      </c>
      <c r="G1391" s="15" t="n">
        <v>176.5597076267</v>
      </c>
      <c r="H1391" s="15" t="n">
        <v>61.5868945728535</v>
      </c>
      <c r="I1391" s="16" t="n">
        <v>22.1470797208211</v>
      </c>
      <c r="J1391" s="15" t="n">
        <v>21.7563598032326</v>
      </c>
      <c r="K1391" s="15" t="n">
        <v>5849.92530408593</v>
      </c>
      <c r="L1391" s="15" t="n">
        <v>352.955921136581</v>
      </c>
      <c r="M1391" s="15" t="n">
        <v>-74.8745878447973</v>
      </c>
      <c r="N1391" s="17" t="n">
        <v>14.4082184597328</v>
      </c>
      <c r="O1391" s="18" t="n">
        <v>0.246297477502307</v>
      </c>
    </row>
    <row r="1392" ht="15" customHeight="1" s="12">
      <c r="A1392" s="14" t="inlineStr">
        <is>
          <t>Sargodha</t>
        </is>
      </c>
      <c r="B1392" s="14" t="inlineStr">
        <is>
          <t>Punjab</t>
        </is>
      </c>
      <c r="C1392" s="14" t="n">
        <v>2019</v>
      </c>
      <c r="D1392" s="15" t="n">
        <v>320.870974688544</v>
      </c>
      <c r="E1392" s="15" t="n">
        <v>17905.8587051685</v>
      </c>
      <c r="F1392" s="15" t="n">
        <v>487.855304340483</v>
      </c>
      <c r="G1392" s="15" t="n">
        <v>226.126257658005</v>
      </c>
      <c r="H1392" s="15" t="n">
        <v>52.2723784820664</v>
      </c>
      <c r="I1392" s="16" t="n">
        <v>16.2907781025707</v>
      </c>
      <c r="J1392" s="15" t="n">
        <v>22.6536893886156</v>
      </c>
      <c r="K1392" s="15" t="n">
        <v>5849.92530408593</v>
      </c>
      <c r="L1392" s="15" t="n">
        <v>352.955921136581</v>
      </c>
      <c r="M1392" s="15" t="n">
        <v>-32.0849464480369</v>
      </c>
      <c r="N1392" s="17" t="n">
        <v>22.1513672845868</v>
      </c>
      <c r="O1392" s="18" t="n">
        <v>0.378660685959785</v>
      </c>
    </row>
    <row r="1393" ht="15" customHeight="1" s="12">
      <c r="A1393" s="14" t="inlineStr">
        <is>
          <t>Sargodha</t>
        </is>
      </c>
      <c r="B1393" s="14" t="inlineStr">
        <is>
          <t>Punjab</t>
        </is>
      </c>
      <c r="C1393" s="14" t="n">
        <v>2020</v>
      </c>
      <c r="D1393" s="15" t="n">
        <v>406.783374690837</v>
      </c>
      <c r="E1393" s="15" t="n">
        <v>22700.1075366691</v>
      </c>
      <c r="F1393" s="15" t="n">
        <v>634.523959626386</v>
      </c>
      <c r="G1393" s="15" t="n">
        <v>302.597454726696</v>
      </c>
      <c r="H1393" s="15" t="n">
        <v>70.9292954418148</v>
      </c>
      <c r="I1393" s="16" t="n">
        <v>17.4366259426709</v>
      </c>
      <c r="J1393" s="15" t="n">
        <v>28.8457484188335</v>
      </c>
      <c r="K1393" s="15" t="n">
        <v>5849.92530408593</v>
      </c>
      <c r="L1393" s="15" t="n">
        <v>352.955921136581</v>
      </c>
      <c r="M1393" s="15" t="n">
        <v>53.8274535542563</v>
      </c>
      <c r="N1393" s="17" t="n">
        <v>18.9339232880749</v>
      </c>
      <c r="O1393" s="18" t="n">
        <v>0.323660941018347</v>
      </c>
    </row>
    <row r="1394" ht="15" customHeight="1" s="12">
      <c r="A1394" s="14" t="inlineStr">
        <is>
          <t>Sargodha</t>
        </is>
      </c>
      <c r="B1394" s="14" t="inlineStr">
        <is>
          <t>Punjab</t>
        </is>
      </c>
      <c r="C1394" s="14" t="n">
        <v>2021</v>
      </c>
      <c r="D1394" s="15" t="n">
        <v>399.139794996576</v>
      </c>
      <c r="E1394" s="15" t="n">
        <v>22273.5658149069</v>
      </c>
      <c r="F1394" s="15" t="n">
        <v>677.538922786713</v>
      </c>
      <c r="G1394" s="15" t="n">
        <v>223.857049942017</v>
      </c>
      <c r="H1394" s="15" t="n">
        <v>88.81187125729581</v>
      </c>
      <c r="I1394" s="16" t="n">
        <v>22.2508184777862</v>
      </c>
      <c r="J1394" s="15" t="n">
        <v>19.9806043569923</v>
      </c>
      <c r="K1394" s="15" t="n">
        <v>5849.92530408593</v>
      </c>
      <c r="L1394" s="15" t="n">
        <v>352.955921136581</v>
      </c>
      <c r="M1394" s="15" t="n">
        <v>46.1838738599949</v>
      </c>
      <c r="N1394" s="17" t="n">
        <v>15.9276700492178</v>
      </c>
      <c r="O1394" s="18" t="n">
        <v>0.272271340594605</v>
      </c>
    </row>
    <row r="1395" ht="15" customHeight="1" s="12">
      <c r="A1395" s="14" t="inlineStr">
        <is>
          <t>Sargodha</t>
        </is>
      </c>
      <c r="B1395" s="14" t="inlineStr">
        <is>
          <t>Punjab</t>
        </is>
      </c>
      <c r="C1395" s="14" t="n">
        <v>2022</v>
      </c>
      <c r="D1395" s="15" t="n">
        <v>315.689437712079</v>
      </c>
      <c r="E1395" s="15" t="n">
        <v>17616.708622129</v>
      </c>
      <c r="F1395" s="15" t="n">
        <v>479.822828303091</v>
      </c>
      <c r="G1395" s="15" t="n">
        <v>256.191744830925</v>
      </c>
      <c r="H1395" s="15" t="n">
        <v>40.6430903827787</v>
      </c>
      <c r="I1395" s="16" t="n">
        <v>12.8743903113562</v>
      </c>
      <c r="J1395" s="15" t="n">
        <v>27.2028812368236</v>
      </c>
      <c r="K1395" s="15" t="n">
        <v>5849.92530408593</v>
      </c>
      <c r="L1395" s="15" t="n">
        <v>352.955921136581</v>
      </c>
      <c r="M1395" s="15" t="n">
        <v>-37.2664834245014</v>
      </c>
      <c r="N1395" s="17" t="n">
        <v>15.4331448700356</v>
      </c>
      <c r="O1395" s="18" t="n">
        <v>0.263817810789074</v>
      </c>
    </row>
    <row r="1396" ht="15" customHeight="1" s="12">
      <c r="A1396" s="14" t="inlineStr">
        <is>
          <t>Sargodha</t>
        </is>
      </c>
      <c r="B1396" s="14" t="inlineStr">
        <is>
          <t>Punjab</t>
        </is>
      </c>
      <c r="C1396" s="14" t="n">
        <v>2023</v>
      </c>
      <c r="D1396" s="15" t="n">
        <v>334.086626586329</v>
      </c>
      <c r="E1396" s="15" t="n">
        <v>18643.3439071508</v>
      </c>
      <c r="F1396" s="15" t="n">
        <v>534.896000623703</v>
      </c>
      <c r="G1396" s="15" t="n">
        <v>185.767878770828</v>
      </c>
      <c r="H1396" s="15" t="n">
        <v>73.5476409553654</v>
      </c>
      <c r="I1396" s="16" t="n">
        <v>22.0145420685855</v>
      </c>
      <c r="J1396" s="15" t="n">
        <v>16.5300070274069</v>
      </c>
      <c r="K1396" s="15" t="n">
        <v>5849.92530408593</v>
      </c>
      <c r="L1396" s="15" t="n">
        <v>352.955921136581</v>
      </c>
      <c r="M1396" s="15" t="n">
        <v>-18.8692945502522</v>
      </c>
      <c r="N1396" s="17" t="n">
        <v>15.1852585076586</v>
      </c>
      <c r="O1396" s="18" t="n">
        <v>0.259580382967494</v>
      </c>
    </row>
    <row r="1397" ht="15" customHeight="1" s="12">
      <c r="A1397" s="14" t="inlineStr">
        <is>
          <t>Sargodha</t>
        </is>
      </c>
      <c r="B1397" s="14" t="inlineStr">
        <is>
          <t>Punjab</t>
        </is>
      </c>
      <c r="C1397" s="14" t="n">
        <v>2024</v>
      </c>
      <c r="D1397" s="15" t="n">
        <v>358.83943074405</v>
      </c>
      <c r="E1397" s="15" t="n">
        <v>20024.6474489719</v>
      </c>
      <c r="F1397" s="15" t="n">
        <v>662.786212079227</v>
      </c>
      <c r="G1397" s="15" t="n">
        <v>252.480720423162</v>
      </c>
      <c r="H1397" s="15" t="n">
        <v>72.25162207370251</v>
      </c>
      <c r="I1397" s="16" t="n">
        <v>20.1348056772606</v>
      </c>
      <c r="J1397" s="15" t="n">
        <v>30.5976809557273</v>
      </c>
      <c r="K1397" s="15" t="n">
        <v>5849.92530408593</v>
      </c>
      <c r="L1397" s="15" t="n">
        <v>352.955921136581</v>
      </c>
      <c r="M1397" s="15" t="n">
        <v>5.88350960746953</v>
      </c>
      <c r="N1397" s="17" t="n">
        <v>11.5041894871362</v>
      </c>
      <c r="O1397" s="18" t="n">
        <v>0.196655322745762</v>
      </c>
    </row>
    <row r="1398" ht="15" customHeight="1" s="12">
      <c r="A1398" s="14" t="inlineStr">
        <is>
          <t>Sargodha</t>
        </is>
      </c>
      <c r="B1398" s="14" t="inlineStr">
        <is>
          <t>Punjab</t>
        </is>
      </c>
      <c r="C1398" s="14" t="n">
        <v>2025</v>
      </c>
      <c r="D1398" s="15" t="n">
        <v>445.522489796764</v>
      </c>
      <c r="E1398" s="15" t="n">
        <v>24861.9020776783</v>
      </c>
      <c r="F1398" s="15" t="n">
        <v>715.6758098583809</v>
      </c>
      <c r="G1398" s="15" t="n">
        <v>301.555279162103</v>
      </c>
      <c r="H1398" s="15" t="n">
        <v>78.60289822236049</v>
      </c>
      <c r="I1398" s="16" t="n">
        <v>17.6428575487215</v>
      </c>
      <c r="J1398" s="15" t="n">
        <v>28.0058327477161</v>
      </c>
      <c r="K1398" s="15" t="n">
        <v>5849.92530408593</v>
      </c>
      <c r="L1398" s="15" t="n">
        <v>352.955921136581</v>
      </c>
      <c r="M1398" s="15" t="n">
        <v>92.5665686601838</v>
      </c>
      <c r="N1398" s="17" t="n">
        <v>13.619229215529</v>
      </c>
      <c r="O1398" s="18" t="n">
        <v>0.232810309663553</v>
      </c>
    </row>
    <row r="1399" ht="15" customHeight="1" s="12">
      <c r="A1399" s="14" t="inlineStr">
        <is>
          <t>Shaheed Benazir Abad</t>
        </is>
      </c>
      <c r="B1399" s="14" t="inlineStr">
        <is>
          <t>Sindh</t>
        </is>
      </c>
      <c r="C1399" s="14" t="n">
        <v>2015</v>
      </c>
      <c r="D1399" s="15" t="n">
        <v>110.177589757564</v>
      </c>
      <c r="E1399" s="15" t="n">
        <v>4564.80876779869</v>
      </c>
      <c r="F1399" s="15" t="n">
        <v>139.832998812199</v>
      </c>
      <c r="G1399" s="15" t="n">
        <v>79.72141671180729</v>
      </c>
      <c r="H1399" s="15" t="n">
        <v>12.9315334483965</v>
      </c>
      <c r="I1399" s="16" t="n">
        <v>11.7369906864464</v>
      </c>
      <c r="J1399" s="15" t="n">
        <v>11.2132513014671</v>
      </c>
      <c r="K1399" s="15" t="n">
        <v>4590.66448386736</v>
      </c>
      <c r="L1399" s="15" t="n">
        <v>180.165675851931</v>
      </c>
      <c r="M1399" s="15" t="n">
        <v>-69.98808609436691</v>
      </c>
      <c r="N1399" s="17" t="n">
        <v>45.658070853655</v>
      </c>
      <c r="O1399" s="18" t="n">
        <v>0.994585228654977</v>
      </c>
    </row>
    <row r="1400" ht="15" customHeight="1" s="12">
      <c r="A1400" s="14" t="inlineStr">
        <is>
          <t>Shaheed Benazir Abad</t>
        </is>
      </c>
      <c r="B1400" s="14" t="inlineStr">
        <is>
          <t>Sindh</t>
        </is>
      </c>
      <c r="C1400" s="14" t="n">
        <v>2016</v>
      </c>
      <c r="D1400" s="15" t="n">
        <v>142.104361738963</v>
      </c>
      <c r="E1400" s="15" t="n">
        <v>5887.57875204764</v>
      </c>
      <c r="F1400" s="15" t="n">
        <v>179.62868142128</v>
      </c>
      <c r="G1400" s="15" t="n">
        <v>112.747838497162</v>
      </c>
      <c r="H1400" s="15" t="n">
        <v>18.4476471169732</v>
      </c>
      <c r="I1400" s="16" t="n">
        <v>12.9817599482698</v>
      </c>
      <c r="J1400" s="15" t="n">
        <v>15.0943681968765</v>
      </c>
      <c r="K1400" s="15" t="n">
        <v>4590.66448386736</v>
      </c>
      <c r="L1400" s="15" t="n">
        <v>180.165675851931</v>
      </c>
      <c r="M1400" s="15" t="n">
        <v>-38.0613141129676</v>
      </c>
      <c r="N1400" s="17" t="n">
        <v>22.144693160107</v>
      </c>
      <c r="O1400" s="18" t="n">
        <v>0.482385354841951</v>
      </c>
    </row>
    <row r="1401" ht="15" customHeight="1" s="12">
      <c r="A1401" s="14" t="inlineStr">
        <is>
          <t>Shaheed Benazir Abad</t>
        </is>
      </c>
      <c r="B1401" s="14" t="inlineStr">
        <is>
          <t>Sindh</t>
        </is>
      </c>
      <c r="C1401" s="14" t="n">
        <v>2017</v>
      </c>
      <c r="D1401" s="15" t="n">
        <v>199.459246903098</v>
      </c>
      <c r="E1401" s="15" t="n">
        <v>8263.87036678914</v>
      </c>
      <c r="F1401" s="15" t="n">
        <v>244.060011982918</v>
      </c>
      <c r="G1401" s="15" t="n">
        <v>173.3177767694</v>
      </c>
      <c r="H1401" s="15" t="n">
        <v>16.6960925737704</v>
      </c>
      <c r="I1401" s="16" t="n">
        <v>8.37067863887092</v>
      </c>
      <c r="J1401" s="15" t="n">
        <v>25.3184098438239</v>
      </c>
      <c r="K1401" s="15" t="n">
        <v>4590.66448386736</v>
      </c>
      <c r="L1401" s="15" t="n">
        <v>180.165675851931</v>
      </c>
      <c r="M1401" s="15" t="n">
        <v>19.2935710511669</v>
      </c>
      <c r="N1401" s="17" t="n">
        <v>35.8244336621668</v>
      </c>
      <c r="O1401" s="18" t="n">
        <v>0.7803757775821339</v>
      </c>
    </row>
    <row r="1402" ht="15" customHeight="1" s="12">
      <c r="A1402" s="14" t="inlineStr">
        <is>
          <t>Shaheed Benazir Abad</t>
        </is>
      </c>
      <c r="B1402" s="14" t="inlineStr">
        <is>
          <t>Sindh</t>
        </is>
      </c>
      <c r="C1402" s="14" t="n">
        <v>2018</v>
      </c>
      <c r="D1402" s="15" t="n">
        <v>38.0982246235044</v>
      </c>
      <c r="E1402" s="15" t="n">
        <v>1578.46173783264</v>
      </c>
      <c r="F1402" s="15" t="n">
        <v>51.5008504539728</v>
      </c>
      <c r="G1402" s="15" t="n">
        <v>27.6366934226826</v>
      </c>
      <c r="H1402" s="15" t="n">
        <v>6.00410418260644</v>
      </c>
      <c r="I1402" s="16" t="n">
        <v>15.7595379888181</v>
      </c>
      <c r="J1402" s="15" t="n">
        <v>9.17027922385234</v>
      </c>
      <c r="K1402" s="15" t="n">
        <v>4590.66448386736</v>
      </c>
      <c r="L1402" s="15" t="n">
        <v>180.165675851931</v>
      </c>
      <c r="M1402" s="15" t="n">
        <v>-142.067451228427</v>
      </c>
      <c r="N1402" s="17" t="n">
        <v>23.7571591083709</v>
      </c>
      <c r="O1402" s="18" t="n">
        <v>0.517510246977512</v>
      </c>
    </row>
    <row r="1403" ht="15" customHeight="1" s="12">
      <c r="A1403" s="14" t="inlineStr">
        <is>
          <t>Shaheed Benazir Abad</t>
        </is>
      </c>
      <c r="B1403" s="14" t="inlineStr">
        <is>
          <t>Sindh</t>
        </is>
      </c>
      <c r="C1403" s="14" t="n">
        <v>2019</v>
      </c>
      <c r="D1403" s="15" t="n">
        <v>234.730936106706</v>
      </c>
      <c r="E1403" s="15" t="n">
        <v>9725.22486261704</v>
      </c>
      <c r="F1403" s="15" t="n">
        <v>271.26560112834</v>
      </c>
      <c r="G1403" s="15" t="n">
        <v>213.470323487185</v>
      </c>
      <c r="H1403" s="15" t="n">
        <v>13.6179161975984</v>
      </c>
      <c r="I1403" s="16" t="n">
        <v>5.80150040018923</v>
      </c>
      <c r="J1403" s="15" t="n">
        <v>18.9663984855655</v>
      </c>
      <c r="K1403" s="15" t="n">
        <v>4590.66448386736</v>
      </c>
      <c r="L1403" s="15" t="n">
        <v>180.165675851931</v>
      </c>
      <c r="M1403" s="15" t="n">
        <v>54.5652602547747</v>
      </c>
      <c r="N1403" s="17" t="n">
        <v>44.8758746823383</v>
      </c>
      <c r="O1403" s="18" t="n">
        <v>0.977546384407798</v>
      </c>
    </row>
    <row r="1404" ht="15" customHeight="1" s="12">
      <c r="A1404" s="14" t="inlineStr">
        <is>
          <t>Shaheed Benazir Abad</t>
        </is>
      </c>
      <c r="B1404" s="14" t="inlineStr">
        <is>
          <t>Sindh</t>
        </is>
      </c>
      <c r="C1404" s="14" t="n">
        <v>2020</v>
      </c>
      <c r="D1404" s="15" t="n">
        <v>215.237108057458</v>
      </c>
      <c r="E1404" s="15" t="n">
        <v>8917.568810302149</v>
      </c>
      <c r="F1404" s="15" t="n">
        <v>270.857550136105</v>
      </c>
      <c r="G1404" s="15" t="n">
        <v>172.711673291871</v>
      </c>
      <c r="H1404" s="15" t="n">
        <v>25.0959661952737</v>
      </c>
      <c r="I1404" s="16" t="n">
        <v>11.6596837886218</v>
      </c>
      <c r="J1404" s="15" t="n">
        <v>25.3568386180786</v>
      </c>
      <c r="K1404" s="15" t="n">
        <v>4590.66448386736</v>
      </c>
      <c r="L1404" s="15" t="n">
        <v>180.165675851931</v>
      </c>
      <c r="M1404" s="15" t="n">
        <v>35.0714322055273</v>
      </c>
      <c r="N1404" s="17" t="n">
        <v>56.6824660994888</v>
      </c>
      <c r="O1404" s="18" t="n">
        <v>1.23473336591432</v>
      </c>
    </row>
    <row r="1405" ht="15" customHeight="1" s="12">
      <c r="A1405" s="14" t="inlineStr">
        <is>
          <t>Shaheed Benazir Abad</t>
        </is>
      </c>
      <c r="B1405" s="14" t="inlineStr">
        <is>
          <t>Sindh</t>
        </is>
      </c>
      <c r="C1405" s="14" t="n">
        <v>2021</v>
      </c>
      <c r="D1405" s="15" t="n">
        <v>89.6156690173934</v>
      </c>
      <c r="E1405" s="15" t="n">
        <v>3712.90016928926</v>
      </c>
      <c r="F1405" s="15" t="n">
        <v>101.305848360062</v>
      </c>
      <c r="G1405" s="15" t="n">
        <v>76.9382570534945</v>
      </c>
      <c r="H1405" s="15" t="n">
        <v>6.69812860612662</v>
      </c>
      <c r="I1405" s="16" t="n">
        <v>7.47428287884186</v>
      </c>
      <c r="J1405" s="15" t="n">
        <v>16.4491244675816</v>
      </c>
      <c r="K1405" s="15" t="n">
        <v>4590.66448386736</v>
      </c>
      <c r="L1405" s="15" t="n">
        <v>180.165675851931</v>
      </c>
      <c r="M1405" s="15" t="n">
        <v>-90.5500068345376</v>
      </c>
      <c r="N1405" s="17" t="n">
        <v>23.4887895788483</v>
      </c>
      <c r="O1405" s="18" t="n">
        <v>0.511664262578833</v>
      </c>
    </row>
    <row r="1406" ht="15" customHeight="1" s="12">
      <c r="A1406" s="14" t="inlineStr">
        <is>
          <t>Shaheed Benazir Abad</t>
        </is>
      </c>
      <c r="B1406" s="14" t="inlineStr">
        <is>
          <t>Sindh</t>
        </is>
      </c>
      <c r="C1406" s="14" t="n">
        <v>2022</v>
      </c>
      <c r="D1406" s="15" t="n">
        <v>435.406325100941</v>
      </c>
      <c r="E1406" s="15" t="n">
        <v>18039.4816654566</v>
      </c>
      <c r="F1406" s="15" t="n">
        <v>531.443439730901</v>
      </c>
      <c r="G1406" s="15" t="n">
        <v>367.814496583403</v>
      </c>
      <c r="H1406" s="15" t="n">
        <v>42.4125746647952</v>
      </c>
      <c r="I1406" s="16" t="n">
        <v>9.74091836055956</v>
      </c>
      <c r="J1406" s="15" t="n">
        <v>35.3340274491245</v>
      </c>
      <c r="K1406" s="15" t="n">
        <v>4590.66448386736</v>
      </c>
      <c r="L1406" s="15" t="n">
        <v>180.165675851931</v>
      </c>
      <c r="M1406" s="15" t="n">
        <v>255.24064924901</v>
      </c>
      <c r="N1406" s="17" t="n">
        <v>83.3037821113183</v>
      </c>
      <c r="O1406" s="18" t="n">
        <v>1.81463451324022</v>
      </c>
    </row>
    <row r="1407" ht="15" customHeight="1" s="12">
      <c r="A1407" s="14" t="inlineStr">
        <is>
          <t>Shaheed Benazir Abad</t>
        </is>
      </c>
      <c r="B1407" s="14" t="inlineStr">
        <is>
          <t>Sindh</t>
        </is>
      </c>
      <c r="C1407" s="14" t="n">
        <v>2023</v>
      </c>
      <c r="D1407" s="15" t="n">
        <v>127.133308940154</v>
      </c>
      <c r="E1407" s="15" t="n">
        <v>5267.30748608913</v>
      </c>
      <c r="F1407" s="15" t="n">
        <v>183.948684096336</v>
      </c>
      <c r="G1407" s="15" t="n">
        <v>87.80518794059751</v>
      </c>
      <c r="H1407" s="15" t="n">
        <v>27.3572582400269</v>
      </c>
      <c r="I1407" s="16" t="n">
        <v>21.5185606888474</v>
      </c>
      <c r="J1407" s="15" t="n">
        <v>14.4581164221486</v>
      </c>
      <c r="K1407" s="15" t="n">
        <v>4590.66448386736</v>
      </c>
      <c r="L1407" s="15" t="n">
        <v>180.165675851931</v>
      </c>
      <c r="M1407" s="15" t="n">
        <v>-53.032366911777</v>
      </c>
      <c r="N1407" s="17" t="n">
        <v>45.1816326085124</v>
      </c>
      <c r="O1407" s="18" t="n">
        <v>0.9842068129198051</v>
      </c>
    </row>
    <row r="1408" ht="15" customHeight="1" s="12">
      <c r="A1408" s="14" t="inlineStr">
        <is>
          <t>Shaheed Benazir Abad</t>
        </is>
      </c>
      <c r="B1408" s="14" t="inlineStr">
        <is>
          <t>Sindh</t>
        </is>
      </c>
      <c r="C1408" s="14" t="n">
        <v>2024</v>
      </c>
      <c r="D1408" s="15" t="n">
        <v>226.00270123946</v>
      </c>
      <c r="E1408" s="15" t="n">
        <v>9363.60211213685</v>
      </c>
      <c r="F1408" s="15" t="n">
        <v>295.604712425924</v>
      </c>
      <c r="G1408" s="15" t="n">
        <v>183.776283092157</v>
      </c>
      <c r="H1408" s="15" t="n">
        <v>34.3957861264446</v>
      </c>
      <c r="I1408" s="16" t="n">
        <v>15.2191924865538</v>
      </c>
      <c r="J1408" s="15" t="n">
        <v>29.2479886417416</v>
      </c>
      <c r="K1408" s="15" t="n">
        <v>4590.66448386736</v>
      </c>
      <c r="L1408" s="15" t="n">
        <v>180.165675851931</v>
      </c>
      <c r="M1408" s="15" t="n">
        <v>45.837025387529</v>
      </c>
      <c r="N1408" s="17" t="n">
        <v>72.78578814038001</v>
      </c>
      <c r="O1408" s="18" t="n">
        <v>1.58551748654614</v>
      </c>
    </row>
    <row r="1409" ht="15" customHeight="1" s="12">
      <c r="A1409" s="14" t="inlineStr">
        <is>
          <t>Shaheed Benazir Abad</t>
        </is>
      </c>
      <c r="B1409" s="14" t="inlineStr">
        <is>
          <t>Sindh</t>
        </is>
      </c>
      <c r="C1409" s="14" t="n">
        <v>2025</v>
      </c>
      <c r="D1409" s="15" t="n">
        <v>163.856962885999</v>
      </c>
      <c r="E1409" s="15" t="n">
        <v>6788.81887408069</v>
      </c>
      <c r="F1409" s="15" t="n">
        <v>191.565394977126</v>
      </c>
      <c r="G1409" s="15" t="n">
        <v>139.5684039938</v>
      </c>
      <c r="H1409" s="15" t="n">
        <v>11.9603702620576</v>
      </c>
      <c r="I1409" s="16" t="n">
        <v>7.29927495994105</v>
      </c>
      <c r="J1409" s="15" t="n">
        <v>18.0389966871746</v>
      </c>
      <c r="K1409" s="15" t="n">
        <v>4590.66448386736</v>
      </c>
      <c r="L1409" s="15" t="n">
        <v>180.165675851931</v>
      </c>
      <c r="M1409" s="15" t="n">
        <v>-16.3087129659324</v>
      </c>
      <c r="N1409" s="17" t="n">
        <v>42.8162047135327</v>
      </c>
      <c r="O1409" s="18" t="n">
        <v>0.932679895557572</v>
      </c>
    </row>
    <row r="1410" ht="15" customHeight="1" s="12">
      <c r="A1410" s="14" t="inlineStr">
        <is>
          <t>Shaheed Sikandarabad</t>
        </is>
      </c>
      <c r="B1410" s="14" t="inlineStr">
        <is>
          <t>Balochistan</t>
        </is>
      </c>
      <c r="C1410" s="14" t="n">
        <v>2015</v>
      </c>
      <c r="D1410" s="15" t="n">
        <v>17.2319611969006</v>
      </c>
      <c r="E1410" s="15" t="n">
        <v>586.630020197233</v>
      </c>
      <c r="F1410" s="15" t="n">
        <v>40.4872845113277</v>
      </c>
      <c r="G1410" s="15" t="n">
        <v>5.8396520614624</v>
      </c>
      <c r="H1410" s="15" t="n">
        <v>9.141905841889489</v>
      </c>
      <c r="I1410" s="16" t="n">
        <v>53.0520335870636</v>
      </c>
      <c r="J1410" s="15" t="n">
        <v>4.31286718120032</v>
      </c>
      <c r="K1410" s="15" t="n">
        <v>3711.86615908521</v>
      </c>
      <c r="L1410" s="15" t="n">
        <v>62.6779007671166</v>
      </c>
      <c r="M1410" s="15" t="n">
        <v>-45.445939570216</v>
      </c>
      <c r="N1410" s="17" t="n">
        <v>0.145604451019407</v>
      </c>
      <c r="O1410" s="18" t="n">
        <v>0.00392267513910822</v>
      </c>
    </row>
    <row r="1411" ht="15" customHeight="1" s="12">
      <c r="A1411" s="14" t="inlineStr">
        <is>
          <t>Shaheed Sikandarabad</t>
        </is>
      </c>
      <c r="B1411" s="14" t="inlineStr">
        <is>
          <t>Balochistan</t>
        </is>
      </c>
      <c r="C1411" s="14" t="n">
        <v>2016</v>
      </c>
      <c r="D1411" s="15" t="n">
        <v>54.1713832491689</v>
      </c>
      <c r="E1411" s="15" t="n">
        <v>1844.16383523935</v>
      </c>
      <c r="F1411" s="15" t="n">
        <v>91.5074204206467</v>
      </c>
      <c r="G1411" s="15" t="n">
        <v>19.3027851581574</v>
      </c>
      <c r="H1411" s="15" t="n">
        <v>17.9706635642458</v>
      </c>
      <c r="I1411" s="16" t="n">
        <v>33.1737210430593</v>
      </c>
      <c r="J1411" s="15" t="n">
        <v>12.1682985831125</v>
      </c>
      <c r="K1411" s="15" t="n">
        <v>3711.86615908521</v>
      </c>
      <c r="L1411" s="15" t="n">
        <v>62.6779007671166</v>
      </c>
      <c r="M1411" s="15" t="n">
        <v>-8.506517517947779</v>
      </c>
      <c r="N1411" s="17" t="n">
        <v>0.357816128252815</v>
      </c>
      <c r="O1411" s="18" t="n">
        <v>0.00963979068526003</v>
      </c>
    </row>
    <row r="1412" ht="15" customHeight="1" s="12">
      <c r="A1412" s="14" t="inlineStr">
        <is>
          <t>Shaheed Sikandarabad</t>
        </is>
      </c>
      <c r="B1412" s="14" t="inlineStr">
        <is>
          <t>Balochistan</t>
        </is>
      </c>
      <c r="C1412" s="14" t="n">
        <v>2017</v>
      </c>
      <c r="D1412" s="15" t="n">
        <v>34.5333505833208</v>
      </c>
      <c r="E1412" s="15" t="n">
        <v>1175.62359377964</v>
      </c>
      <c r="F1412" s="15" t="n">
        <v>69.94556438922881</v>
      </c>
      <c r="G1412" s="15" t="n">
        <v>15.0374178290367</v>
      </c>
      <c r="H1412" s="15" t="n">
        <v>14.0329916716271</v>
      </c>
      <c r="I1412" s="16" t="n">
        <v>40.6360559707892</v>
      </c>
      <c r="J1412" s="15" t="n">
        <v>11.323349844488</v>
      </c>
      <c r="K1412" s="15" t="n">
        <v>3711.86615908521</v>
      </c>
      <c r="L1412" s="15" t="n">
        <v>62.6779007671166</v>
      </c>
      <c r="M1412" s="15" t="n">
        <v>-28.1445501837958</v>
      </c>
      <c r="N1412" s="17" t="n">
        <v>0.0958247014732211</v>
      </c>
      <c r="O1412" s="18" t="n">
        <v>0.00258157749677152</v>
      </c>
    </row>
    <row r="1413" ht="15" customHeight="1" s="12">
      <c r="A1413" s="14" t="inlineStr">
        <is>
          <t>Shaheed Sikandarabad</t>
        </is>
      </c>
      <c r="B1413" s="14" t="inlineStr">
        <is>
          <t>Balochistan</t>
        </is>
      </c>
      <c r="C1413" s="14" t="n">
        <v>2018</v>
      </c>
      <c r="D1413" s="15" t="n">
        <v>23.4648287528353</v>
      </c>
      <c r="E1413" s="15" t="n">
        <v>798.816385895543</v>
      </c>
      <c r="F1413" s="15" t="n">
        <v>44.2623334079981</v>
      </c>
      <c r="G1413" s="15" t="n">
        <v>10.2600267510861</v>
      </c>
      <c r="H1413" s="15" t="n">
        <v>8.938546296946789</v>
      </c>
      <c r="I1413" s="16" t="n">
        <v>38.0933796325564</v>
      </c>
      <c r="J1413" s="15" t="n">
        <v>7.28579656721576</v>
      </c>
      <c r="K1413" s="15" t="n">
        <v>3711.86615908521</v>
      </c>
      <c r="L1413" s="15" t="n">
        <v>62.6779007671166</v>
      </c>
      <c r="M1413" s="15" t="n">
        <v>-39.2130720142813</v>
      </c>
      <c r="N1413" s="17" t="n">
        <v>0.311760362121582</v>
      </c>
      <c r="O1413" s="18" t="n">
        <v>0.00839901948938847</v>
      </c>
    </row>
    <row r="1414" ht="15" customHeight="1" s="12">
      <c r="A1414" s="14" t="inlineStr">
        <is>
          <t>Shaheed Sikandarabad</t>
        </is>
      </c>
      <c r="B1414" s="14" t="inlineStr">
        <is>
          <t>Balochistan</t>
        </is>
      </c>
      <c r="C1414" s="14" t="n">
        <v>2019</v>
      </c>
      <c r="D1414" s="15" t="n">
        <v>47.2187562178208</v>
      </c>
      <c r="E1414" s="15" t="n">
        <v>1607.47459892903</v>
      </c>
      <c r="F1414" s="15" t="n">
        <v>82.6531159933657</v>
      </c>
      <c r="G1414" s="15" t="n">
        <v>22.7860523462296</v>
      </c>
      <c r="H1414" s="15" t="n">
        <v>16.1127684005586</v>
      </c>
      <c r="I1414" s="16" t="n">
        <v>34.1236612125702</v>
      </c>
      <c r="J1414" s="15" t="n">
        <v>13.9751180739546</v>
      </c>
      <c r="K1414" s="15" t="n">
        <v>3711.86615908521</v>
      </c>
      <c r="L1414" s="15" t="n">
        <v>62.6779007671166</v>
      </c>
      <c r="M1414" s="15" t="n">
        <v>-15.4591445492958</v>
      </c>
      <c r="N1414" s="17" t="n">
        <v>0.470849107539637</v>
      </c>
      <c r="O1414" s="18" t="n">
        <v>0.0126849699681973</v>
      </c>
    </row>
    <row r="1415" ht="15" customHeight="1" s="12">
      <c r="A1415" s="14" t="inlineStr">
        <is>
          <t>Shaheed Sikandarabad</t>
        </is>
      </c>
      <c r="B1415" s="14" t="inlineStr">
        <is>
          <t>Balochistan</t>
        </is>
      </c>
      <c r="C1415" s="14" t="n">
        <v>2020</v>
      </c>
      <c r="D1415" s="15" t="n">
        <v>58.2372315652823</v>
      </c>
      <c r="E1415" s="15" t="n">
        <v>1982.57806752241</v>
      </c>
      <c r="F1415" s="15" t="n">
        <v>104.468674666248</v>
      </c>
      <c r="G1415" s="15" t="n">
        <v>31.0980229881243</v>
      </c>
      <c r="H1415" s="15" t="n">
        <v>19.4349185308781</v>
      </c>
      <c r="I1415" s="16" t="n">
        <v>33.3719821641798</v>
      </c>
      <c r="J1415" s="15" t="n">
        <v>12.9373344084783</v>
      </c>
      <c r="K1415" s="15" t="n">
        <v>3711.86615908521</v>
      </c>
      <c r="L1415" s="15" t="n">
        <v>62.6779007671166</v>
      </c>
      <c r="M1415" s="15" t="n">
        <v>-4.44066920183438</v>
      </c>
      <c r="N1415" s="17" t="n">
        <v>0.608350089995261</v>
      </c>
      <c r="O1415" s="18" t="n">
        <v>0.0163893325869592</v>
      </c>
    </row>
    <row r="1416" ht="15" customHeight="1" s="12">
      <c r="A1416" s="14" t="inlineStr">
        <is>
          <t>Shaheed Sikandarabad</t>
        </is>
      </c>
      <c r="B1416" s="14" t="inlineStr">
        <is>
          <t>Balochistan</t>
        </is>
      </c>
      <c r="C1416" s="14" t="n">
        <v>2021</v>
      </c>
      <c r="D1416" s="15" t="n">
        <v>57.13404061989</v>
      </c>
      <c r="E1416" s="15" t="n">
        <v>1945.02198675006</v>
      </c>
      <c r="F1416" s="15" t="n">
        <v>86.8485453128815</v>
      </c>
      <c r="G1416" s="15" t="n">
        <v>34.648510158062</v>
      </c>
      <c r="H1416" s="15" t="n">
        <v>11.7957042617584</v>
      </c>
      <c r="I1416" s="16" t="n">
        <v>20.6456678606623</v>
      </c>
      <c r="J1416" s="15" t="n">
        <v>8.99159083054948</v>
      </c>
      <c r="K1416" s="15" t="n">
        <v>3711.86615908521</v>
      </c>
      <c r="L1416" s="15" t="n">
        <v>62.6779007671166</v>
      </c>
      <c r="M1416" s="15" t="n">
        <v>-5.54386014722659</v>
      </c>
      <c r="N1416" s="17" t="n">
        <v>0.63625741500244</v>
      </c>
      <c r="O1416" s="18" t="n">
        <v>0.0171411734080209</v>
      </c>
    </row>
    <row r="1417" ht="15" customHeight="1" s="12">
      <c r="A1417" s="14" t="inlineStr">
        <is>
          <t>Shaheed Sikandarabad</t>
        </is>
      </c>
      <c r="B1417" s="14" t="inlineStr">
        <is>
          <t>Balochistan</t>
        </is>
      </c>
      <c r="C1417" s="14" t="n">
        <v>2022</v>
      </c>
      <c r="D1417" s="15" t="n">
        <v>156.223369243108</v>
      </c>
      <c r="E1417" s="15" t="n">
        <v>5318.33360156635</v>
      </c>
      <c r="F1417" s="15" t="n">
        <v>249.488873697817</v>
      </c>
      <c r="G1417" s="15" t="n">
        <v>99.6108071506023</v>
      </c>
      <c r="H1417" s="15" t="n">
        <v>38.3866419881216</v>
      </c>
      <c r="I1417" s="16" t="n">
        <v>24.571638784967</v>
      </c>
      <c r="J1417" s="15" t="n">
        <v>24.5986637484161</v>
      </c>
      <c r="K1417" s="15" t="n">
        <v>3711.86615908521</v>
      </c>
      <c r="L1417" s="15" t="n">
        <v>62.6779007671166</v>
      </c>
      <c r="M1417" s="15" t="n">
        <v>93.5454684759912</v>
      </c>
      <c r="N1417" s="17" t="n">
        <v>1.58807455580049</v>
      </c>
      <c r="O1417" s="18" t="n">
        <v>0.0427837235433046</v>
      </c>
    </row>
    <row r="1418" ht="15" customHeight="1" s="12">
      <c r="A1418" s="14" t="inlineStr">
        <is>
          <t>Shaheed Sikandarabad</t>
        </is>
      </c>
      <c r="B1418" s="14" t="inlineStr">
        <is>
          <t>Balochistan</t>
        </is>
      </c>
      <c r="C1418" s="14" t="n">
        <v>2023</v>
      </c>
      <c r="D1418" s="15" t="n">
        <v>59.771860861161</v>
      </c>
      <c r="E1418" s="15" t="n">
        <v>2034.82166327741</v>
      </c>
      <c r="F1418" s="15" t="n">
        <v>119.390997648239</v>
      </c>
      <c r="G1418" s="15" t="n">
        <v>30.8160942196846</v>
      </c>
      <c r="H1418" s="15" t="n">
        <v>23.7506621213388</v>
      </c>
      <c r="I1418" s="16" t="n">
        <v>39.7355240060321</v>
      </c>
      <c r="J1418" s="15" t="n">
        <v>13.7848174173482</v>
      </c>
      <c r="K1418" s="15" t="n">
        <v>3711.86615908521</v>
      </c>
      <c r="L1418" s="15" t="n">
        <v>62.6779007671166</v>
      </c>
      <c r="M1418" s="15" t="n">
        <v>-2.90603990595564</v>
      </c>
      <c r="N1418" s="17" t="n">
        <v>0.475860793311264</v>
      </c>
      <c r="O1418" s="18" t="n">
        <v>0.0128199879229627</v>
      </c>
    </row>
    <row r="1419" ht="15" customHeight="1" s="12">
      <c r="A1419" s="14" t="inlineStr">
        <is>
          <t>Shaheed Sikandarabad</t>
        </is>
      </c>
      <c r="B1419" s="14" t="inlineStr">
        <is>
          <t>Balochistan</t>
        </is>
      </c>
      <c r="C1419" s="14" t="n">
        <v>2024</v>
      </c>
      <c r="D1419" s="15" t="n">
        <v>97.99082434144159</v>
      </c>
      <c r="E1419" s="15" t="n">
        <v>3335.91508277669</v>
      </c>
      <c r="F1419" s="15" t="n">
        <v>163.02694719506</v>
      </c>
      <c r="G1419" s="15" t="n">
        <v>56.584654063452</v>
      </c>
      <c r="H1419" s="15" t="n">
        <v>27.8017987768726</v>
      </c>
      <c r="I1419" s="16" t="n">
        <v>28.3718388570744</v>
      </c>
      <c r="J1419" s="15" t="n">
        <v>21.3061859232807</v>
      </c>
      <c r="K1419" s="15" t="n">
        <v>3711.86615908521</v>
      </c>
      <c r="L1419" s="15" t="n">
        <v>62.6779007671166</v>
      </c>
      <c r="M1419" s="15" t="n">
        <v>35.312923574325</v>
      </c>
      <c r="N1419" s="17" t="n">
        <v>0.877791474536611</v>
      </c>
      <c r="O1419" s="18" t="n">
        <v>0.0236482523053295</v>
      </c>
    </row>
    <row r="1420" ht="15" customHeight="1" s="12">
      <c r="A1420" s="14" t="inlineStr">
        <is>
          <t>Shaheed Sikandarabad</t>
        </is>
      </c>
      <c r="B1420" s="14" t="inlineStr">
        <is>
          <t>Balochistan</t>
        </is>
      </c>
      <c r="C1420" s="14" t="n">
        <v>2025</v>
      </c>
      <c r="D1420" s="15" t="n">
        <v>83.47930180735381</v>
      </c>
      <c r="E1420" s="15" t="n">
        <v>2841.89732937113</v>
      </c>
      <c r="F1420" s="15" t="n">
        <v>124.700787195492</v>
      </c>
      <c r="G1420" s="15" t="n">
        <v>45.0033303485872</v>
      </c>
      <c r="H1420" s="15" t="n">
        <v>20.0907942295355</v>
      </c>
      <c r="I1420" s="16" t="n">
        <v>24.0667971515853</v>
      </c>
      <c r="J1420" s="15" t="n">
        <v>15.8191452597627</v>
      </c>
      <c r="K1420" s="15" t="n">
        <v>3711.86615908521</v>
      </c>
      <c r="L1420" s="15" t="n">
        <v>62.6779007671166</v>
      </c>
      <c r="M1420" s="15" t="n">
        <v>20.8014010402372</v>
      </c>
      <c r="N1420" s="17" t="n">
        <v>0.749846937562472</v>
      </c>
      <c r="O1420" s="18" t="n">
        <v>0.0202013463154413</v>
      </c>
    </row>
    <row r="1421" ht="15" customHeight="1" s="12">
      <c r="A1421" s="14" t="inlineStr">
        <is>
          <t>Shangla</t>
        </is>
      </c>
      <c r="B1421" s="14" t="inlineStr">
        <is>
          <t>Khyber Pakhtunkhwa</t>
        </is>
      </c>
      <c r="C1421" s="14" t="n">
        <v>2015</v>
      </c>
      <c r="D1421" s="15" t="n">
        <v>498.895950994391</v>
      </c>
      <c r="E1421" s="15" t="n">
        <v>6786.9413882335</v>
      </c>
      <c r="F1421" s="15" t="n">
        <v>630.766020774841</v>
      </c>
      <c r="G1421" s="15" t="n">
        <v>351.926859378815</v>
      </c>
      <c r="H1421" s="15" t="n">
        <v>67.0152611509603</v>
      </c>
      <c r="I1421" s="16" t="n">
        <v>13.4327129770018</v>
      </c>
      <c r="J1421" s="15" t="n">
        <v>23.7979244739118</v>
      </c>
      <c r="K1421" s="15" t="n">
        <v>1384.3492021525</v>
      </c>
      <c r="L1421" s="15" t="n">
        <v>473.606300001413</v>
      </c>
      <c r="M1421" s="15" t="n">
        <v>25.2896509929788</v>
      </c>
      <c r="N1421" s="17" t="n">
        <v>2.61712536117948</v>
      </c>
      <c r="O1421" s="18" t="n">
        <v>0.189050953120078</v>
      </c>
    </row>
    <row r="1422" ht="15" customHeight="1" s="12">
      <c r="A1422" s="14" t="inlineStr">
        <is>
          <t>Shangla</t>
        </is>
      </c>
      <c r="B1422" s="14" t="inlineStr">
        <is>
          <t>Khyber Pakhtunkhwa</t>
        </is>
      </c>
      <c r="C1422" s="14" t="n">
        <v>2016</v>
      </c>
      <c r="D1422" s="15" t="n">
        <v>467.363384358235</v>
      </c>
      <c r="E1422" s="15" t="n">
        <v>6357.97482485771</v>
      </c>
      <c r="F1422" s="15" t="n">
        <v>605.034865617752</v>
      </c>
      <c r="G1422" s="15" t="n">
        <v>326.148701667786</v>
      </c>
      <c r="H1422" s="15" t="n">
        <v>72.187118418081</v>
      </c>
      <c r="I1422" s="16" t="n">
        <v>15.445608456727</v>
      </c>
      <c r="J1422" s="15" t="n">
        <v>17.1351974632459</v>
      </c>
      <c r="K1422" s="15" t="n">
        <v>1384.3492021525</v>
      </c>
      <c r="L1422" s="15" t="n">
        <v>473.606300001413</v>
      </c>
      <c r="M1422" s="15" t="n">
        <v>-6.24291564317775</v>
      </c>
      <c r="N1422" s="17" t="n">
        <v>3.07395433904287</v>
      </c>
      <c r="O1422" s="18" t="n">
        <v>0.222050501005327</v>
      </c>
    </row>
    <row r="1423" ht="15" customHeight="1" s="12">
      <c r="A1423" s="14" t="inlineStr">
        <is>
          <t>Shangla</t>
        </is>
      </c>
      <c r="B1423" s="14" t="inlineStr">
        <is>
          <t>Khyber Pakhtunkhwa</t>
        </is>
      </c>
      <c r="C1423" s="14" t="n">
        <v>2017</v>
      </c>
      <c r="D1423" s="15" t="n">
        <v>482.181765057815</v>
      </c>
      <c r="E1423" s="15" t="n">
        <v>6559.56291366886</v>
      </c>
      <c r="F1423" s="15" t="n">
        <v>623.333253741264</v>
      </c>
      <c r="G1423" s="15" t="n">
        <v>349.913629055023</v>
      </c>
      <c r="H1423" s="15" t="n">
        <v>63.0965354897736</v>
      </c>
      <c r="I1423" s="16" t="n">
        <v>13.0856328592617</v>
      </c>
      <c r="J1423" s="15" t="n">
        <v>28.0049005477083</v>
      </c>
      <c r="K1423" s="15" t="n">
        <v>1384.3492021525</v>
      </c>
      <c r="L1423" s="15" t="n">
        <v>473.606300001413</v>
      </c>
      <c r="M1423" s="15" t="n">
        <v>8.5754650564021</v>
      </c>
      <c r="N1423" s="17" t="n">
        <v>2.02047642340112</v>
      </c>
      <c r="O1423" s="18" t="n">
        <v>0.145951355355969</v>
      </c>
    </row>
    <row r="1424" ht="15" customHeight="1" s="12">
      <c r="A1424" s="14" t="inlineStr">
        <is>
          <t>Shangla</t>
        </is>
      </c>
      <c r="B1424" s="14" t="inlineStr">
        <is>
          <t>Khyber Pakhtunkhwa</t>
        </is>
      </c>
      <c r="C1424" s="14" t="n">
        <v>2018</v>
      </c>
      <c r="D1424" s="15" t="n">
        <v>507.547278806073</v>
      </c>
      <c r="E1424" s="15" t="n">
        <v>6904.63337324811</v>
      </c>
      <c r="F1424" s="15" t="n">
        <v>732.971554756165</v>
      </c>
      <c r="G1424" s="15" t="n">
        <v>333.8440990448</v>
      </c>
      <c r="H1424" s="15" t="n">
        <v>89.783021829809</v>
      </c>
      <c r="I1424" s="16" t="n">
        <v>17.6895878628312</v>
      </c>
      <c r="J1424" s="15" t="n">
        <v>29.847506486019</v>
      </c>
      <c r="K1424" s="15" t="n">
        <v>1384.3492021525</v>
      </c>
      <c r="L1424" s="15" t="n">
        <v>473.606300001413</v>
      </c>
      <c r="M1424" s="15" t="n">
        <v>33.9409788046606</v>
      </c>
      <c r="N1424" s="17" t="n">
        <v>2.57674950010963</v>
      </c>
      <c r="O1424" s="18" t="n">
        <v>0.186134358014805</v>
      </c>
    </row>
    <row r="1425" ht="15" customHeight="1" s="12">
      <c r="A1425" s="14" t="inlineStr">
        <is>
          <t>Shangla</t>
        </is>
      </c>
      <c r="B1425" s="14" t="inlineStr">
        <is>
          <t>Khyber Pakhtunkhwa</t>
        </is>
      </c>
      <c r="C1425" s="14" t="n">
        <v>2019</v>
      </c>
      <c r="D1425" s="15" t="n">
        <v>409.289521027937</v>
      </c>
      <c r="E1425" s="15" t="n">
        <v>5567.94254292515</v>
      </c>
      <c r="F1425" s="15" t="n">
        <v>539.668380527874</v>
      </c>
      <c r="G1425" s="15" t="n">
        <v>307.778737016022</v>
      </c>
      <c r="H1425" s="15" t="n">
        <v>59.6960340927226</v>
      </c>
      <c r="I1425" s="16" t="n">
        <v>14.5852827951214</v>
      </c>
      <c r="J1425" s="15" t="n">
        <v>20.530988757567</v>
      </c>
      <c r="K1425" s="15" t="n">
        <v>1384.3492021525</v>
      </c>
      <c r="L1425" s="15" t="n">
        <v>473.606300001413</v>
      </c>
      <c r="M1425" s="15" t="n">
        <v>-64.31677897347571</v>
      </c>
      <c r="N1425" s="17" t="n">
        <v>2.60325762439802</v>
      </c>
      <c r="O1425" s="18" t="n">
        <v>0.188049201772954</v>
      </c>
    </row>
    <row r="1426" ht="15" customHeight="1" s="12">
      <c r="A1426" s="14" t="inlineStr">
        <is>
          <t>Shangla</t>
        </is>
      </c>
      <c r="B1426" s="14" t="inlineStr">
        <is>
          <t>Khyber Pakhtunkhwa</t>
        </is>
      </c>
      <c r="C1426" s="14" t="n">
        <v>2020</v>
      </c>
      <c r="D1426" s="15" t="n">
        <v>499.830390811395</v>
      </c>
      <c r="E1426" s="15" t="n">
        <v>6799.65343421463</v>
      </c>
      <c r="F1426" s="15" t="n">
        <v>627.245599031448</v>
      </c>
      <c r="G1426" s="15" t="n">
        <v>377.539027631283</v>
      </c>
      <c r="H1426" s="15" t="n">
        <v>71.945198720829</v>
      </c>
      <c r="I1426" s="16" t="n">
        <v>14.3939224271732</v>
      </c>
      <c r="J1426" s="15" t="n">
        <v>26.8400115307005</v>
      </c>
      <c r="K1426" s="15" t="n">
        <v>1384.3492021525</v>
      </c>
      <c r="L1426" s="15" t="n">
        <v>473.606300001413</v>
      </c>
      <c r="M1426" s="15" t="n">
        <v>26.2240908099827</v>
      </c>
      <c r="N1426" s="17" t="n">
        <v>3.11340307530565</v>
      </c>
      <c r="O1426" s="18" t="n">
        <v>0.224900124221886</v>
      </c>
    </row>
    <row r="1427" ht="15" customHeight="1" s="12">
      <c r="A1427" s="14" t="inlineStr">
        <is>
          <t>Shangla</t>
        </is>
      </c>
      <c r="B1427" s="14" t="inlineStr">
        <is>
          <t>Khyber Pakhtunkhwa</t>
        </is>
      </c>
      <c r="C1427" s="14" t="n">
        <v>2021</v>
      </c>
      <c r="D1427" s="15" t="n">
        <v>542.001741084328</v>
      </c>
      <c r="E1427" s="15" t="n">
        <v>7373.34917577071</v>
      </c>
      <c r="F1427" s="15" t="n">
        <v>643.674078643322</v>
      </c>
      <c r="G1427" s="15" t="n">
        <v>362.650098308921</v>
      </c>
      <c r="H1427" s="15" t="n">
        <v>74.576770847932</v>
      </c>
      <c r="I1427" s="16" t="n">
        <v>13.7595076168453</v>
      </c>
      <c r="J1427" s="15" t="n">
        <v>31.7806284231767</v>
      </c>
      <c r="K1427" s="15" t="n">
        <v>1384.3492021525</v>
      </c>
      <c r="L1427" s="15" t="n">
        <v>473.606300001413</v>
      </c>
      <c r="M1427" s="15" t="n">
        <v>68.3954410829149</v>
      </c>
      <c r="N1427" s="17" t="n">
        <v>2.53143644264084</v>
      </c>
      <c r="O1427" s="18" t="n">
        <v>0.182861119051809</v>
      </c>
    </row>
    <row r="1428" ht="15" customHeight="1" s="12">
      <c r="A1428" s="14" t="inlineStr">
        <is>
          <t>Shangla</t>
        </is>
      </c>
      <c r="B1428" s="14" t="inlineStr">
        <is>
          <t>Khyber Pakhtunkhwa</t>
        </is>
      </c>
      <c r="C1428" s="14" t="n">
        <v>2022</v>
      </c>
      <c r="D1428" s="15" t="n">
        <v>486.945113851459</v>
      </c>
      <c r="E1428" s="15" t="n">
        <v>6624.36313706161</v>
      </c>
      <c r="F1428" s="15" t="n">
        <v>600.157560348511</v>
      </c>
      <c r="G1428" s="15" t="n">
        <v>403.562851905823</v>
      </c>
      <c r="H1428" s="15" t="n">
        <v>54.7514231633046</v>
      </c>
      <c r="I1428" s="16" t="n">
        <v>11.2438592370816</v>
      </c>
      <c r="J1428" s="15" t="n">
        <v>25.4733352551168</v>
      </c>
      <c r="K1428" s="15" t="n">
        <v>1384.3492021525</v>
      </c>
      <c r="L1428" s="15" t="n">
        <v>473.606300001413</v>
      </c>
      <c r="M1428" s="15" t="n">
        <v>13.3388138500461</v>
      </c>
      <c r="N1428" s="17" t="n">
        <v>2.8764587791918</v>
      </c>
      <c r="O1428" s="18" t="n">
        <v>0.207784190197043</v>
      </c>
    </row>
    <row r="1429" ht="15" customHeight="1" s="12">
      <c r="A1429" s="14" t="inlineStr">
        <is>
          <t>Shangla</t>
        </is>
      </c>
      <c r="B1429" s="14" t="inlineStr">
        <is>
          <t>Khyber Pakhtunkhwa</t>
        </is>
      </c>
      <c r="C1429" s="14" t="n">
        <v>2023</v>
      </c>
      <c r="D1429" s="15" t="n">
        <v>425.347733113772</v>
      </c>
      <c r="E1429" s="15" t="n">
        <v>5786.39720067323</v>
      </c>
      <c r="F1429" s="15" t="n">
        <v>668.536423444748</v>
      </c>
      <c r="G1429" s="15" t="n">
        <v>263.537012577057</v>
      </c>
      <c r="H1429" s="15" t="n">
        <v>102.166960297598</v>
      </c>
      <c r="I1429" s="16" t="n">
        <v>24.0196320195905</v>
      </c>
      <c r="J1429" s="15" t="n">
        <v>18.780916690689</v>
      </c>
      <c r="K1429" s="15" t="n">
        <v>1384.3492021525</v>
      </c>
      <c r="L1429" s="15" t="n">
        <v>473.606300001413</v>
      </c>
      <c r="M1429" s="15" t="n">
        <v>-48.2585668876407</v>
      </c>
      <c r="N1429" s="17" t="n">
        <v>2.60637246393373</v>
      </c>
      <c r="O1429" s="18" t="n">
        <v>0.188274205661486</v>
      </c>
    </row>
    <row r="1430" ht="15" customHeight="1" s="12">
      <c r="A1430" s="14" t="inlineStr">
        <is>
          <t>Shangla</t>
        </is>
      </c>
      <c r="B1430" s="14" t="inlineStr">
        <is>
          <t>Khyber Pakhtunkhwa</t>
        </is>
      </c>
      <c r="C1430" s="14" t="n">
        <v>2024</v>
      </c>
      <c r="D1430" s="15" t="n">
        <v>412.671440106101</v>
      </c>
      <c r="E1430" s="15" t="n">
        <v>5613.94990481594</v>
      </c>
      <c r="F1430" s="15" t="n">
        <v>604.659367620945</v>
      </c>
      <c r="G1430" s="15" t="n">
        <v>284.259658116847</v>
      </c>
      <c r="H1430" s="15" t="n">
        <v>75.20023699438551</v>
      </c>
      <c r="I1430" s="16" t="n">
        <v>18.2227868676958</v>
      </c>
      <c r="J1430" s="15" t="n">
        <v>29.953012395503</v>
      </c>
      <c r="K1430" s="15" t="n">
        <v>1384.3492021525</v>
      </c>
      <c r="L1430" s="15" t="n">
        <v>473.606300001413</v>
      </c>
      <c r="M1430" s="15" t="n">
        <v>-60.9348598953118</v>
      </c>
      <c r="N1430" s="17" t="n">
        <v>2.71533882551891</v>
      </c>
      <c r="O1430" s="18" t="n">
        <v>0.196145511645247</v>
      </c>
    </row>
    <row r="1431" ht="15" customHeight="1" s="12">
      <c r="A1431" s="14" t="inlineStr">
        <is>
          <t>Shangla</t>
        </is>
      </c>
      <c r="B1431" s="14" t="inlineStr">
        <is>
          <t>Khyber Pakhtunkhwa</t>
        </is>
      </c>
      <c r="C1431" s="14" t="n">
        <v>2025</v>
      </c>
      <c r="D1431" s="15" t="n">
        <v>477.594980804033</v>
      </c>
      <c r="E1431" s="15" t="n">
        <v>6497.1646604282</v>
      </c>
      <c r="F1431" s="15" t="n">
        <v>726.795070051216</v>
      </c>
      <c r="G1431" s="15" t="n">
        <v>303.735403850675</v>
      </c>
      <c r="H1431" s="15" t="n">
        <v>97.90198360135</v>
      </c>
      <c r="I1431" s="16" t="n">
        <v>20.498955712753</v>
      </c>
      <c r="J1431" s="15" t="n">
        <v>33.688094551744</v>
      </c>
      <c r="K1431" s="15" t="n">
        <v>1384.3492021525</v>
      </c>
      <c r="L1431" s="15" t="n">
        <v>473.606300001413</v>
      </c>
      <c r="M1431" s="15" t="n">
        <v>3.98868080262048</v>
      </c>
      <c r="N1431" s="17" t="n">
        <v>2.11154936955686</v>
      </c>
      <c r="O1431" s="18" t="n">
        <v>0.152530110630588</v>
      </c>
    </row>
    <row r="1432" ht="15" customHeight="1" s="12">
      <c r="A1432" s="14" t="inlineStr">
        <is>
          <t>Sheikhupura</t>
        </is>
      </c>
      <c r="B1432" s="14" t="inlineStr">
        <is>
          <t>Punjab</t>
        </is>
      </c>
      <c r="C1432" s="14" t="n">
        <v>2015</v>
      </c>
      <c r="D1432" s="15" t="n">
        <v>401.058495781957</v>
      </c>
      <c r="E1432" s="15" t="n">
        <v>13827.8678231959</v>
      </c>
      <c r="F1432" s="15" t="n">
        <v>577.997375607491</v>
      </c>
      <c r="G1432" s="15" t="n">
        <v>266.711743950844</v>
      </c>
      <c r="H1432" s="15" t="n">
        <v>88.30065449691401</v>
      </c>
      <c r="I1432" s="16" t="n">
        <v>22.0169016304595</v>
      </c>
      <c r="J1432" s="15" t="n">
        <v>27.2447679708826</v>
      </c>
      <c r="K1432" s="15" t="n">
        <v>3631.22830988153</v>
      </c>
      <c r="L1432" s="15" t="n">
        <v>510.814903732076</v>
      </c>
      <c r="M1432" s="15" t="n">
        <v>-109.75640795012</v>
      </c>
      <c r="N1432" s="17" t="n">
        <v>8.99207717337244</v>
      </c>
      <c r="O1432" s="18" t="n">
        <v>0.247631831600966</v>
      </c>
    </row>
    <row r="1433" ht="15" customHeight="1" s="12">
      <c r="A1433" s="14" t="inlineStr">
        <is>
          <t>Sheikhupura</t>
        </is>
      </c>
      <c r="B1433" s="14" t="inlineStr">
        <is>
          <t>Punjab</t>
        </is>
      </c>
      <c r="C1433" s="14" t="n">
        <v>2016</v>
      </c>
      <c r="D1433" s="15" t="n">
        <v>469.429307026658</v>
      </c>
      <c r="E1433" s="15" t="n">
        <v>16185.1861465819</v>
      </c>
      <c r="F1433" s="15" t="n">
        <v>729.78791308403</v>
      </c>
      <c r="G1433" s="15" t="n">
        <v>311.277751326561</v>
      </c>
      <c r="H1433" s="15" t="n">
        <v>116.49146151213</v>
      </c>
      <c r="I1433" s="16" t="n">
        <v>24.8155493848437</v>
      </c>
      <c r="J1433" s="15" t="n">
        <v>30.3314376706097</v>
      </c>
      <c r="K1433" s="15" t="n">
        <v>3631.22830988153</v>
      </c>
      <c r="L1433" s="15" t="n">
        <v>510.814903732076</v>
      </c>
      <c r="M1433" s="15" t="n">
        <v>-41.3855967054179</v>
      </c>
      <c r="N1433" s="17" t="n">
        <v>8.937967156757431</v>
      </c>
      <c r="O1433" s="18" t="n">
        <v>0.246141701760665</v>
      </c>
    </row>
    <row r="1434" ht="15" customHeight="1" s="12">
      <c r="A1434" s="14" t="inlineStr">
        <is>
          <t>Sheikhupura</t>
        </is>
      </c>
      <c r="B1434" s="14" t="inlineStr">
        <is>
          <t>Punjab</t>
        </is>
      </c>
      <c r="C1434" s="14" t="n">
        <v>2017</v>
      </c>
      <c r="D1434" s="15" t="n">
        <v>399.438727566228</v>
      </c>
      <c r="E1434" s="15" t="n">
        <v>13772.0207559305</v>
      </c>
      <c r="F1434" s="15" t="n">
        <v>562.548532962799</v>
      </c>
      <c r="G1434" s="15" t="n">
        <v>261.569845914841</v>
      </c>
      <c r="H1434" s="15" t="n">
        <v>80.18059767487939</v>
      </c>
      <c r="I1434" s="16" t="n">
        <v>20.0733159159148</v>
      </c>
      <c r="J1434" s="15" t="n">
        <v>28.4521155595996</v>
      </c>
      <c r="K1434" s="15" t="n">
        <v>3631.22830988153</v>
      </c>
      <c r="L1434" s="15" t="n">
        <v>510.814903732076</v>
      </c>
      <c r="M1434" s="15" t="n">
        <v>-111.376176165848</v>
      </c>
      <c r="N1434" s="17" t="n">
        <v>5.00090146131759</v>
      </c>
      <c r="O1434" s="18" t="n">
        <v>0.137719279388432</v>
      </c>
    </row>
    <row r="1435" ht="15" customHeight="1" s="12">
      <c r="A1435" s="14" t="inlineStr">
        <is>
          <t>Sheikhupura</t>
        </is>
      </c>
      <c r="B1435" s="14" t="inlineStr">
        <is>
          <t>Punjab</t>
        </is>
      </c>
      <c r="C1435" s="14" t="n">
        <v>2018</v>
      </c>
      <c r="D1435" s="15" t="n">
        <v>450.417363389221</v>
      </c>
      <c r="E1435" s="15" t="n">
        <v>15529.6841526197</v>
      </c>
      <c r="F1435" s="15" t="n">
        <v>648.138784110546</v>
      </c>
      <c r="G1435" s="15" t="n">
        <v>298.600243031979</v>
      </c>
      <c r="H1435" s="15" t="n">
        <v>98.7161546147489</v>
      </c>
      <c r="I1435" s="16" t="n">
        <v>21.9165961702602</v>
      </c>
      <c r="J1435" s="15" t="n">
        <v>26.6259099181074</v>
      </c>
      <c r="K1435" s="15" t="n">
        <v>3631.22830988153</v>
      </c>
      <c r="L1435" s="15" t="n">
        <v>510.814903732076</v>
      </c>
      <c r="M1435" s="15" t="n">
        <v>-60.3975403428555</v>
      </c>
      <c r="N1435" s="17" t="n">
        <v>8.842186811670651</v>
      </c>
      <c r="O1435" s="18" t="n">
        <v>0.243504017293782</v>
      </c>
    </row>
    <row r="1436" ht="15" customHeight="1" s="12">
      <c r="A1436" s="14" t="inlineStr">
        <is>
          <t>Sheikhupura</t>
        </is>
      </c>
      <c r="B1436" s="14" t="inlineStr">
        <is>
          <t>Punjab</t>
        </is>
      </c>
      <c r="C1436" s="14" t="n">
        <v>2019</v>
      </c>
      <c r="D1436" s="15" t="n">
        <v>424.140886949181</v>
      </c>
      <c r="E1436" s="15" t="n">
        <v>14623.7124629694</v>
      </c>
      <c r="F1436" s="15" t="n">
        <v>555.737610697746</v>
      </c>
      <c r="G1436" s="15" t="n">
        <v>280.34220370464</v>
      </c>
      <c r="H1436" s="15" t="n">
        <v>79.9589482932612</v>
      </c>
      <c r="I1436" s="16" t="n">
        <v>18.8519783764308</v>
      </c>
      <c r="J1436" s="15" t="n">
        <v>25.9947679708826</v>
      </c>
      <c r="K1436" s="15" t="n">
        <v>3631.22830988153</v>
      </c>
      <c r="L1436" s="15" t="n">
        <v>510.814903732076</v>
      </c>
      <c r="M1436" s="15" t="n">
        <v>-86.67401678289539</v>
      </c>
      <c r="N1436" s="17" t="n">
        <v>7.84160957548401</v>
      </c>
      <c r="O1436" s="18" t="n">
        <v>0.215949230020732</v>
      </c>
    </row>
    <row r="1437" ht="15" customHeight="1" s="12">
      <c r="A1437" s="14" t="inlineStr">
        <is>
          <t>Sheikhupura</t>
        </is>
      </c>
      <c r="B1437" s="14" t="inlineStr">
        <is>
          <t>Punjab</t>
        </is>
      </c>
      <c r="C1437" s="14" t="n">
        <v>2020</v>
      </c>
      <c r="D1437" s="15" t="n">
        <v>544.10582005318</v>
      </c>
      <c r="E1437" s="15" t="n">
        <v>18759.9151761081</v>
      </c>
      <c r="F1437" s="15" t="n">
        <v>704.620213307525</v>
      </c>
      <c r="G1437" s="15" t="n">
        <v>405.339584931644</v>
      </c>
      <c r="H1437" s="15" t="n">
        <v>87.2768366636914</v>
      </c>
      <c r="I1437" s="16" t="n">
        <v>16.0404159351137</v>
      </c>
      <c r="J1437" s="15" t="n">
        <v>28.2060964513194</v>
      </c>
      <c r="K1437" s="15" t="n">
        <v>3631.22830988153</v>
      </c>
      <c r="L1437" s="15" t="n">
        <v>510.814903732076</v>
      </c>
      <c r="M1437" s="15" t="n">
        <v>33.2909163211035</v>
      </c>
      <c r="N1437" s="17" t="n">
        <v>6.65731089737</v>
      </c>
      <c r="O1437" s="18" t="n">
        <v>0.183334958015548</v>
      </c>
    </row>
    <row r="1438" ht="15" customHeight="1" s="12">
      <c r="A1438" s="14" t="inlineStr">
        <is>
          <t>Sheikhupura</t>
        </is>
      </c>
      <c r="B1438" s="14" t="inlineStr">
        <is>
          <t>Punjab</t>
        </is>
      </c>
      <c r="C1438" s="14" t="n">
        <v>2021</v>
      </c>
      <c r="D1438" s="15" t="n">
        <v>599.337524654576</v>
      </c>
      <c r="E1438" s="15" t="n">
        <v>20664.2177127962</v>
      </c>
      <c r="F1438" s="15" t="n">
        <v>852.652740716934</v>
      </c>
      <c r="G1438" s="15" t="n">
        <v>380.198339223862</v>
      </c>
      <c r="H1438" s="15" t="n">
        <v>132.332863084662</v>
      </c>
      <c r="I1438" s="16" t="n">
        <v>22.079856114621</v>
      </c>
      <c r="J1438" s="15" t="n">
        <v>22.7619426751592</v>
      </c>
      <c r="K1438" s="15" t="n">
        <v>3631.22830988153</v>
      </c>
      <c r="L1438" s="15" t="n">
        <v>510.814903732076</v>
      </c>
      <c r="M1438" s="15" t="n">
        <v>88.5226209225</v>
      </c>
      <c r="N1438" s="17" t="n">
        <v>7.77520908028641</v>
      </c>
      <c r="O1438" s="18" t="n">
        <v>0.214120634032512</v>
      </c>
    </row>
    <row r="1439" ht="15" customHeight="1" s="12">
      <c r="A1439" s="14" t="inlineStr">
        <is>
          <t>Sheikhupura</t>
        </is>
      </c>
      <c r="B1439" s="14" t="inlineStr">
        <is>
          <t>Punjab</t>
        </is>
      </c>
      <c r="C1439" s="14" t="n">
        <v>2022</v>
      </c>
      <c r="D1439" s="15" t="n">
        <v>484.981298970131</v>
      </c>
      <c r="E1439" s="15" t="n">
        <v>16721.3944335114</v>
      </c>
      <c r="F1439" s="15" t="n">
        <v>643.474415838718</v>
      </c>
      <c r="G1439" s="15" t="n">
        <v>352.313150539994</v>
      </c>
      <c r="H1439" s="15" t="n">
        <v>79.4470926693576</v>
      </c>
      <c r="I1439" s="16" t="n">
        <v>16.3814754997905</v>
      </c>
      <c r="J1439" s="15" t="n">
        <v>31.9413102820746</v>
      </c>
      <c r="K1439" s="15" t="n">
        <v>3631.22830988153</v>
      </c>
      <c r="L1439" s="15" t="n">
        <v>510.814903732076</v>
      </c>
      <c r="M1439" s="15" t="n">
        <v>-25.8336047619447</v>
      </c>
      <c r="N1439" s="17" t="n">
        <v>9.72069780120688</v>
      </c>
      <c r="O1439" s="18" t="n">
        <v>0.267697235526455</v>
      </c>
    </row>
    <row r="1440" ht="15" customHeight="1" s="12">
      <c r="A1440" s="14" t="inlineStr">
        <is>
          <t>Sheikhupura</t>
        </is>
      </c>
      <c r="B1440" s="14" t="inlineStr">
        <is>
          <t>Punjab</t>
        </is>
      </c>
      <c r="C1440" s="14" t="n">
        <v>2023</v>
      </c>
      <c r="D1440" s="15" t="n">
        <v>552.489496950945</v>
      </c>
      <c r="E1440" s="15" t="n">
        <v>19048.9712046773</v>
      </c>
      <c r="F1440" s="15" t="n">
        <v>769.878156304359</v>
      </c>
      <c r="G1440" s="15" t="n">
        <v>386.682179689407</v>
      </c>
      <c r="H1440" s="15" t="n">
        <v>102.986045020103</v>
      </c>
      <c r="I1440" s="16" t="n">
        <v>18.6403625025377</v>
      </c>
      <c r="J1440" s="15" t="n">
        <v>26.4570063694268</v>
      </c>
      <c r="K1440" s="15" t="n">
        <v>3631.22830988153</v>
      </c>
      <c r="L1440" s="15" t="n">
        <v>510.814903732076</v>
      </c>
      <c r="M1440" s="15" t="n">
        <v>41.6745932188686</v>
      </c>
      <c r="N1440" s="17" t="n">
        <v>10.9347232807307</v>
      </c>
      <c r="O1440" s="18" t="n">
        <v>0.301130150670351</v>
      </c>
    </row>
    <row r="1441" ht="15" customHeight="1" s="12">
      <c r="A1441" s="14" t="inlineStr">
        <is>
          <t>Sheikhupura</t>
        </is>
      </c>
      <c r="B1441" s="14" t="inlineStr">
        <is>
          <t>Punjab</t>
        </is>
      </c>
      <c r="C1441" s="14" t="n">
        <v>2024</v>
      </c>
      <c r="D1441" s="15" t="n">
        <v>538.364793129637</v>
      </c>
      <c r="E1441" s="15" t="n">
        <v>18561.9735733167</v>
      </c>
      <c r="F1441" s="15" t="n">
        <v>690.389582938515</v>
      </c>
      <c r="G1441" s="15" t="n">
        <v>401.530450238846</v>
      </c>
      <c r="H1441" s="15" t="n">
        <v>85.6281286375719</v>
      </c>
      <c r="I1441" s="16" t="n">
        <v>15.9052244370952</v>
      </c>
      <c r="J1441" s="15" t="n">
        <v>40.9407415832575</v>
      </c>
      <c r="K1441" s="15" t="n">
        <v>3631.22830988153</v>
      </c>
      <c r="L1441" s="15" t="n">
        <v>510.814903732076</v>
      </c>
      <c r="M1441" s="15" t="n">
        <v>27.5498893975607</v>
      </c>
      <c r="N1441" s="17" t="n">
        <v>8.39248706498096</v>
      </c>
      <c r="O1441" s="18" t="n">
        <v>0.23111978506399</v>
      </c>
    </row>
    <row r="1442" ht="15" customHeight="1" s="12">
      <c r="A1442" s="14" t="inlineStr">
        <is>
          <t>Sheikhupura</t>
        </is>
      </c>
      <c r="B1442" s="14" t="inlineStr">
        <is>
          <t>Punjab</t>
        </is>
      </c>
      <c r="C1442" s="14" t="n">
        <v>2025</v>
      </c>
      <c r="D1442" s="15" t="n">
        <v>755.200226581123</v>
      </c>
      <c r="E1442" s="15" t="n">
        <v>26038.1191847107</v>
      </c>
      <c r="F1442" s="15" t="n">
        <v>996.722583486684</v>
      </c>
      <c r="G1442" s="15" t="n">
        <v>523.5601870786739</v>
      </c>
      <c r="H1442" s="15" t="n">
        <v>139.022221902282</v>
      </c>
      <c r="I1442" s="16" t="n">
        <v>18.4086573347112</v>
      </c>
      <c r="J1442" s="15" t="n">
        <v>35.0689262966333</v>
      </c>
      <c r="K1442" s="15" t="n">
        <v>3631.22830988153</v>
      </c>
      <c r="L1442" s="15" t="n">
        <v>510.814903732076</v>
      </c>
      <c r="M1442" s="15" t="n">
        <v>244.385322849047</v>
      </c>
      <c r="N1442" s="17" t="n">
        <v>9.87973375839945</v>
      </c>
      <c r="O1442" s="18" t="n">
        <v>0.272076909389423</v>
      </c>
    </row>
    <row r="1443" ht="15" customHeight="1" s="12">
      <c r="A1443" s="14" t="inlineStr">
        <is>
          <t>Sherani</t>
        </is>
      </c>
      <c r="B1443" s="14" t="inlineStr">
        <is>
          <t>Balochistan</t>
        </is>
      </c>
      <c r="C1443" s="14" t="n">
        <v>2015</v>
      </c>
      <c r="D1443" s="15" t="n">
        <v>145.611655642691</v>
      </c>
      <c r="E1443" s="15" t="n">
        <v>4219.88288313525</v>
      </c>
      <c r="F1443" s="15" t="n">
        <v>227.618052065373</v>
      </c>
      <c r="G1443" s="15" t="n">
        <v>81.2791512012482</v>
      </c>
      <c r="H1443" s="15" t="n">
        <v>41.2554602987671</v>
      </c>
      <c r="I1443" s="16" t="n">
        <v>28.3325260719525</v>
      </c>
      <c r="J1443" s="15" t="n">
        <v>18.7514208389716</v>
      </c>
      <c r="K1443" s="15" t="n">
        <v>3052.96191623592</v>
      </c>
      <c r="L1443" s="15" t="n">
        <v>160.497945579136</v>
      </c>
      <c r="M1443" s="15" t="n">
        <v>-14.886289936445</v>
      </c>
      <c r="N1443" s="17" t="n">
        <v>4.2173086951057</v>
      </c>
      <c r="O1443" s="18" t="n">
        <v>0.138138267388063</v>
      </c>
    </row>
    <row r="1444" ht="15" customHeight="1" s="12">
      <c r="A1444" s="14" t="inlineStr">
        <is>
          <t>Sherani</t>
        </is>
      </c>
      <c r="B1444" s="14" t="inlineStr">
        <is>
          <t>Balochistan</t>
        </is>
      </c>
      <c r="C1444" s="14" t="n">
        <v>2016</v>
      </c>
      <c r="D1444" s="15" t="n">
        <v>149.990257036113</v>
      </c>
      <c r="E1444" s="15" t="n">
        <v>4346.77646861521</v>
      </c>
      <c r="F1444" s="15" t="n">
        <v>231.044073820114</v>
      </c>
      <c r="G1444" s="15" t="n">
        <v>94.01842570304871</v>
      </c>
      <c r="H1444" s="15" t="n">
        <v>37.827236249239</v>
      </c>
      <c r="I1444" s="16" t="n">
        <v>25.2197956032113</v>
      </c>
      <c r="J1444" s="15" t="n">
        <v>12.9460081190798</v>
      </c>
      <c r="K1444" s="15" t="n">
        <v>3052.96191623592</v>
      </c>
      <c r="L1444" s="15" t="n">
        <v>160.497945579136</v>
      </c>
      <c r="M1444" s="15" t="n">
        <v>-10.5076885430228</v>
      </c>
      <c r="N1444" s="17" t="n">
        <v>1.01901025573946</v>
      </c>
      <c r="O1444" s="18" t="n">
        <v>0.0333777585079025</v>
      </c>
    </row>
    <row r="1445" ht="15" customHeight="1" s="12">
      <c r="A1445" s="14" t="inlineStr">
        <is>
          <t>Sherani</t>
        </is>
      </c>
      <c r="B1445" s="14" t="inlineStr">
        <is>
          <t>Balochistan</t>
        </is>
      </c>
      <c r="C1445" s="14" t="n">
        <v>2017</v>
      </c>
      <c r="D1445" s="15" t="n">
        <v>142.568779917479</v>
      </c>
      <c r="E1445" s="15" t="n">
        <v>4131.69915133399</v>
      </c>
      <c r="F1445" s="15" t="n">
        <v>204.387924790382</v>
      </c>
      <c r="G1445" s="15" t="n">
        <v>75.5180403590202</v>
      </c>
      <c r="H1445" s="15" t="n">
        <v>34.2893150379721</v>
      </c>
      <c r="I1445" s="16" t="n">
        <v>24.051068584454</v>
      </c>
      <c r="J1445" s="15" t="n">
        <v>18.9861975642761</v>
      </c>
      <c r="K1445" s="15" t="n">
        <v>3052.96191623592</v>
      </c>
      <c r="L1445" s="15" t="n">
        <v>160.497945579136</v>
      </c>
      <c r="M1445" s="15" t="n">
        <v>-17.9291656616575</v>
      </c>
      <c r="N1445" s="17" t="n">
        <v>0.151637389465332</v>
      </c>
      <c r="O1445" s="18" t="n">
        <v>0.00496689423667262</v>
      </c>
    </row>
    <row r="1446" ht="15" customHeight="1" s="12">
      <c r="A1446" s="14" t="inlineStr">
        <is>
          <t>Sherani</t>
        </is>
      </c>
      <c r="B1446" s="14" t="inlineStr">
        <is>
          <t>Balochistan</t>
        </is>
      </c>
      <c r="C1446" s="14" t="n">
        <v>2018</v>
      </c>
      <c r="D1446" s="15" t="n">
        <v>114.360891239127</v>
      </c>
      <c r="E1446" s="15" t="n">
        <v>3314.22347551824</v>
      </c>
      <c r="F1446" s="15" t="n">
        <v>178.625957429409</v>
      </c>
      <c r="G1446" s="15" t="n">
        <v>56.6578571125865</v>
      </c>
      <c r="H1446" s="15" t="n">
        <v>37.0482865641886</v>
      </c>
      <c r="I1446" s="16" t="n">
        <v>32.395940747542</v>
      </c>
      <c r="J1446" s="15" t="n">
        <v>17.779702300406</v>
      </c>
      <c r="K1446" s="15" t="n">
        <v>3052.96191623592</v>
      </c>
      <c r="L1446" s="15" t="n">
        <v>160.497945579136</v>
      </c>
      <c r="M1446" s="15" t="n">
        <v>-46.1370543400088</v>
      </c>
      <c r="N1446" s="17" t="n">
        <v>0.315058648254395</v>
      </c>
      <c r="O1446" s="18" t="n">
        <v>0.0103197700101952</v>
      </c>
    </row>
    <row r="1447" ht="15" customHeight="1" s="12">
      <c r="A1447" s="14" t="inlineStr">
        <is>
          <t>Sherani</t>
        </is>
      </c>
      <c r="B1447" s="14" t="inlineStr">
        <is>
          <t>Balochistan</t>
        </is>
      </c>
      <c r="C1447" s="14" t="n">
        <v>2019</v>
      </c>
      <c r="D1447" s="15" t="n">
        <v>160.040053514299</v>
      </c>
      <c r="E1447" s="15" t="n">
        <v>4638.0235116497</v>
      </c>
      <c r="F1447" s="15" t="n">
        <v>227.047855377197</v>
      </c>
      <c r="G1447" s="15" t="n">
        <v>93.84060573577879</v>
      </c>
      <c r="H1447" s="15" t="n">
        <v>36.2673808897473</v>
      </c>
      <c r="I1447" s="16" t="n">
        <v>22.6614401166186</v>
      </c>
      <c r="J1447" s="15" t="n">
        <v>18.4224627875508</v>
      </c>
      <c r="K1447" s="15" t="n">
        <v>3052.96191623592</v>
      </c>
      <c r="L1447" s="15" t="n">
        <v>160.497945579136</v>
      </c>
      <c r="M1447" s="15" t="n">
        <v>-0.457892064836813</v>
      </c>
      <c r="N1447" s="17" t="n">
        <v>3.21683954448649</v>
      </c>
      <c r="O1447" s="18" t="n">
        <v>0.105367824189979</v>
      </c>
    </row>
    <row r="1448" ht="15" customHeight="1" s="12">
      <c r="A1448" s="14" t="inlineStr">
        <is>
          <t>Sherani</t>
        </is>
      </c>
      <c r="B1448" s="14" t="inlineStr">
        <is>
          <t>Balochistan</t>
        </is>
      </c>
      <c r="C1448" s="14" t="n">
        <v>2020</v>
      </c>
      <c r="D1448" s="15" t="n">
        <v>114.011091014982</v>
      </c>
      <c r="E1448" s="15" t="n">
        <v>3304.08612784596</v>
      </c>
      <c r="F1448" s="15" t="n">
        <v>194.231844275259</v>
      </c>
      <c r="G1448" s="15" t="n">
        <v>61.5959051847458</v>
      </c>
      <c r="H1448" s="15" t="n">
        <v>37.5213652841884</v>
      </c>
      <c r="I1448" s="16" t="n">
        <v>32.9102764916596</v>
      </c>
      <c r="J1448" s="15" t="n">
        <v>20.279702300406</v>
      </c>
      <c r="K1448" s="15" t="n">
        <v>3052.96191623592</v>
      </c>
      <c r="L1448" s="15" t="n">
        <v>160.497945579136</v>
      </c>
      <c r="M1448" s="15" t="n">
        <v>-46.4868545641538</v>
      </c>
      <c r="N1448" s="17" t="n">
        <v>0.120170392846201</v>
      </c>
      <c r="O1448" s="18" t="n">
        <v>0.00393619036670992</v>
      </c>
    </row>
    <row r="1449" ht="15" customHeight="1" s="12">
      <c r="A1449" s="14" t="inlineStr">
        <is>
          <t>Sherani</t>
        </is>
      </c>
      <c r="B1449" s="14" t="inlineStr">
        <is>
          <t>Balochistan</t>
        </is>
      </c>
      <c r="C1449" s="14" t="n">
        <v>2021</v>
      </c>
      <c r="D1449" s="15" t="n">
        <v>144.028687463441</v>
      </c>
      <c r="E1449" s="15" t="n">
        <v>4174.00784452873</v>
      </c>
      <c r="F1449" s="15" t="n">
        <v>188.551813364029</v>
      </c>
      <c r="G1449" s="15" t="n">
        <v>89.80663156509399</v>
      </c>
      <c r="H1449" s="15" t="n">
        <v>26.9386336828633</v>
      </c>
      <c r="I1449" s="16" t="n">
        <v>18.7036583872926</v>
      </c>
      <c r="J1449" s="15" t="n">
        <v>15.0234100135318</v>
      </c>
      <c r="K1449" s="15" t="n">
        <v>3052.96191623592</v>
      </c>
      <c r="L1449" s="15" t="n">
        <v>160.497945579136</v>
      </c>
      <c r="M1449" s="15" t="n">
        <v>-16.4692581156955</v>
      </c>
      <c r="N1449" s="17" t="n">
        <v>0.935383397087547</v>
      </c>
      <c r="O1449" s="18" t="n">
        <v>0.0306385543859258</v>
      </c>
    </row>
    <row r="1450" ht="15" customHeight="1" s="12">
      <c r="A1450" s="14" t="inlineStr">
        <is>
          <t>Sherani</t>
        </is>
      </c>
      <c r="B1450" s="14" t="inlineStr">
        <is>
          <t>Balochistan</t>
        </is>
      </c>
      <c r="C1450" s="14" t="n">
        <v>2022</v>
      </c>
      <c r="D1450" s="15" t="n">
        <v>281.215918751405</v>
      </c>
      <c r="E1450" s="15" t="n">
        <v>8149.74760616816</v>
      </c>
      <c r="F1450" s="15" t="n">
        <v>438.493947767687</v>
      </c>
      <c r="G1450" s="15" t="n">
        <v>150.903274655342</v>
      </c>
      <c r="H1450" s="15" t="n">
        <v>70.7450645975098</v>
      </c>
      <c r="I1450" s="16" t="n">
        <v>25.1568491967372</v>
      </c>
      <c r="J1450" s="15" t="n">
        <v>25.4981055480379</v>
      </c>
      <c r="K1450" s="15" t="n">
        <v>3052.96191623592</v>
      </c>
      <c r="L1450" s="15" t="n">
        <v>160.497945579136</v>
      </c>
      <c r="M1450" s="15" t="n">
        <v>120.717973172269</v>
      </c>
      <c r="N1450" s="17" t="n">
        <v>4.12681638352123</v>
      </c>
      <c r="O1450" s="18" t="n">
        <v>0.135174184832587</v>
      </c>
    </row>
    <row r="1451" ht="15" customHeight="1" s="12">
      <c r="A1451" s="14" t="inlineStr">
        <is>
          <t>Sherani</t>
        </is>
      </c>
      <c r="B1451" s="14" t="inlineStr">
        <is>
          <t>Balochistan</t>
        </is>
      </c>
      <c r="C1451" s="14" t="n">
        <v>2023</v>
      </c>
      <c r="D1451" s="15" t="n">
        <v>165.823110753798</v>
      </c>
      <c r="E1451" s="15" t="n">
        <v>4805.61877831595</v>
      </c>
      <c r="F1451" s="15" t="n">
        <v>222.287981450558</v>
      </c>
      <c r="G1451" s="15" t="n">
        <v>99.6540870666504</v>
      </c>
      <c r="H1451" s="15" t="n">
        <v>39.7535812818974</v>
      </c>
      <c r="I1451" s="16" t="n">
        <v>23.9734866275188</v>
      </c>
      <c r="J1451" s="15" t="n">
        <v>16.5247631935047</v>
      </c>
      <c r="K1451" s="15" t="n">
        <v>3052.96191623592</v>
      </c>
      <c r="L1451" s="15" t="n">
        <v>160.497945579136</v>
      </c>
      <c r="M1451" s="15" t="n">
        <v>5.32516517466175</v>
      </c>
      <c r="N1451" s="17" t="n">
        <v>0.595936765747071</v>
      </c>
      <c r="O1451" s="18" t="n">
        <v>0.0195199541329954</v>
      </c>
    </row>
    <row r="1452" ht="15" customHeight="1" s="12">
      <c r="A1452" s="14" t="inlineStr">
        <is>
          <t>Sherani</t>
        </is>
      </c>
      <c r="B1452" s="14" t="inlineStr">
        <is>
          <t>Balochistan</t>
        </is>
      </c>
      <c r="C1452" s="14" t="n">
        <v>2024</v>
      </c>
      <c r="D1452" s="15" t="n">
        <v>168.602772726559</v>
      </c>
      <c r="E1452" s="15" t="n">
        <v>4886.17447235007</v>
      </c>
      <c r="F1452" s="15" t="n">
        <v>250.421588335114</v>
      </c>
      <c r="G1452" s="15" t="n">
        <v>98.3758426621644</v>
      </c>
      <c r="H1452" s="15" t="n">
        <v>42.1758005526821</v>
      </c>
      <c r="I1452" s="16" t="n">
        <v>25.0148914342489</v>
      </c>
      <c r="J1452" s="15" t="n">
        <v>20.3514208389716</v>
      </c>
      <c r="K1452" s="15" t="n">
        <v>3052.96191623592</v>
      </c>
      <c r="L1452" s="15" t="n">
        <v>160.497945579136</v>
      </c>
      <c r="M1452" s="15" t="n">
        <v>8.10482714742253</v>
      </c>
      <c r="N1452" s="17" t="n">
        <v>0.180624502197266</v>
      </c>
      <c r="O1452" s="18" t="n">
        <v>0.0059163693211071</v>
      </c>
    </row>
    <row r="1453" ht="15" customHeight="1" s="12">
      <c r="A1453" s="14" t="inlineStr">
        <is>
          <t>Sherani</t>
        </is>
      </c>
      <c r="B1453" s="14" t="inlineStr">
        <is>
          <t>Balochistan</t>
        </is>
      </c>
      <c r="C1453" s="14" t="n">
        <v>2025</v>
      </c>
      <c r="D1453" s="15" t="n">
        <v>179.224183310604</v>
      </c>
      <c r="E1453" s="15" t="n">
        <v>5193.98711633475</v>
      </c>
      <c r="F1453" s="15" t="n">
        <v>293.966951295734</v>
      </c>
      <c r="G1453" s="15" t="n">
        <v>85.07544106245039</v>
      </c>
      <c r="H1453" s="15" t="n">
        <v>58.8494580726804</v>
      </c>
      <c r="I1453" s="16" t="n">
        <v>32.8356681479148</v>
      </c>
      <c r="J1453" s="15" t="n">
        <v>23.01150202977</v>
      </c>
      <c r="K1453" s="15" t="n">
        <v>3052.96191623592</v>
      </c>
      <c r="L1453" s="15" t="n">
        <v>160.497945579136</v>
      </c>
      <c r="M1453" s="15" t="n">
        <v>18.7262377314676</v>
      </c>
      <c r="N1453" s="17" t="n">
        <v>0.429346790405274</v>
      </c>
      <c r="O1453" s="18" t="n">
        <v>0.0140632868075415</v>
      </c>
    </row>
    <row r="1454" ht="15" customHeight="1" s="12">
      <c r="A1454" s="14" t="inlineStr">
        <is>
          <t>Shigar</t>
        </is>
      </c>
      <c r="B1454" s="14" t="inlineStr">
        <is>
          <t>Gilgit Baltistan</t>
        </is>
      </c>
      <c r="C1454" s="14" t="n">
        <v>2015</v>
      </c>
      <c r="D1454" s="15" t="n">
        <v>113.012392070631</v>
      </c>
      <c r="E1454" s="15" t="n">
        <v>9583.0076617382</v>
      </c>
      <c r="F1454" s="15" t="n">
        <v>346.395730614662</v>
      </c>
      <c r="G1454" s="15" t="n">
        <v>14.6463515777141</v>
      </c>
      <c r="H1454" s="15" t="n">
        <v>63.4668934219476</v>
      </c>
      <c r="I1454" s="16" t="n">
        <v>56.1592337433952</v>
      </c>
      <c r="J1454" s="15" t="n">
        <v>10.7875872913102</v>
      </c>
      <c r="K1454" s="15" t="n">
        <v>8512.494851934311</v>
      </c>
      <c r="L1454" s="15" t="n">
        <v>91.0514062562212</v>
      </c>
      <c r="M1454" s="15" t="n">
        <v>21.9609858144093</v>
      </c>
      <c r="N1454" s="17" t="n">
        <v>8.941395205935001</v>
      </c>
      <c r="O1454" s="18" t="n">
        <v>0.105038480039765</v>
      </c>
    </row>
    <row r="1455" ht="15" customHeight="1" s="12">
      <c r="A1455" s="14" t="inlineStr">
        <is>
          <t>Shigar</t>
        </is>
      </c>
      <c r="B1455" s="14" t="inlineStr">
        <is>
          <t>Gilgit Baltistan</t>
        </is>
      </c>
      <c r="C1455" s="14" t="n">
        <v>2016</v>
      </c>
      <c r="D1455" s="15" t="n">
        <v>76.10087918472141</v>
      </c>
      <c r="E1455" s="15" t="n">
        <v>6453.05612004404</v>
      </c>
      <c r="F1455" s="15" t="n">
        <v>279.011183619499</v>
      </c>
      <c r="G1455" s="15" t="n">
        <v>7.62117932923138</v>
      </c>
      <c r="H1455" s="15" t="n">
        <v>49.1658240791801</v>
      </c>
      <c r="I1455" s="16" t="n">
        <v>64.6061183601293</v>
      </c>
      <c r="J1455" s="15" t="n">
        <v>15.4459603200296</v>
      </c>
      <c r="K1455" s="15" t="n">
        <v>8512.494851934311</v>
      </c>
      <c r="L1455" s="15" t="n">
        <v>91.0514062562212</v>
      </c>
      <c r="M1455" s="15" t="n">
        <v>-14.9505270714998</v>
      </c>
      <c r="N1455" s="17" t="n">
        <v>6.42304753535156</v>
      </c>
      <c r="O1455" s="18" t="n">
        <v>0.07545434854380011</v>
      </c>
    </row>
    <row r="1456" ht="15" customHeight="1" s="12">
      <c r="A1456" s="14" t="inlineStr">
        <is>
          <t>Shigar</t>
        </is>
      </c>
      <c r="B1456" s="14" t="inlineStr">
        <is>
          <t>Gilgit Baltistan</t>
        </is>
      </c>
      <c r="C1456" s="14" t="n">
        <v>2017</v>
      </c>
      <c r="D1456" s="15" t="n">
        <v>81.79655807297441</v>
      </c>
      <c r="E1456" s="15" t="n">
        <v>6936.02735377225</v>
      </c>
      <c r="F1456" s="15" t="n">
        <v>278.593265771866</v>
      </c>
      <c r="G1456" s="15" t="n">
        <v>9.81175206229091</v>
      </c>
      <c r="H1456" s="15" t="n">
        <v>50.8471651582123</v>
      </c>
      <c r="I1456" s="16" t="n">
        <v>62.1629642568202</v>
      </c>
      <c r="J1456" s="15" t="n">
        <v>14.8487258937243</v>
      </c>
      <c r="K1456" s="15" t="n">
        <v>8512.494851934311</v>
      </c>
      <c r="L1456" s="15" t="n">
        <v>91.0514062562212</v>
      </c>
      <c r="M1456" s="15" t="n">
        <v>-9.254848183246841</v>
      </c>
      <c r="N1456" s="17" t="n">
        <v>6.24161912195086</v>
      </c>
      <c r="O1456" s="18" t="n">
        <v>0.0733230296231259</v>
      </c>
    </row>
    <row r="1457" ht="15" customHeight="1" s="12">
      <c r="A1457" s="14" t="inlineStr">
        <is>
          <t>Shigar</t>
        </is>
      </c>
      <c r="B1457" s="14" t="inlineStr">
        <is>
          <t>Gilgit Baltistan</t>
        </is>
      </c>
      <c r="C1457" s="14" t="n">
        <v>2018</v>
      </c>
      <c r="D1457" s="15" t="n">
        <v>79.6877327558916</v>
      </c>
      <c r="E1457" s="15" t="n">
        <v>6757.20723678684</v>
      </c>
      <c r="F1457" s="15" t="n">
        <v>266.576078534126</v>
      </c>
      <c r="G1457" s="15" t="n">
        <v>9.241640985012049</v>
      </c>
      <c r="H1457" s="15" t="n">
        <v>49.4163922476441</v>
      </c>
      <c r="I1457" s="16" t="n">
        <v>62.0125463965977</v>
      </c>
      <c r="J1457" s="15" t="n">
        <v>15.4862415021043</v>
      </c>
      <c r="K1457" s="15" t="n">
        <v>8512.494851934311</v>
      </c>
      <c r="L1457" s="15" t="n">
        <v>91.0514062562212</v>
      </c>
      <c r="M1457" s="15" t="n">
        <v>-11.3636735003296</v>
      </c>
      <c r="N1457" s="17" t="n">
        <v>11.9666402210696</v>
      </c>
      <c r="O1457" s="18" t="n">
        <v>0.140577356335791</v>
      </c>
    </row>
    <row r="1458" ht="15" customHeight="1" s="12">
      <c r="A1458" s="14" t="inlineStr">
        <is>
          <t>Shigar</t>
        </is>
      </c>
      <c r="B1458" s="14" t="inlineStr">
        <is>
          <t>Gilgit Baltistan</t>
        </is>
      </c>
      <c r="C1458" s="14" t="n">
        <v>2019</v>
      </c>
      <c r="D1458" s="15" t="n">
        <v>95.95636549914219</v>
      </c>
      <c r="E1458" s="15" t="n">
        <v>8136.72349485471</v>
      </c>
      <c r="F1458" s="15" t="n">
        <v>363.799659729004</v>
      </c>
      <c r="G1458" s="15" t="n">
        <v>18.0347112566233</v>
      </c>
      <c r="H1458" s="15" t="n">
        <v>56.7136831450827</v>
      </c>
      <c r="I1458" s="16" t="n">
        <v>59.1036174099255</v>
      </c>
      <c r="J1458" s="15" t="n">
        <v>17.7302871941914</v>
      </c>
      <c r="K1458" s="15" t="n">
        <v>8512.494851934311</v>
      </c>
      <c r="L1458" s="15" t="n">
        <v>91.0514062562212</v>
      </c>
      <c r="M1458" s="15" t="n">
        <v>4.90495924292097</v>
      </c>
      <c r="N1458" s="17" t="n">
        <v>8.590539273917621</v>
      </c>
      <c r="O1458" s="18" t="n">
        <v>0.100916821958084</v>
      </c>
    </row>
    <row r="1459" ht="15" customHeight="1" s="12">
      <c r="A1459" s="14" t="inlineStr">
        <is>
          <t>Shigar</t>
        </is>
      </c>
      <c r="B1459" s="14" t="inlineStr">
        <is>
          <t>Gilgit Baltistan</t>
        </is>
      </c>
      <c r="C1459" s="14" t="n">
        <v>2020</v>
      </c>
      <c r="D1459" s="15" t="n">
        <v>79.7793295257987</v>
      </c>
      <c r="E1459" s="15" t="n">
        <v>6764.97428367194</v>
      </c>
      <c r="F1459" s="15" t="n">
        <v>284.264470219612</v>
      </c>
      <c r="G1459" s="15" t="n">
        <v>10.6808801777661</v>
      </c>
      <c r="H1459" s="15" t="n">
        <v>49.3461389997165</v>
      </c>
      <c r="I1459" s="16" t="n">
        <v>61.8532886814487</v>
      </c>
      <c r="J1459" s="15" t="n">
        <v>17.6376081024835</v>
      </c>
      <c r="K1459" s="15" t="n">
        <v>8512.494851934311</v>
      </c>
      <c r="L1459" s="15" t="n">
        <v>91.0514062562212</v>
      </c>
      <c r="M1459" s="15" t="n">
        <v>-11.2720767304225</v>
      </c>
      <c r="N1459" s="17" t="n">
        <v>7.75333248838297</v>
      </c>
      <c r="O1459" s="18" t="n">
        <v>0.09108178769260759</v>
      </c>
    </row>
    <row r="1460" ht="15" customHeight="1" s="12">
      <c r="A1460" s="14" t="inlineStr">
        <is>
          <t>Shigar</t>
        </is>
      </c>
      <c r="B1460" s="14" t="inlineStr">
        <is>
          <t>Gilgit Baltistan</t>
        </is>
      </c>
      <c r="C1460" s="14" t="n">
        <v>2021</v>
      </c>
      <c r="D1460" s="15" t="n">
        <v>90.8583374868405</v>
      </c>
      <c r="E1460" s="15" t="n">
        <v>7704.43071167824</v>
      </c>
      <c r="F1460" s="15" t="n">
        <v>293.691861689091</v>
      </c>
      <c r="G1460" s="15" t="n">
        <v>8.17700629681349</v>
      </c>
      <c r="H1460" s="15" t="n">
        <v>56.7618934768039</v>
      </c>
      <c r="I1460" s="16" t="n">
        <v>62.472960706578</v>
      </c>
      <c r="J1460" s="15" t="n">
        <v>13.8614438329557</v>
      </c>
      <c r="K1460" s="15" t="n">
        <v>8512.494851934311</v>
      </c>
      <c r="L1460" s="15" t="n">
        <v>91.0514062562212</v>
      </c>
      <c r="M1460" s="15" t="n">
        <v>-0.193068769380687</v>
      </c>
      <c r="N1460" s="17" t="n">
        <v>0.102382565002441</v>
      </c>
      <c r="O1460" s="18" t="n">
        <v>0.00120273276851588</v>
      </c>
    </row>
    <row r="1461" ht="15" customHeight="1" s="12">
      <c r="A1461" s="14" t="inlineStr">
        <is>
          <t>Shigar</t>
        </is>
      </c>
      <c r="B1461" s="14" t="inlineStr">
        <is>
          <t>Gilgit Baltistan</t>
        </is>
      </c>
      <c r="C1461" s="14" t="n">
        <v>2022</v>
      </c>
      <c r="D1461" s="15" t="n">
        <v>85.8444354706664</v>
      </c>
      <c r="E1461" s="15" t="n">
        <v>7279.27148306752</v>
      </c>
      <c r="F1461" s="15" t="n">
        <v>298.024349451065</v>
      </c>
      <c r="G1461" s="15" t="n">
        <v>13.5722598118009</v>
      </c>
      <c r="H1461" s="15" t="n">
        <v>51.0479355904125</v>
      </c>
      <c r="I1461" s="16" t="n">
        <v>59.465631418656</v>
      </c>
      <c r="J1461" s="15" t="n">
        <v>17.7707071174213</v>
      </c>
      <c r="K1461" s="15" t="n">
        <v>8512.494851934311</v>
      </c>
      <c r="L1461" s="15" t="n">
        <v>91.0514062562212</v>
      </c>
      <c r="M1461" s="15" t="n">
        <v>-5.20697078555486</v>
      </c>
      <c r="N1461" s="17" t="n">
        <v>0.132136911621094</v>
      </c>
      <c r="O1461" s="18" t="n">
        <v>0.00155227009142999</v>
      </c>
    </row>
    <row r="1462" ht="15" customHeight="1" s="12">
      <c r="A1462" s="14" t="inlineStr">
        <is>
          <t>Shigar</t>
        </is>
      </c>
      <c r="B1462" s="14" t="inlineStr">
        <is>
          <t>Gilgit Baltistan</t>
        </is>
      </c>
      <c r="C1462" s="14" t="n">
        <v>2023</v>
      </c>
      <c r="D1462" s="15" t="n">
        <v>88.69740092075151</v>
      </c>
      <c r="E1462" s="15" t="n">
        <v>7521.19176513494</v>
      </c>
      <c r="F1462" s="15" t="n">
        <v>295.60040640831</v>
      </c>
      <c r="G1462" s="15" t="n">
        <v>15.6535716438666</v>
      </c>
      <c r="H1462" s="15" t="n">
        <v>51.4170561177291</v>
      </c>
      <c r="I1462" s="16" t="n">
        <v>57.9690673954119</v>
      </c>
      <c r="J1462" s="15" t="n">
        <v>16.1268556629515</v>
      </c>
      <c r="K1462" s="15" t="n">
        <v>8512.494851934311</v>
      </c>
      <c r="L1462" s="15" t="n">
        <v>91.0514062562212</v>
      </c>
      <c r="M1462" s="15" t="n">
        <v>-2.35400533546972</v>
      </c>
      <c r="N1462" s="17" t="n">
        <v>8.66629179480268</v>
      </c>
      <c r="O1462" s="18" t="n">
        <v>0.101806719951595</v>
      </c>
    </row>
    <row r="1463" ht="15" customHeight="1" s="12">
      <c r="A1463" s="14" t="inlineStr">
        <is>
          <t>Shigar</t>
        </is>
      </c>
      <c r="B1463" s="14" t="inlineStr">
        <is>
          <t>Gilgit Baltistan</t>
        </is>
      </c>
      <c r="C1463" s="14" t="n">
        <v>2024</v>
      </c>
      <c r="D1463" s="15" t="n">
        <v>85.55105120180291</v>
      </c>
      <c r="E1463" s="15" t="n">
        <v>7254.39364759444</v>
      </c>
      <c r="F1463" s="15" t="n">
        <v>297.091920200735</v>
      </c>
      <c r="G1463" s="15" t="n">
        <v>10.6896269560275</v>
      </c>
      <c r="H1463" s="15" t="n">
        <v>51.701404624699</v>
      </c>
      <c r="I1463" s="16" t="n">
        <v>60.4333949126383</v>
      </c>
      <c r="J1463" s="15" t="n">
        <v>15.3394071127966</v>
      </c>
      <c r="K1463" s="15" t="n">
        <v>8512.494851934311</v>
      </c>
      <c r="L1463" s="15" t="n">
        <v>91.0514062562212</v>
      </c>
      <c r="M1463" s="15" t="n">
        <v>-5.50035505441832</v>
      </c>
      <c r="N1463" s="17" t="n">
        <v>9.571402397192371</v>
      </c>
      <c r="O1463" s="18" t="n">
        <v>0.112439450051678</v>
      </c>
    </row>
    <row r="1464" ht="15" customHeight="1" s="12">
      <c r="A1464" s="14" t="inlineStr">
        <is>
          <t>Shigar</t>
        </is>
      </c>
      <c r="B1464" s="14" t="inlineStr">
        <is>
          <t>Gilgit Baltistan</t>
        </is>
      </c>
      <c r="C1464" s="14" t="n">
        <v>2025</v>
      </c>
      <c r="D1464" s="15" t="n">
        <v>124.280986629213</v>
      </c>
      <c r="E1464" s="15" t="n">
        <v>10538.5402897391</v>
      </c>
      <c r="F1464" s="15" t="n">
        <v>403.055232875049</v>
      </c>
      <c r="G1464" s="15" t="n">
        <v>9.280097725350061</v>
      </c>
      <c r="H1464" s="15" t="n">
        <v>81.749858637515</v>
      </c>
      <c r="I1464" s="16" t="n">
        <v>65.7782504426135</v>
      </c>
      <c r="J1464" s="15" t="n">
        <v>15.2941312491329</v>
      </c>
      <c r="K1464" s="15" t="n">
        <v>8512.494851934311</v>
      </c>
      <c r="L1464" s="15" t="n">
        <v>91.0514062562212</v>
      </c>
      <c r="M1464" s="15" t="n">
        <v>33.2295803729922</v>
      </c>
      <c r="N1464" s="17" t="n">
        <v>8.54374580815359</v>
      </c>
      <c r="O1464" s="18" t="n">
        <v>0.100367118650441</v>
      </c>
    </row>
    <row r="1465" ht="15" customHeight="1" s="12">
      <c r="A1465" s="14" t="inlineStr">
        <is>
          <t>Shikarpur</t>
        </is>
      </c>
      <c r="B1465" s="14" t="inlineStr">
        <is>
          <t>Sindh</t>
        </is>
      </c>
      <c r="C1465" s="14" t="n">
        <v>2015</v>
      </c>
      <c r="D1465" s="15" t="n">
        <v>45.20684238259</v>
      </c>
      <c r="E1465" s="15" t="n">
        <v>1058.19467522227</v>
      </c>
      <c r="F1465" s="15" t="n">
        <v>74.5573902130127</v>
      </c>
      <c r="G1465" s="15" t="n">
        <v>35.8815281391144</v>
      </c>
      <c r="H1465" s="15" t="n">
        <v>9.617150327320481</v>
      </c>
      <c r="I1465" s="16" t="n">
        <v>21.2736608452534</v>
      </c>
      <c r="J1465" s="15" t="n">
        <v>8.16904004020774</v>
      </c>
      <c r="K1465" s="15" t="n">
        <v>2555.75483768307</v>
      </c>
      <c r="L1465" s="15" t="n">
        <v>77.4861350902014</v>
      </c>
      <c r="M1465" s="15" t="n">
        <v>-32.2792927076114</v>
      </c>
      <c r="N1465" s="17" t="n">
        <v>65.6703026557402</v>
      </c>
      <c r="O1465" s="18" t="n">
        <v>2.56950712515422</v>
      </c>
    </row>
    <row r="1466" ht="15" customHeight="1" s="12">
      <c r="A1466" s="14" t="inlineStr">
        <is>
          <t>Shikarpur</t>
        </is>
      </c>
      <c r="B1466" s="14" t="inlineStr">
        <is>
          <t>Sindh</t>
        </is>
      </c>
      <c r="C1466" s="14" t="n">
        <v>2016</v>
      </c>
      <c r="D1466" s="15" t="n">
        <v>83.92857764916199</v>
      </c>
      <c r="E1466" s="15" t="n">
        <v>1964.5869803445</v>
      </c>
      <c r="F1466" s="15" t="n">
        <v>112.328849315643</v>
      </c>
      <c r="G1466" s="15" t="n">
        <v>63.4464918375015</v>
      </c>
      <c r="H1466" s="15" t="n">
        <v>11.7852806572433</v>
      </c>
      <c r="I1466" s="16" t="n">
        <v>14.0420354870162</v>
      </c>
      <c r="J1466" s="15" t="n">
        <v>14.3563410956609</v>
      </c>
      <c r="K1466" s="15" t="n">
        <v>2555.75483768307</v>
      </c>
      <c r="L1466" s="15" t="n">
        <v>77.4861350902014</v>
      </c>
      <c r="M1466" s="15" t="n">
        <v>6.44244255896058</v>
      </c>
      <c r="N1466" s="17" t="n">
        <v>49.8263736295287</v>
      </c>
      <c r="O1466" s="18" t="n">
        <v>1.94957563592833</v>
      </c>
    </row>
    <row r="1467" ht="15" customHeight="1" s="12">
      <c r="A1467" s="14" t="inlineStr">
        <is>
          <t>Shikarpur</t>
        </is>
      </c>
      <c r="B1467" s="14" t="inlineStr">
        <is>
          <t>Sindh</t>
        </is>
      </c>
      <c r="C1467" s="14" t="n">
        <v>2017</v>
      </c>
      <c r="D1467" s="15" t="n">
        <v>71.4690566116775</v>
      </c>
      <c r="E1467" s="15" t="n">
        <v>1672.93646633374</v>
      </c>
      <c r="F1467" s="15" t="n">
        <v>103.206311941147</v>
      </c>
      <c r="G1467" s="15" t="n">
        <v>62.3296286314726</v>
      </c>
      <c r="H1467" s="15" t="n">
        <v>10.5360109953346</v>
      </c>
      <c r="I1467" s="16" t="n">
        <v>14.7420597036579</v>
      </c>
      <c r="J1467" s="15" t="n">
        <v>15.3023957111744</v>
      </c>
      <c r="K1467" s="15" t="n">
        <v>2555.75483768307</v>
      </c>
      <c r="L1467" s="15" t="n">
        <v>77.4861350902014</v>
      </c>
      <c r="M1467" s="15" t="n">
        <v>-6.01707847852389</v>
      </c>
      <c r="N1467" s="17" t="n">
        <v>55.8270765426461</v>
      </c>
      <c r="O1467" s="18" t="n">
        <v>2.18436744086363</v>
      </c>
    </row>
    <row r="1468" ht="15" customHeight="1" s="12">
      <c r="A1468" s="14" t="inlineStr">
        <is>
          <t>Shikarpur</t>
        </is>
      </c>
      <c r="B1468" s="14" t="inlineStr">
        <is>
          <t>Sindh</t>
        </is>
      </c>
      <c r="C1468" s="14" t="n">
        <v>2018</v>
      </c>
      <c r="D1468" s="15" t="n">
        <v>24.4839463529434</v>
      </c>
      <c r="E1468" s="15" t="n">
        <v>573.116375610663</v>
      </c>
      <c r="F1468" s="15" t="n">
        <v>36.2472289185971</v>
      </c>
      <c r="G1468" s="15" t="n">
        <v>18.7013093234491</v>
      </c>
      <c r="H1468" s="15" t="n">
        <v>3.30899737791304</v>
      </c>
      <c r="I1468" s="16" t="n">
        <v>13.5149674411668</v>
      </c>
      <c r="J1468" s="15" t="n">
        <v>5.41665270564584</v>
      </c>
      <c r="K1468" s="15" t="n">
        <v>2555.75483768307</v>
      </c>
      <c r="L1468" s="15" t="n">
        <v>77.4861350902014</v>
      </c>
      <c r="M1468" s="15" t="n">
        <v>-53.002188737258</v>
      </c>
      <c r="N1468" s="17" t="n">
        <v>50.0196230307155</v>
      </c>
      <c r="O1468" s="18" t="n">
        <v>1.95713697938496</v>
      </c>
    </row>
    <row r="1469" ht="15" customHeight="1" s="12">
      <c r="A1469" s="14" t="inlineStr">
        <is>
          <t>Shikarpur</t>
        </is>
      </c>
      <c r="B1469" s="14" t="inlineStr">
        <is>
          <t>Sindh</t>
        </is>
      </c>
      <c r="C1469" s="14" t="n">
        <v>2019</v>
      </c>
      <c r="D1469" s="15" t="n">
        <v>56.3386829972784</v>
      </c>
      <c r="E1469" s="15" t="n">
        <v>1318.76705415982</v>
      </c>
      <c r="F1469" s="15" t="n">
        <v>76.1752336919308</v>
      </c>
      <c r="G1469" s="15" t="n">
        <v>50.3878391757608</v>
      </c>
      <c r="H1469" s="15" t="n">
        <v>6.1032004922699</v>
      </c>
      <c r="I1469" s="16" t="n">
        <v>10.8330549589964</v>
      </c>
      <c r="J1469" s="15" t="n">
        <v>14.5049422013738</v>
      </c>
      <c r="K1469" s="15" t="n">
        <v>2555.75483768307</v>
      </c>
      <c r="L1469" s="15" t="n">
        <v>77.4861350902014</v>
      </c>
      <c r="M1469" s="15" t="n">
        <v>-21.147452092923</v>
      </c>
      <c r="N1469" s="17" t="n">
        <v>62.7997366792846</v>
      </c>
      <c r="O1469" s="18" t="n">
        <v>2.45718938895626</v>
      </c>
    </row>
    <row r="1470" ht="15" customHeight="1" s="12">
      <c r="A1470" s="14" t="inlineStr">
        <is>
          <t>Shikarpur</t>
        </is>
      </c>
      <c r="B1470" s="14" t="inlineStr">
        <is>
          <t>Sindh</t>
        </is>
      </c>
      <c r="C1470" s="14" t="n">
        <v>2020</v>
      </c>
      <c r="D1470" s="15" t="n">
        <v>75.17558883566031</v>
      </c>
      <c r="E1470" s="15" t="n">
        <v>1759.69839121591</v>
      </c>
      <c r="F1470" s="15" t="n">
        <v>93.4045122332173</v>
      </c>
      <c r="G1470" s="15" t="n">
        <v>61.9353985946132</v>
      </c>
      <c r="H1470" s="15" t="n">
        <v>8.384217254799831</v>
      </c>
      <c r="I1470" s="16" t="n">
        <v>11.1528454710589</v>
      </c>
      <c r="J1470" s="15" t="n">
        <v>16.8384989110404</v>
      </c>
      <c r="K1470" s="15" t="n">
        <v>2555.75483768307</v>
      </c>
      <c r="L1470" s="15" t="n">
        <v>77.4861350902014</v>
      </c>
      <c r="M1470" s="15" t="n">
        <v>-2.31054625454112</v>
      </c>
      <c r="N1470" s="17" t="n">
        <v>78.7312220467348</v>
      </c>
      <c r="O1470" s="18" t="n">
        <v>3.0805467287351</v>
      </c>
    </row>
    <row r="1471" ht="15" customHeight="1" s="12">
      <c r="A1471" s="14" t="inlineStr">
        <is>
          <t>Shikarpur</t>
        </is>
      </c>
      <c r="B1471" s="14" t="inlineStr">
        <is>
          <t>Sindh</t>
        </is>
      </c>
      <c r="C1471" s="14" t="n">
        <v>2021</v>
      </c>
      <c r="D1471" s="15" t="n">
        <v>44.7756990371966</v>
      </c>
      <c r="E1471" s="15" t="n">
        <v>1048.10253942363</v>
      </c>
      <c r="F1471" s="15" t="n">
        <v>62.0610297322273</v>
      </c>
      <c r="G1471" s="15" t="n">
        <v>32.4452471733093</v>
      </c>
      <c r="H1471" s="15" t="n">
        <v>7.65192157874735</v>
      </c>
      <c r="I1471" s="16" t="n">
        <v>17.089451964537</v>
      </c>
      <c r="J1471" s="15" t="n">
        <v>8.447478639638129</v>
      </c>
      <c r="K1471" s="15" t="n">
        <v>2555.75483768307</v>
      </c>
      <c r="L1471" s="15" t="n">
        <v>77.4861350902014</v>
      </c>
      <c r="M1471" s="15" t="n">
        <v>-32.7104360530048</v>
      </c>
      <c r="N1471" s="17" t="n">
        <v>62.0409607838498</v>
      </c>
      <c r="O1471" s="18" t="n">
        <v>2.42750047340587</v>
      </c>
    </row>
    <row r="1472" ht="15" customHeight="1" s="12">
      <c r="A1472" s="14" t="inlineStr">
        <is>
          <t>Shikarpur</t>
        </is>
      </c>
      <c r="B1472" s="14" t="inlineStr">
        <is>
          <t>Sindh</t>
        </is>
      </c>
      <c r="C1472" s="14" t="n">
        <v>2022</v>
      </c>
      <c r="D1472" s="15" t="n">
        <v>211.630760675284</v>
      </c>
      <c r="E1472" s="15" t="n">
        <v>4953.81964890497</v>
      </c>
      <c r="F1472" s="15" t="n">
        <v>253.476596266031</v>
      </c>
      <c r="G1472" s="15" t="n">
        <v>198.954227281267</v>
      </c>
      <c r="H1472" s="15" t="n">
        <v>14.1898121922618</v>
      </c>
      <c r="I1472" s="16" t="n">
        <v>6.70498567740538</v>
      </c>
      <c r="J1472" s="15" t="n">
        <v>35.3541631764115</v>
      </c>
      <c r="K1472" s="15" t="n">
        <v>2555.75483768307</v>
      </c>
      <c r="L1472" s="15" t="n">
        <v>77.4861350902014</v>
      </c>
      <c r="M1472" s="15" t="n">
        <v>134.144625585082</v>
      </c>
      <c r="N1472" s="17" t="n">
        <v>94.9414309311334</v>
      </c>
      <c r="O1472" s="18" t="n">
        <v>3.71480979048847</v>
      </c>
    </row>
    <row r="1473" ht="15" customHeight="1" s="12">
      <c r="A1473" s="14" t="inlineStr">
        <is>
          <t>Shikarpur</t>
        </is>
      </c>
      <c r="B1473" s="14" t="inlineStr">
        <is>
          <t>Sindh</t>
        </is>
      </c>
      <c r="C1473" s="14" t="n">
        <v>2023</v>
      </c>
      <c r="D1473" s="15" t="n">
        <v>72.868184563255</v>
      </c>
      <c r="E1473" s="15" t="n">
        <v>1705.68703395321</v>
      </c>
      <c r="F1473" s="15" t="n">
        <v>104.106604278088</v>
      </c>
      <c r="G1473" s="15" t="n">
        <v>56.7157771587372</v>
      </c>
      <c r="H1473" s="15" t="n">
        <v>13.0638382950859</v>
      </c>
      <c r="I1473" s="16" t="n">
        <v>17.9280413988433</v>
      </c>
      <c r="J1473" s="15" t="n">
        <v>12.3938683196515</v>
      </c>
      <c r="K1473" s="15" t="n">
        <v>2555.75483768307</v>
      </c>
      <c r="L1473" s="15" t="n">
        <v>77.4861350902014</v>
      </c>
      <c r="M1473" s="15" t="n">
        <v>-4.61795052694644</v>
      </c>
      <c r="N1473" s="17" t="n">
        <v>61.9381067665506</v>
      </c>
      <c r="O1473" s="18" t="n">
        <v>2.42347606481304</v>
      </c>
    </row>
    <row r="1474" ht="15" customHeight="1" s="12">
      <c r="A1474" s="14" t="inlineStr">
        <is>
          <t>Shikarpur</t>
        </is>
      </c>
      <c r="B1474" s="14" t="inlineStr">
        <is>
          <t>Sindh</t>
        </is>
      </c>
      <c r="C1474" s="14" t="n">
        <v>2024</v>
      </c>
      <c r="D1474" s="15" t="n">
        <v>101.711547210863</v>
      </c>
      <c r="E1474" s="15" t="n">
        <v>2380.84794235939</v>
      </c>
      <c r="F1474" s="15" t="n">
        <v>126.762536369264</v>
      </c>
      <c r="G1474" s="15" t="n">
        <v>87.4485739096999</v>
      </c>
      <c r="H1474" s="15" t="n">
        <v>8.4651094361407</v>
      </c>
      <c r="I1474" s="16" t="n">
        <v>8.3226631275122</v>
      </c>
      <c r="J1474" s="15" t="n">
        <v>22.3390852739152</v>
      </c>
      <c r="K1474" s="15" t="n">
        <v>2555.75483768307</v>
      </c>
      <c r="L1474" s="15" t="n">
        <v>77.4861350902014</v>
      </c>
      <c r="M1474" s="15" t="n">
        <v>24.225412120662</v>
      </c>
      <c r="N1474" s="17" t="n">
        <v>68.50710185679679</v>
      </c>
      <c r="O1474" s="18" t="n">
        <v>2.68050365577718</v>
      </c>
    </row>
    <row r="1475" ht="15" customHeight="1" s="12">
      <c r="A1475" s="14" t="inlineStr">
        <is>
          <t>Shikarpur</t>
        </is>
      </c>
      <c r="B1475" s="14" t="inlineStr">
        <is>
          <t>Sindh</t>
        </is>
      </c>
      <c r="C1475" s="14" t="n">
        <v>2025</v>
      </c>
      <c r="D1475" s="15" t="n">
        <v>64.75859967630539</v>
      </c>
      <c r="E1475" s="15" t="n">
        <v>1515.85914301124</v>
      </c>
      <c r="F1475" s="15" t="n">
        <v>82.4658409041585</v>
      </c>
      <c r="G1475" s="15" t="n">
        <v>55.3236336248592</v>
      </c>
      <c r="H1475" s="15" t="n">
        <v>6.68570661670005</v>
      </c>
      <c r="I1475" s="16" t="n">
        <v>10.3240444514218</v>
      </c>
      <c r="J1475" s="15" t="n">
        <v>15.6007706483498</v>
      </c>
      <c r="K1475" s="15" t="n">
        <v>2555.75483768307</v>
      </c>
      <c r="L1475" s="15" t="n">
        <v>77.4861350902014</v>
      </c>
      <c r="M1475" s="15" t="n">
        <v>-12.727535413896</v>
      </c>
      <c r="N1475" s="17" t="n">
        <v>54.6469836295629</v>
      </c>
      <c r="O1475" s="18" t="n">
        <v>2.13819349273357</v>
      </c>
    </row>
    <row r="1476" ht="15" customHeight="1" s="12">
      <c r="A1476" s="14" t="inlineStr">
        <is>
          <t>Sialkot</t>
        </is>
      </c>
      <c r="B1476" s="14" t="inlineStr">
        <is>
          <t>Punjab</t>
        </is>
      </c>
      <c r="C1476" s="14" t="n">
        <v>2015</v>
      </c>
      <c r="D1476" s="15" t="n">
        <v>667.4266464152309</v>
      </c>
      <c r="E1476" s="15" t="n">
        <v>19630.1954828009</v>
      </c>
      <c r="F1476" s="15" t="n">
        <v>963.363042593002</v>
      </c>
      <c r="G1476" s="15" t="n">
        <v>459.579973101616</v>
      </c>
      <c r="H1476" s="15" t="n">
        <v>134.184086754694</v>
      </c>
      <c r="I1476" s="16" t="n">
        <v>20.1046942724569</v>
      </c>
      <c r="J1476" s="15" t="n">
        <v>38.6569333333333</v>
      </c>
      <c r="K1476" s="15" t="n">
        <v>3070.13134432303</v>
      </c>
      <c r="L1476" s="15" t="n">
        <v>801.150445794237</v>
      </c>
      <c r="M1476" s="15" t="n">
        <v>-133.723799379005</v>
      </c>
      <c r="N1476" s="17" t="n">
        <v>4.23701498151998</v>
      </c>
      <c r="O1476" s="18" t="n">
        <v>0.138007612910589</v>
      </c>
    </row>
    <row r="1477" ht="15" customHeight="1" s="12">
      <c r="A1477" s="14" t="inlineStr">
        <is>
          <t>Sialkot</t>
        </is>
      </c>
      <c r="B1477" s="14" t="inlineStr">
        <is>
          <t>Punjab</t>
        </is>
      </c>
      <c r="C1477" s="14" t="n">
        <v>2016</v>
      </c>
      <c r="D1477" s="15" t="n">
        <v>808.971612846629</v>
      </c>
      <c r="E1477" s="15" t="n">
        <v>23793.2827307832</v>
      </c>
      <c r="F1477" s="15" t="n">
        <v>1010.35906946659</v>
      </c>
      <c r="G1477" s="15" t="n">
        <v>613.143567681313</v>
      </c>
      <c r="H1477" s="15" t="n">
        <v>104.391707597323</v>
      </c>
      <c r="I1477" s="16" t="n">
        <v>12.9042485471137</v>
      </c>
      <c r="J1477" s="15" t="n">
        <v>38.6044</v>
      </c>
      <c r="K1477" s="15" t="n">
        <v>3070.13134432303</v>
      </c>
      <c r="L1477" s="15" t="n">
        <v>801.150445794237</v>
      </c>
      <c r="M1477" s="15" t="n">
        <v>7.82116705239207</v>
      </c>
      <c r="N1477" s="17" t="n">
        <v>5.83247723420623</v>
      </c>
      <c r="O1477" s="18" t="n">
        <v>0.189974844072748</v>
      </c>
    </row>
    <row r="1478" ht="15" customHeight="1" s="12">
      <c r="A1478" s="14" t="inlineStr">
        <is>
          <t>Sialkot</t>
        </is>
      </c>
      <c r="B1478" s="14" t="inlineStr">
        <is>
          <t>Punjab</t>
        </is>
      </c>
      <c r="C1478" s="14" t="n">
        <v>2017</v>
      </c>
      <c r="D1478" s="15" t="n">
        <v>665.081159339317</v>
      </c>
      <c r="E1478" s="15" t="n">
        <v>19561.2105688034</v>
      </c>
      <c r="F1478" s="15" t="n">
        <v>876.203920602799</v>
      </c>
      <c r="G1478" s="15" t="n">
        <v>504.227614402771</v>
      </c>
      <c r="H1478" s="15" t="n">
        <v>98.53260739410889</v>
      </c>
      <c r="I1478" s="16" t="n">
        <v>14.8151253437986</v>
      </c>
      <c r="J1478" s="15" t="n">
        <v>35.9832</v>
      </c>
      <c r="K1478" s="15" t="n">
        <v>3070.13134432303</v>
      </c>
      <c r="L1478" s="15" t="n">
        <v>801.150445794237</v>
      </c>
      <c r="M1478" s="15" t="n">
        <v>-136.06928645492</v>
      </c>
      <c r="N1478" s="17" t="n">
        <v>3.15349234270784</v>
      </c>
      <c r="O1478" s="18" t="n">
        <v>0.102715225800973</v>
      </c>
    </row>
    <row r="1479" ht="15" customHeight="1" s="12">
      <c r="A1479" s="14" t="inlineStr">
        <is>
          <t>Sialkot</t>
        </is>
      </c>
      <c r="B1479" s="14" t="inlineStr">
        <is>
          <t>Punjab</t>
        </is>
      </c>
      <c r="C1479" s="14" t="n">
        <v>2018</v>
      </c>
      <c r="D1479" s="15" t="n">
        <v>733.050116726665</v>
      </c>
      <c r="E1479" s="15" t="n">
        <v>21560.2975507843</v>
      </c>
      <c r="F1479" s="15" t="n">
        <v>1036.63445401192</v>
      </c>
      <c r="G1479" s="15" t="n">
        <v>493.468176275492</v>
      </c>
      <c r="H1479" s="15" t="n">
        <v>138.602980521817</v>
      </c>
      <c r="I1479" s="16" t="n">
        <v>18.9077086762812</v>
      </c>
      <c r="J1479" s="15" t="n">
        <v>34.3524</v>
      </c>
      <c r="K1479" s="15" t="n">
        <v>3070.13134432303</v>
      </c>
      <c r="L1479" s="15" t="n">
        <v>801.150445794237</v>
      </c>
      <c r="M1479" s="15" t="n">
        <v>-68.10032906757201</v>
      </c>
      <c r="N1479" s="17" t="n">
        <v>8.182823724395369</v>
      </c>
      <c r="O1479" s="18" t="n">
        <v>0.26653008639276</v>
      </c>
    </row>
    <row r="1480" ht="15" customHeight="1" s="12">
      <c r="A1480" s="14" t="inlineStr">
        <is>
          <t>Sialkot</t>
        </is>
      </c>
      <c r="B1480" s="14" t="inlineStr">
        <is>
          <t>Punjab</t>
        </is>
      </c>
      <c r="C1480" s="14" t="n">
        <v>2019</v>
      </c>
      <c r="D1480" s="15" t="n">
        <v>734.621798800321</v>
      </c>
      <c r="E1480" s="15" t="n">
        <v>21606.5234941271</v>
      </c>
      <c r="F1480" s="15" t="n">
        <v>1007.697823103</v>
      </c>
      <c r="G1480" s="15" t="n">
        <v>515.0813972949981</v>
      </c>
      <c r="H1480" s="15" t="n">
        <v>130.200086464444</v>
      </c>
      <c r="I1480" s="16" t="n">
        <v>17.7234172300724</v>
      </c>
      <c r="J1480" s="15" t="n">
        <v>27.3510666666667</v>
      </c>
      <c r="K1480" s="15" t="n">
        <v>3070.13134432303</v>
      </c>
      <c r="L1480" s="15" t="n">
        <v>801.150445794237</v>
      </c>
      <c r="M1480" s="15" t="n">
        <v>-66.5286469939158</v>
      </c>
      <c r="N1480" s="17" t="n">
        <v>6.20686044912635</v>
      </c>
      <c r="O1480" s="18" t="n">
        <v>0.202169215353064</v>
      </c>
    </row>
    <row r="1481" ht="15" customHeight="1" s="12">
      <c r="A1481" s="14" t="inlineStr">
        <is>
          <t>Sialkot</t>
        </is>
      </c>
      <c r="B1481" s="14" t="inlineStr">
        <is>
          <t>Punjab</t>
        </is>
      </c>
      <c r="C1481" s="14" t="n">
        <v>2020</v>
      </c>
      <c r="D1481" s="15" t="n">
        <v>785.714967142423</v>
      </c>
      <c r="E1481" s="15" t="n">
        <v>23109.263739483</v>
      </c>
      <c r="F1481" s="15" t="n">
        <v>997.828876546337</v>
      </c>
      <c r="G1481" s="15" t="n">
        <v>642.981302538961</v>
      </c>
      <c r="H1481" s="15" t="n">
        <v>88.22342820554699</v>
      </c>
      <c r="I1481" s="16" t="n">
        <v>11.2284265789677</v>
      </c>
      <c r="J1481" s="15" t="n">
        <v>34.9121333333333</v>
      </c>
      <c r="K1481" s="15" t="n">
        <v>3070.13134432303</v>
      </c>
      <c r="L1481" s="15" t="n">
        <v>801.150445794237</v>
      </c>
      <c r="M1481" s="15" t="n">
        <v>-15.4354786518137</v>
      </c>
      <c r="N1481" s="17" t="n">
        <v>5.65661439935733</v>
      </c>
      <c r="O1481" s="18" t="n">
        <v>0.184246658040118</v>
      </c>
    </row>
    <row r="1482" ht="15" customHeight="1" s="12">
      <c r="A1482" s="14" t="inlineStr">
        <is>
          <t>Sialkot</t>
        </is>
      </c>
      <c r="B1482" s="14" t="inlineStr">
        <is>
          <t>Punjab</t>
        </is>
      </c>
      <c r="C1482" s="14" t="n">
        <v>2021</v>
      </c>
      <c r="D1482" s="15" t="n">
        <v>991.038846709617</v>
      </c>
      <c r="E1482" s="15" t="n">
        <v>29148.2013738123</v>
      </c>
      <c r="F1482" s="15" t="n">
        <v>1380.74807739258</v>
      </c>
      <c r="G1482" s="15" t="n">
        <v>727.068892478943</v>
      </c>
      <c r="H1482" s="15" t="n">
        <v>163.338518382527</v>
      </c>
      <c r="I1482" s="16" t="n">
        <v>16.4815454938858</v>
      </c>
      <c r="J1482" s="15" t="n">
        <v>22.7017333333333</v>
      </c>
      <c r="K1482" s="15" t="n">
        <v>3070.13134432303</v>
      </c>
      <c r="L1482" s="15" t="n">
        <v>801.150445794237</v>
      </c>
      <c r="M1482" s="15" t="n">
        <v>189.88840091538</v>
      </c>
      <c r="N1482" s="17" t="n">
        <v>8.95019463595928</v>
      </c>
      <c r="O1482" s="18" t="n">
        <v>0.291524812204177</v>
      </c>
    </row>
    <row r="1483" ht="15" customHeight="1" s="12">
      <c r="A1483" s="14" t="inlineStr">
        <is>
          <t>Sialkot</t>
        </is>
      </c>
      <c r="B1483" s="14" t="inlineStr">
        <is>
          <t>Punjab</t>
        </is>
      </c>
      <c r="C1483" s="14" t="n">
        <v>2022</v>
      </c>
      <c r="D1483" s="15" t="n">
        <v>738.9968513506871</v>
      </c>
      <c r="E1483" s="15" t="n">
        <v>21735.2015103143</v>
      </c>
      <c r="F1483" s="15" t="n">
        <v>1080.3123190403</v>
      </c>
      <c r="G1483" s="15" t="n">
        <v>511.055377356708</v>
      </c>
      <c r="H1483" s="15" t="n">
        <v>148.31950686362</v>
      </c>
      <c r="I1483" s="16" t="n">
        <v>20.0703841420341</v>
      </c>
      <c r="J1483" s="15" t="n">
        <v>34.4588</v>
      </c>
      <c r="K1483" s="15" t="n">
        <v>3070.13134432303</v>
      </c>
      <c r="L1483" s="15" t="n">
        <v>801.150445794237</v>
      </c>
      <c r="M1483" s="15" t="n">
        <v>-62.1535944435493</v>
      </c>
      <c r="N1483" s="17" t="n">
        <v>8.36593046271544</v>
      </c>
      <c r="O1483" s="18" t="n">
        <v>0.272494220098592</v>
      </c>
    </row>
    <row r="1484" ht="15" customHeight="1" s="12">
      <c r="A1484" s="14" t="inlineStr">
        <is>
          <t>Sialkot</t>
        </is>
      </c>
      <c r="B1484" s="14" t="inlineStr">
        <is>
          <t>Punjab</t>
        </is>
      </c>
      <c r="C1484" s="14" t="n">
        <v>2023</v>
      </c>
      <c r="D1484" s="15" t="n">
        <v>828.628864700302</v>
      </c>
      <c r="E1484" s="15" t="n">
        <v>24371.4371970677</v>
      </c>
      <c r="F1484" s="15" t="n">
        <v>1128.81514310837</v>
      </c>
      <c r="G1484" s="15" t="n">
        <v>641.201803207398</v>
      </c>
      <c r="H1484" s="15" t="n">
        <v>134.335088429794</v>
      </c>
      <c r="I1484" s="16" t="n">
        <v>16.2117317115642</v>
      </c>
      <c r="J1484" s="15" t="n">
        <v>24.7545333333333</v>
      </c>
      <c r="K1484" s="15" t="n">
        <v>3070.13134432303</v>
      </c>
      <c r="L1484" s="15" t="n">
        <v>801.150445794237</v>
      </c>
      <c r="M1484" s="15" t="n">
        <v>27.4784189060651</v>
      </c>
      <c r="N1484" s="17" t="n">
        <v>6.59161156439688</v>
      </c>
      <c r="O1484" s="18" t="n">
        <v>0.214701288809204</v>
      </c>
    </row>
    <row r="1485" ht="15" customHeight="1" s="12">
      <c r="A1485" s="14" t="inlineStr">
        <is>
          <t>Sialkot</t>
        </is>
      </c>
      <c r="B1485" s="14" t="inlineStr">
        <is>
          <t>Punjab</t>
        </is>
      </c>
      <c r="C1485" s="14" t="n">
        <v>2024</v>
      </c>
      <c r="D1485" s="15" t="n">
        <v>787.508307205499</v>
      </c>
      <c r="E1485" s="15" t="n">
        <v>23162.0090354559</v>
      </c>
      <c r="F1485" s="15" t="n">
        <v>1087.41382651217</v>
      </c>
      <c r="G1485" s="15" t="n">
        <v>625.0004949420691</v>
      </c>
      <c r="H1485" s="15" t="n">
        <v>124.437068117413</v>
      </c>
      <c r="I1485" s="16" t="n">
        <v>15.8013657733951</v>
      </c>
      <c r="J1485" s="15" t="n">
        <v>44.2177333333333</v>
      </c>
      <c r="K1485" s="15" t="n">
        <v>3070.13134432303</v>
      </c>
      <c r="L1485" s="15" t="n">
        <v>801.150445794237</v>
      </c>
      <c r="M1485" s="15" t="n">
        <v>-13.6421385887376</v>
      </c>
      <c r="N1485" s="17" t="n">
        <v>6.8466593015991</v>
      </c>
      <c r="O1485" s="18" t="n">
        <v>0.223008677275624</v>
      </c>
    </row>
    <row r="1486" ht="15" customHeight="1" s="12">
      <c r="A1486" s="14" t="inlineStr">
        <is>
          <t>Sialkot</t>
        </is>
      </c>
      <c r="B1486" s="14" t="inlineStr">
        <is>
          <t>Punjab</t>
        </is>
      </c>
      <c r="C1486" s="14" t="n">
        <v>2025</v>
      </c>
      <c r="D1486" s="15" t="n">
        <v>1071.61573249991</v>
      </c>
      <c r="E1486" s="15" t="n">
        <v>31518.1097794092</v>
      </c>
      <c r="F1486" s="15" t="n">
        <v>1486.50382747175</v>
      </c>
      <c r="G1486" s="15" t="n">
        <v>835.786532530381</v>
      </c>
      <c r="H1486" s="15" t="n">
        <v>159.969635649463</v>
      </c>
      <c r="I1486" s="16" t="n">
        <v>14.9278916684322</v>
      </c>
      <c r="J1486" s="15" t="n">
        <v>38.0486666666667</v>
      </c>
      <c r="K1486" s="15" t="n">
        <v>3070.13134432303</v>
      </c>
      <c r="L1486" s="15" t="n">
        <v>801.150445794237</v>
      </c>
      <c r="M1486" s="15" t="n">
        <v>270.465286705675</v>
      </c>
      <c r="N1486" s="17" t="n">
        <v>7.40271226770715</v>
      </c>
      <c r="O1486" s="18" t="n">
        <v>0.241120376865814</v>
      </c>
    </row>
    <row r="1487" ht="15" customHeight="1" s="12">
      <c r="A1487" s="14" t="inlineStr">
        <is>
          <t>Sibi</t>
        </is>
      </c>
      <c r="B1487" s="14" t="inlineStr">
        <is>
          <t>Balochistan</t>
        </is>
      </c>
      <c r="C1487" s="14" t="n">
        <v>2015</v>
      </c>
      <c r="D1487" s="15" t="n">
        <v>111.219758717855</v>
      </c>
      <c r="E1487" s="15" t="n">
        <v>5156.6714012596</v>
      </c>
      <c r="F1487" s="15" t="n">
        <v>185.036490440369</v>
      </c>
      <c r="G1487" s="15" t="n">
        <v>55.4504375457764</v>
      </c>
      <c r="H1487" s="15" t="n">
        <v>29.1443423738852</v>
      </c>
      <c r="I1487" s="16" t="n">
        <v>26.2042848409871</v>
      </c>
      <c r="J1487" s="15" t="n">
        <v>14.2644844794046</v>
      </c>
      <c r="K1487" s="15" t="n">
        <v>4971.77537242341</v>
      </c>
      <c r="L1487" s="15" t="n">
        <v>141.733582903019</v>
      </c>
      <c r="M1487" s="15" t="n">
        <v>-30.5138241851647</v>
      </c>
      <c r="N1487" s="17" t="n">
        <v>1.77681025759469</v>
      </c>
      <c r="O1487" s="18" t="n">
        <v>0.0357379431792111</v>
      </c>
    </row>
    <row r="1488" ht="15" customHeight="1" s="12">
      <c r="A1488" s="14" t="inlineStr">
        <is>
          <t>Sibi</t>
        </is>
      </c>
      <c r="B1488" s="14" t="inlineStr">
        <is>
          <t>Balochistan</t>
        </is>
      </c>
      <c r="C1488" s="14" t="n">
        <v>2016</v>
      </c>
      <c r="D1488" s="15" t="n">
        <v>104.822888451125</v>
      </c>
      <c r="E1488" s="15" t="n">
        <v>4860.08239277508</v>
      </c>
      <c r="F1488" s="15" t="n">
        <v>151.336431503296</v>
      </c>
      <c r="G1488" s="15" t="n">
        <v>43.7702208161354</v>
      </c>
      <c r="H1488" s="15" t="n">
        <v>23.5621663045375</v>
      </c>
      <c r="I1488" s="16" t="n">
        <v>22.4780738755579</v>
      </c>
      <c r="J1488" s="15" t="n">
        <v>15.4465025797175</v>
      </c>
      <c r="K1488" s="15" t="n">
        <v>4971.77537242341</v>
      </c>
      <c r="L1488" s="15" t="n">
        <v>141.733582903019</v>
      </c>
      <c r="M1488" s="15" t="n">
        <v>-36.910694451895</v>
      </c>
      <c r="N1488" s="17" t="n">
        <v>5.77073712868866</v>
      </c>
      <c r="O1488" s="18" t="n">
        <v>0.116069948789255</v>
      </c>
    </row>
    <row r="1489" ht="15" customHeight="1" s="12">
      <c r="A1489" s="14" t="inlineStr">
        <is>
          <t>Sibi</t>
        </is>
      </c>
      <c r="B1489" s="14" t="inlineStr">
        <is>
          <t>Balochistan</t>
        </is>
      </c>
      <c r="C1489" s="14" t="n">
        <v>2017</v>
      </c>
      <c r="D1489" s="15" t="n">
        <v>94.38775200369609</v>
      </c>
      <c r="E1489" s="15" t="n">
        <v>4376.26036054784</v>
      </c>
      <c r="F1489" s="15" t="n">
        <v>140.100545406342</v>
      </c>
      <c r="G1489" s="15" t="n">
        <v>32.717321395874</v>
      </c>
      <c r="H1489" s="15" t="n">
        <v>22.0695672090187</v>
      </c>
      <c r="I1489" s="16" t="n">
        <v>23.3818125132956</v>
      </c>
      <c r="J1489" s="15" t="n">
        <v>16.4485325213567</v>
      </c>
      <c r="K1489" s="15" t="n">
        <v>4971.77537242341</v>
      </c>
      <c r="L1489" s="15" t="n">
        <v>141.733582903019</v>
      </c>
      <c r="M1489" s="15" t="n">
        <v>-47.3458308993233</v>
      </c>
      <c r="N1489" s="17" t="n">
        <v>2.49865438196615</v>
      </c>
      <c r="O1489" s="18" t="n">
        <v>0.0502567834384726</v>
      </c>
    </row>
    <row r="1490" ht="15" customHeight="1" s="12">
      <c r="A1490" s="14" t="inlineStr">
        <is>
          <t>Sibi</t>
        </is>
      </c>
      <c r="B1490" s="14" t="inlineStr">
        <is>
          <t>Balochistan</t>
        </is>
      </c>
      <c r="C1490" s="14" t="n">
        <v>2018</v>
      </c>
      <c r="D1490" s="15" t="n">
        <v>54.2974413875253</v>
      </c>
      <c r="E1490" s="15" t="n">
        <v>2517.48490009691</v>
      </c>
      <c r="F1490" s="15" t="n">
        <v>100.88047930412</v>
      </c>
      <c r="G1490" s="15" t="n">
        <v>26.187583014369</v>
      </c>
      <c r="H1490" s="15" t="n">
        <v>17.9291979830059</v>
      </c>
      <c r="I1490" s="16" t="n">
        <v>33.0203367319719</v>
      </c>
      <c r="J1490" s="15" t="n">
        <v>9.61397276494967</v>
      </c>
      <c r="K1490" s="15" t="n">
        <v>4971.77537242341</v>
      </c>
      <c r="L1490" s="15" t="n">
        <v>141.733582903019</v>
      </c>
      <c r="M1490" s="15" t="n">
        <v>-87.4361415154942</v>
      </c>
      <c r="N1490" s="17" t="n">
        <v>2.77228127878227</v>
      </c>
      <c r="O1490" s="18" t="n">
        <v>0.0557603888172239</v>
      </c>
    </row>
    <row r="1491" ht="15" customHeight="1" s="12">
      <c r="A1491" s="14" t="inlineStr">
        <is>
          <t>Sibi</t>
        </is>
      </c>
      <c r="B1491" s="14" t="inlineStr">
        <is>
          <t>Balochistan</t>
        </is>
      </c>
      <c r="C1491" s="14" t="n">
        <v>2019</v>
      </c>
      <c r="D1491" s="15" t="n">
        <v>92.27670889187191</v>
      </c>
      <c r="E1491" s="15" t="n">
        <v>4278.38246756315</v>
      </c>
      <c r="F1491" s="15" t="n">
        <v>143.831746935844</v>
      </c>
      <c r="G1491" s="15" t="n">
        <v>49.1361248679459</v>
      </c>
      <c r="H1491" s="15" t="n">
        <v>22.381587837367</v>
      </c>
      <c r="I1491" s="16" t="n">
        <v>24.2548613904223</v>
      </c>
      <c r="J1491" s="15" t="n">
        <v>15.2575488454707</v>
      </c>
      <c r="K1491" s="15" t="n">
        <v>4971.77537242341</v>
      </c>
      <c r="L1491" s="15" t="n">
        <v>141.733582903019</v>
      </c>
      <c r="M1491" s="15" t="n">
        <v>-49.4568740111475</v>
      </c>
      <c r="N1491" s="17" t="n">
        <v>3.66422465556569</v>
      </c>
      <c r="O1491" s="18" t="n">
        <v>0.07370052709721731</v>
      </c>
    </row>
    <row r="1492" ht="15" customHeight="1" s="12">
      <c r="A1492" s="14" t="inlineStr">
        <is>
          <t>Sibi</t>
        </is>
      </c>
      <c r="B1492" s="14" t="inlineStr">
        <is>
          <t>Balochistan</t>
        </is>
      </c>
      <c r="C1492" s="14" t="n">
        <v>2020</v>
      </c>
      <c r="D1492" s="15" t="n">
        <v>163.10438531198</v>
      </c>
      <c r="E1492" s="15" t="n">
        <v>7562.28685311194</v>
      </c>
      <c r="F1492" s="15" t="n">
        <v>263.338871643879</v>
      </c>
      <c r="G1492" s="15" t="n">
        <v>66.0660484657103</v>
      </c>
      <c r="H1492" s="15" t="n">
        <v>44.4689673849092</v>
      </c>
      <c r="I1492" s="16" t="n">
        <v>27.2641151247102</v>
      </c>
      <c r="J1492" s="15" t="n">
        <v>22.1379514505625</v>
      </c>
      <c r="K1492" s="15" t="n">
        <v>4971.77537242341</v>
      </c>
      <c r="L1492" s="15" t="n">
        <v>141.733582903019</v>
      </c>
      <c r="M1492" s="15" t="n">
        <v>21.3708024089609</v>
      </c>
      <c r="N1492" s="17" t="n">
        <v>4.615058204159</v>
      </c>
      <c r="O1492" s="18" t="n">
        <v>0.0928251551700629</v>
      </c>
    </row>
    <row r="1493" ht="15" customHeight="1" s="12">
      <c r="A1493" s="14" t="inlineStr">
        <is>
          <t>Sibi</t>
        </is>
      </c>
      <c r="B1493" s="14" t="inlineStr">
        <is>
          <t>Balochistan</t>
        </is>
      </c>
      <c r="C1493" s="14" t="n">
        <v>2021</v>
      </c>
      <c r="D1493" s="15" t="n">
        <v>110.808635862491</v>
      </c>
      <c r="E1493" s="15" t="n">
        <v>5137.60981098916</v>
      </c>
      <c r="F1493" s="15" t="n">
        <v>166.373992204666</v>
      </c>
      <c r="G1493" s="15" t="n">
        <v>44.6668875217438</v>
      </c>
      <c r="H1493" s="15" t="n">
        <v>29.5481821604586</v>
      </c>
      <c r="I1493" s="16" t="n">
        <v>26.6659560696394</v>
      </c>
      <c r="J1493" s="15" t="n">
        <v>15.4540302799628</v>
      </c>
      <c r="K1493" s="15" t="n">
        <v>4971.77537242341</v>
      </c>
      <c r="L1493" s="15" t="n">
        <v>141.733582903019</v>
      </c>
      <c r="M1493" s="15" t="n">
        <v>-30.924947040528</v>
      </c>
      <c r="N1493" s="17" t="n">
        <v>4.35114826796995</v>
      </c>
      <c r="O1493" s="18" t="n">
        <v>0.0875169922620429</v>
      </c>
    </row>
    <row r="1494" ht="15" customHeight="1" s="12">
      <c r="A1494" s="14" t="inlineStr">
        <is>
          <t>Sibi</t>
        </is>
      </c>
      <c r="B1494" s="14" t="inlineStr">
        <is>
          <t>Balochistan</t>
        </is>
      </c>
      <c r="C1494" s="14" t="n">
        <v>2022</v>
      </c>
      <c r="D1494" s="15" t="n">
        <v>323.20906040727</v>
      </c>
      <c r="E1494" s="15" t="n">
        <v>14985.4930242947</v>
      </c>
      <c r="F1494" s="15" t="n">
        <v>468.861584581493</v>
      </c>
      <c r="G1494" s="15" t="n">
        <v>207.159678058757</v>
      </c>
      <c r="H1494" s="15" t="n">
        <v>62.4402795798483</v>
      </c>
      <c r="I1494" s="16" t="n">
        <v>19.3188518605167</v>
      </c>
      <c r="J1494" s="15" t="n">
        <v>38.199949251459</v>
      </c>
      <c r="K1494" s="15" t="n">
        <v>4971.77537242341</v>
      </c>
      <c r="L1494" s="15" t="n">
        <v>141.733582903019</v>
      </c>
      <c r="M1494" s="15" t="n">
        <v>181.47547750425</v>
      </c>
      <c r="N1494" s="17" t="n">
        <v>7.14158945968422</v>
      </c>
      <c r="O1494" s="18" t="n">
        <v>0.143642641204105</v>
      </c>
    </row>
    <row r="1495" ht="15" customHeight="1" s="12">
      <c r="A1495" s="14" t="inlineStr">
        <is>
          <t>Sibi</t>
        </is>
      </c>
      <c r="B1495" s="14" t="inlineStr">
        <is>
          <t>Balochistan</t>
        </is>
      </c>
      <c r="C1495" s="14" t="n">
        <v>2023</v>
      </c>
      <c r="D1495" s="15" t="n">
        <v>104.110803978084</v>
      </c>
      <c r="E1495" s="15" t="n">
        <v>4827.06680561918</v>
      </c>
      <c r="F1495" s="15" t="n">
        <v>151.203916728497</v>
      </c>
      <c r="G1495" s="15" t="n">
        <v>50.6729333400726</v>
      </c>
      <c r="H1495" s="15" t="n">
        <v>20.8078650673922</v>
      </c>
      <c r="I1495" s="16" t="n">
        <v>19.9862687370778</v>
      </c>
      <c r="J1495" s="15" t="n">
        <v>16.1540218218726</v>
      </c>
      <c r="K1495" s="15" t="n">
        <v>4971.77537242341</v>
      </c>
      <c r="L1495" s="15" t="n">
        <v>141.733582903019</v>
      </c>
      <c r="M1495" s="15" t="n">
        <v>-37.6227789249352</v>
      </c>
      <c r="N1495" s="17" t="n">
        <v>3.5900923100593</v>
      </c>
      <c r="O1495" s="18" t="n">
        <v>0.0722094632426922</v>
      </c>
    </row>
    <row r="1496" ht="15" customHeight="1" s="12">
      <c r="A1496" s="14" t="inlineStr">
        <is>
          <t>Sibi</t>
        </is>
      </c>
      <c r="B1496" s="14" t="inlineStr">
        <is>
          <t>Balochistan</t>
        </is>
      </c>
      <c r="C1496" s="14" t="n">
        <v>2024</v>
      </c>
      <c r="D1496" s="15" t="n">
        <v>252.470512322176</v>
      </c>
      <c r="E1496" s="15" t="n">
        <v>11705.7210477846</v>
      </c>
      <c r="F1496" s="15" t="n">
        <v>425.94475440681</v>
      </c>
      <c r="G1496" s="15" t="n">
        <v>119.069318765774</v>
      </c>
      <c r="H1496" s="15" t="n">
        <v>74.22841736003249</v>
      </c>
      <c r="I1496" s="16" t="n">
        <v>29.4008265271432</v>
      </c>
      <c r="J1496" s="15" t="n">
        <v>31.8896219233697</v>
      </c>
      <c r="K1496" s="15" t="n">
        <v>4971.77537242341</v>
      </c>
      <c r="L1496" s="15" t="n">
        <v>141.733582903019</v>
      </c>
      <c r="M1496" s="15" t="n">
        <v>110.736929419156</v>
      </c>
      <c r="N1496" s="17" t="n">
        <v>2.40513968748612</v>
      </c>
      <c r="O1496" s="18" t="n">
        <v>0.0483758719435825</v>
      </c>
    </row>
    <row r="1497" ht="15" customHeight="1" s="12">
      <c r="A1497" s="14" t="inlineStr">
        <is>
          <t>Sibi</t>
        </is>
      </c>
      <c r="B1497" s="14" t="inlineStr">
        <is>
          <t>Balochistan</t>
        </is>
      </c>
      <c r="C1497" s="14" t="n">
        <v>2025</v>
      </c>
      <c r="D1497" s="15" t="n">
        <v>148.36146459914</v>
      </c>
      <c r="E1497" s="15" t="n">
        <v>6878.73567041424</v>
      </c>
      <c r="F1497" s="15" t="n">
        <v>234.949141860008</v>
      </c>
      <c r="G1497" s="15" t="n">
        <v>88.1049495651678</v>
      </c>
      <c r="H1497" s="15" t="n">
        <v>35.580443247913</v>
      </c>
      <c r="I1497" s="16" t="n">
        <v>23.9822674601173</v>
      </c>
      <c r="J1497" s="15" t="n">
        <v>17.7919309819843</v>
      </c>
      <c r="K1497" s="15" t="n">
        <v>4971.77537242341</v>
      </c>
      <c r="L1497" s="15" t="n">
        <v>141.733582903019</v>
      </c>
      <c r="M1497" s="15" t="n">
        <v>6.62788169612057</v>
      </c>
      <c r="N1497" s="17" t="n">
        <v>3.46878454527588</v>
      </c>
      <c r="O1497" s="18" t="n">
        <v>0.06976953473232</v>
      </c>
    </row>
    <row r="1498" ht="15" customHeight="1" s="12">
      <c r="A1498" s="14" t="inlineStr">
        <is>
          <t>Skardu</t>
        </is>
      </c>
      <c r="B1498" s="14" t="inlineStr">
        <is>
          <t>Gilgit Baltistan</t>
        </is>
      </c>
      <c r="C1498" s="14" t="n">
        <v>2015</v>
      </c>
      <c r="D1498" s="15" t="n">
        <v>165.702360296164</v>
      </c>
      <c r="E1498" s="15" t="n">
        <v>3464.8038631339</v>
      </c>
      <c r="F1498" s="15" t="n">
        <v>462.43139192462</v>
      </c>
      <c r="G1498" s="15" t="n">
        <v>14.6463515777141</v>
      </c>
      <c r="H1498" s="15" t="n">
        <v>126.2095504004</v>
      </c>
      <c r="I1498" s="16" t="n">
        <v>76.1664168059059</v>
      </c>
      <c r="J1498" s="15" t="n">
        <v>17.0611402850713</v>
      </c>
      <c r="K1498" s="15" t="n">
        <v>2118.99134243703</v>
      </c>
      <c r="L1498" s="15" t="n">
        <v>138.271508746589</v>
      </c>
      <c r="M1498" s="15" t="n">
        <v>27.430851549575</v>
      </c>
      <c r="N1498" s="17" t="n">
        <v>8.054517798959269</v>
      </c>
      <c r="O1498" s="18" t="n">
        <v>0.380110934747654</v>
      </c>
    </row>
    <row r="1499" ht="15" customHeight="1" s="12">
      <c r="A1499" s="14" t="inlineStr">
        <is>
          <t>Skardu</t>
        </is>
      </c>
      <c r="B1499" s="14" t="inlineStr">
        <is>
          <t>Gilgit Baltistan</t>
        </is>
      </c>
      <c r="C1499" s="14" t="n">
        <v>2016</v>
      </c>
      <c r="D1499" s="15" t="n">
        <v>111.879839314068</v>
      </c>
      <c r="E1499" s="15" t="n">
        <v>2339.38550283377</v>
      </c>
      <c r="F1499" s="15" t="n">
        <v>391.06952047348</v>
      </c>
      <c r="G1499" s="15" t="n">
        <v>7.62117932923138</v>
      </c>
      <c r="H1499" s="15" t="n">
        <v>94.334454325485</v>
      </c>
      <c r="I1499" s="16" t="n">
        <v>84.3176526743751</v>
      </c>
      <c r="J1499" s="15" t="n">
        <v>16.2869467366842</v>
      </c>
      <c r="K1499" s="15" t="n">
        <v>2118.99134243703</v>
      </c>
      <c r="L1499" s="15" t="n">
        <v>138.271508746589</v>
      </c>
      <c r="M1499" s="15" t="n">
        <v>-26.3916694325203</v>
      </c>
      <c r="N1499" s="17" t="n">
        <v>6.19308523349154</v>
      </c>
      <c r="O1499" s="18" t="n">
        <v>0.292265716686172</v>
      </c>
    </row>
    <row r="1500" ht="15" customHeight="1" s="12">
      <c r="A1500" s="14" t="inlineStr">
        <is>
          <t>Skardu</t>
        </is>
      </c>
      <c r="B1500" s="14" t="inlineStr">
        <is>
          <t>Gilgit Baltistan</t>
        </is>
      </c>
      <c r="C1500" s="14" t="n">
        <v>2017</v>
      </c>
      <c r="D1500" s="15" t="n">
        <v>101.716210885727</v>
      </c>
      <c r="E1500" s="15" t="n">
        <v>2126.86602526547</v>
      </c>
      <c r="F1500" s="15" t="n">
        <v>344.568131923676</v>
      </c>
      <c r="G1500" s="15" t="n">
        <v>9.81175206229091</v>
      </c>
      <c r="H1500" s="15" t="n">
        <v>82.1561577297942</v>
      </c>
      <c r="I1500" s="16" t="n">
        <v>80.7699746327483</v>
      </c>
      <c r="J1500" s="15" t="n">
        <v>13.7528132033008</v>
      </c>
      <c r="K1500" s="15" t="n">
        <v>2118.99134243703</v>
      </c>
      <c r="L1500" s="15" t="n">
        <v>138.271508746589</v>
      </c>
      <c r="M1500" s="15" t="n">
        <v>-36.555297860862</v>
      </c>
      <c r="N1500" s="17" t="n">
        <v>6.02340224907942</v>
      </c>
      <c r="O1500" s="18" t="n">
        <v>0.284257992397079</v>
      </c>
    </row>
    <row r="1501" ht="15" customHeight="1" s="12">
      <c r="A1501" s="14" t="inlineStr">
        <is>
          <t>Skardu</t>
        </is>
      </c>
      <c r="B1501" s="14" t="inlineStr">
        <is>
          <t>Gilgit Baltistan</t>
        </is>
      </c>
      <c r="C1501" s="14" t="n">
        <v>2018</v>
      </c>
      <c r="D1501" s="15" t="n">
        <v>114.572449174833</v>
      </c>
      <c r="E1501" s="15" t="n">
        <v>2395.68744705964</v>
      </c>
      <c r="F1501" s="15" t="n">
        <v>331.686836730689</v>
      </c>
      <c r="G1501" s="15" t="n">
        <v>9.241640985012049</v>
      </c>
      <c r="H1501" s="15" t="n">
        <v>88.3698455992365</v>
      </c>
      <c r="I1501" s="16" t="n">
        <v>77.1301008538166</v>
      </c>
      <c r="J1501" s="15" t="n">
        <v>18.5345086271568</v>
      </c>
      <c r="K1501" s="15" t="n">
        <v>2118.99134243703</v>
      </c>
      <c r="L1501" s="15" t="n">
        <v>138.271508746589</v>
      </c>
      <c r="M1501" s="15" t="n">
        <v>-23.6990595717556</v>
      </c>
      <c r="N1501" s="17" t="n">
        <v>13.7413033010092</v>
      </c>
      <c r="O1501" s="18" t="n">
        <v>0.6484832205687751</v>
      </c>
    </row>
    <row r="1502" ht="15" customHeight="1" s="12">
      <c r="A1502" s="14" t="inlineStr">
        <is>
          <t>Skardu</t>
        </is>
      </c>
      <c r="B1502" s="14" t="inlineStr">
        <is>
          <t>Gilgit Baltistan</t>
        </is>
      </c>
      <c r="C1502" s="14" t="n">
        <v>2019</v>
      </c>
      <c r="D1502" s="15" t="n">
        <v>199.292141634742</v>
      </c>
      <c r="E1502" s="15" t="n">
        <v>4167.15960469193</v>
      </c>
      <c r="F1502" s="15" t="n">
        <v>737.8562715053559</v>
      </c>
      <c r="G1502" s="15" t="n">
        <v>18.0347112566233</v>
      </c>
      <c r="H1502" s="15" t="n">
        <v>168.830466152222</v>
      </c>
      <c r="I1502" s="16" t="n">
        <v>84.71506441114489</v>
      </c>
      <c r="J1502" s="15" t="n">
        <v>18.6001500375094</v>
      </c>
      <c r="K1502" s="15" t="n">
        <v>2118.99134243703</v>
      </c>
      <c r="L1502" s="15" t="n">
        <v>138.271508746589</v>
      </c>
      <c r="M1502" s="15" t="n">
        <v>61.0206328881532</v>
      </c>
      <c r="N1502" s="17" t="n">
        <v>7.82386463021857</v>
      </c>
      <c r="O1502" s="18" t="n">
        <v>0.369225889390394</v>
      </c>
    </row>
    <row r="1503" ht="15" customHeight="1" s="12">
      <c r="A1503" s="14" t="inlineStr">
        <is>
          <t>Skardu</t>
        </is>
      </c>
      <c r="B1503" s="14" t="inlineStr">
        <is>
          <t>Gilgit Baltistan</t>
        </is>
      </c>
      <c r="C1503" s="14" t="n">
        <v>2020</v>
      </c>
      <c r="D1503" s="15" t="n">
        <v>121.05567185538</v>
      </c>
      <c r="E1503" s="15" t="n">
        <v>2531.25036208974</v>
      </c>
      <c r="F1503" s="15" t="n">
        <v>411.656841993332</v>
      </c>
      <c r="G1503" s="15" t="n">
        <v>10.6808801777661</v>
      </c>
      <c r="H1503" s="15" t="n">
        <v>98.988570761205</v>
      </c>
      <c r="I1503" s="16" t="n">
        <v>81.7711134423034</v>
      </c>
      <c r="J1503" s="15" t="n">
        <v>19.8966616654164</v>
      </c>
      <c r="K1503" s="15" t="n">
        <v>2118.99134243703</v>
      </c>
      <c r="L1503" s="15" t="n">
        <v>138.271508746589</v>
      </c>
      <c r="M1503" s="15" t="n">
        <v>-17.2158368912089</v>
      </c>
      <c r="N1503" s="17" t="n">
        <v>8.297305724247179</v>
      </c>
      <c r="O1503" s="18" t="n">
        <v>0.391568646746075</v>
      </c>
    </row>
    <row r="1504" ht="15" customHeight="1" s="12">
      <c r="A1504" s="14" t="inlineStr">
        <is>
          <t>Skardu</t>
        </is>
      </c>
      <c r="B1504" s="14" t="inlineStr">
        <is>
          <t>Gilgit Baltistan</t>
        </is>
      </c>
      <c r="C1504" s="14" t="n">
        <v>2021</v>
      </c>
      <c r="D1504" s="15" t="n">
        <v>110.176445902841</v>
      </c>
      <c r="E1504" s="15" t="n">
        <v>2303.76788060372</v>
      </c>
      <c r="F1504" s="15" t="n">
        <v>354.924821019173</v>
      </c>
      <c r="G1504" s="15" t="n">
        <v>8.17700629681349</v>
      </c>
      <c r="H1504" s="15" t="n">
        <v>90.17414323170649</v>
      </c>
      <c r="I1504" s="16" t="n">
        <v>81.8452097385921</v>
      </c>
      <c r="J1504" s="15" t="n">
        <v>16.0391972993248</v>
      </c>
      <c r="K1504" s="15" t="n">
        <v>2118.99134243703</v>
      </c>
      <c r="L1504" s="15" t="n">
        <v>138.271508746589</v>
      </c>
      <c r="M1504" s="15" t="n">
        <v>-28.0950628437477</v>
      </c>
      <c r="N1504" s="17" t="n">
        <v>0</v>
      </c>
      <c r="O1504" s="18" t="n">
        <v>0</v>
      </c>
    </row>
    <row r="1505" ht="15" customHeight="1" s="12">
      <c r="A1505" s="14" t="inlineStr">
        <is>
          <t>Skardu</t>
        </is>
      </c>
      <c r="B1505" s="14" t="inlineStr">
        <is>
          <t>Gilgit Baltistan</t>
        </is>
      </c>
      <c r="C1505" s="14" t="n">
        <v>2022</v>
      </c>
      <c r="D1505" s="15" t="n">
        <v>144.132789426332</v>
      </c>
      <c r="E1505" s="15" t="n">
        <v>3013.78836557335</v>
      </c>
      <c r="F1505" s="15" t="n">
        <v>475.722642421722</v>
      </c>
      <c r="G1505" s="15" t="n">
        <v>13.5722598118009</v>
      </c>
      <c r="H1505" s="15" t="n">
        <v>113.960312616441</v>
      </c>
      <c r="I1505" s="16" t="n">
        <v>79.0661951871038</v>
      </c>
      <c r="J1505" s="15" t="n">
        <v>16.4396099024756</v>
      </c>
      <c r="K1505" s="15" t="n">
        <v>2118.99134243703</v>
      </c>
      <c r="L1505" s="15" t="n">
        <v>138.271508746589</v>
      </c>
      <c r="M1505" s="15" t="n">
        <v>5.86128067974386</v>
      </c>
      <c r="N1505" s="17" t="n">
        <v>0</v>
      </c>
      <c r="O1505" s="18" t="n">
        <v>0</v>
      </c>
    </row>
    <row r="1506" ht="15" customHeight="1" s="12">
      <c r="A1506" s="14" t="inlineStr">
        <is>
          <t>Skardu</t>
        </is>
      </c>
      <c r="B1506" s="14" t="inlineStr">
        <is>
          <t>Gilgit Baltistan</t>
        </is>
      </c>
      <c r="C1506" s="14" t="n">
        <v>2023</v>
      </c>
      <c r="D1506" s="15" t="n">
        <v>174.745309288674</v>
      </c>
      <c r="E1506" s="15" t="n">
        <v>3653.89015344003</v>
      </c>
      <c r="F1506" s="15" t="n">
        <v>667.93486982584</v>
      </c>
      <c r="G1506" s="15" t="n">
        <v>15.6535716438666</v>
      </c>
      <c r="H1506" s="15" t="n">
        <v>148.377038600352</v>
      </c>
      <c r="I1506" s="16" t="n">
        <v>84.9104557966923</v>
      </c>
      <c r="J1506" s="15" t="n">
        <v>18.384096024006</v>
      </c>
      <c r="K1506" s="15" t="n">
        <v>2118.99134243703</v>
      </c>
      <c r="L1506" s="15" t="n">
        <v>138.271508746589</v>
      </c>
      <c r="M1506" s="15" t="n">
        <v>36.4738005420851</v>
      </c>
      <c r="N1506" s="17" t="n">
        <v>9.9193333332239</v>
      </c>
      <c r="O1506" s="18" t="n">
        <v>0.468115802767546</v>
      </c>
    </row>
    <row r="1507" ht="15" customHeight="1" s="12">
      <c r="A1507" s="14" t="inlineStr">
        <is>
          <t>Skardu</t>
        </is>
      </c>
      <c r="B1507" s="14" t="inlineStr">
        <is>
          <t>Gilgit Baltistan</t>
        </is>
      </c>
      <c r="C1507" s="14" t="n">
        <v>2024</v>
      </c>
      <c r="D1507" s="15" t="n">
        <v>124.798340553353</v>
      </c>
      <c r="E1507" s="15" t="n">
        <v>2609.50883070775</v>
      </c>
      <c r="F1507" s="15" t="n">
        <v>361.151374410838</v>
      </c>
      <c r="G1507" s="15" t="n">
        <v>10.6896269560275</v>
      </c>
      <c r="H1507" s="15" t="n">
        <v>98.895183046364</v>
      </c>
      <c r="I1507" s="16" t="n">
        <v>79.24398882858949</v>
      </c>
      <c r="J1507" s="15" t="n">
        <v>18.7383720930233</v>
      </c>
      <c r="K1507" s="15" t="n">
        <v>2118.99134243703</v>
      </c>
      <c r="L1507" s="15" t="n">
        <v>138.271508746589</v>
      </c>
      <c r="M1507" s="15" t="n">
        <v>-13.4731681932357</v>
      </c>
      <c r="N1507" s="17" t="n">
        <v>10.6617449899362</v>
      </c>
      <c r="O1507" s="18" t="n">
        <v>0.503151890072103</v>
      </c>
    </row>
    <row r="1508" ht="15" customHeight="1" s="12">
      <c r="A1508" s="14" t="inlineStr">
        <is>
          <t>Skardu</t>
        </is>
      </c>
      <c r="B1508" s="14" t="inlineStr">
        <is>
          <t>Gilgit Baltistan</t>
        </is>
      </c>
      <c r="C1508" s="14" t="n">
        <v>2025</v>
      </c>
      <c r="D1508" s="15" t="n">
        <v>152.915037880362</v>
      </c>
      <c r="E1508" s="15" t="n">
        <v>3197.42345873761</v>
      </c>
      <c r="F1508" s="15" t="n">
        <v>396.553475106004</v>
      </c>
      <c r="G1508" s="15" t="n">
        <v>9.280097725350061</v>
      </c>
      <c r="H1508" s="15" t="n">
        <v>117.080119645426</v>
      </c>
      <c r="I1508" s="16" t="n">
        <v>76.5654714332463</v>
      </c>
      <c r="J1508" s="15" t="n">
        <v>16.4276069017254</v>
      </c>
      <c r="K1508" s="15" t="n">
        <v>2118.99134243703</v>
      </c>
      <c r="L1508" s="15" t="n">
        <v>138.271508746589</v>
      </c>
      <c r="M1508" s="15" t="n">
        <v>14.6435291337733</v>
      </c>
      <c r="N1508" s="17" t="n">
        <v>8.82041054991193</v>
      </c>
      <c r="O1508" s="18" t="n">
        <v>0.416255148063401</v>
      </c>
    </row>
    <row r="1509" ht="15" customHeight="1" s="12">
      <c r="A1509" s="14" t="inlineStr">
        <is>
          <t>Sohbatpur</t>
        </is>
      </c>
      <c r="B1509" s="14" t="inlineStr">
        <is>
          <t>Balochistan</t>
        </is>
      </c>
      <c r="C1509" s="14" t="n">
        <v>2015</v>
      </c>
      <c r="D1509" s="15" t="n">
        <v>70.93582821243599</v>
      </c>
      <c r="E1509" s="15" t="n">
        <v>521.586972150265</v>
      </c>
      <c r="F1509" s="15" t="n">
        <v>83.3002038002014</v>
      </c>
      <c r="G1509" s="15" t="n">
        <v>63.204225897789</v>
      </c>
      <c r="H1509" s="15" t="n">
        <v>5.95903595653286</v>
      </c>
      <c r="I1509" s="16" t="n">
        <v>8.40060108791139</v>
      </c>
      <c r="J1509" s="15" t="n">
        <v>10.3536</v>
      </c>
      <c r="K1509" s="15" t="n">
        <v>787.997707742596</v>
      </c>
      <c r="L1509" s="15" t="n">
        <v>100.011334086084</v>
      </c>
      <c r="M1509" s="15" t="n">
        <v>-29.0755058736479</v>
      </c>
      <c r="N1509" s="17" t="n">
        <v>29.7813689282815</v>
      </c>
      <c r="O1509" s="18" t="n">
        <v>3.77937253315079</v>
      </c>
    </row>
    <row r="1510" ht="15" customHeight="1" s="12">
      <c r="A1510" s="14" t="inlineStr">
        <is>
          <t>Sohbatpur</t>
        </is>
      </c>
      <c r="B1510" s="14" t="inlineStr">
        <is>
          <t>Balochistan</t>
        </is>
      </c>
      <c r="C1510" s="14" t="n">
        <v>2016</v>
      </c>
      <c r="D1510" s="15" t="n">
        <v>92.95783445895511</v>
      </c>
      <c r="E1510" s="15" t="n">
        <v>683.513488668788</v>
      </c>
      <c r="F1510" s="15" t="n">
        <v>116.79652261734</v>
      </c>
      <c r="G1510" s="15" t="n">
        <v>63.5279338359833</v>
      </c>
      <c r="H1510" s="15" t="n">
        <v>18.7240970019779</v>
      </c>
      <c r="I1510" s="16" t="n">
        <v>20.1425701351137</v>
      </c>
      <c r="J1510" s="15" t="n">
        <v>14.6458666666667</v>
      </c>
      <c r="K1510" s="15" t="n">
        <v>787.997707742596</v>
      </c>
      <c r="L1510" s="15" t="n">
        <v>100.011334086084</v>
      </c>
      <c r="M1510" s="15" t="n">
        <v>-7.05349962712884</v>
      </c>
      <c r="N1510" s="17" t="n">
        <v>22.9769496561091</v>
      </c>
      <c r="O1510" s="18" t="n">
        <v>2.91586503746718</v>
      </c>
    </row>
    <row r="1511" ht="15" customHeight="1" s="12">
      <c r="A1511" s="14" t="inlineStr">
        <is>
          <t>Sohbatpur</t>
        </is>
      </c>
      <c r="B1511" s="14" t="inlineStr">
        <is>
          <t>Balochistan</t>
        </is>
      </c>
      <c r="C1511" s="14" t="n">
        <v>2017</v>
      </c>
      <c r="D1511" s="15" t="n">
        <v>78.06311514382359</v>
      </c>
      <c r="E1511" s="15" t="n">
        <v>573.993493704585</v>
      </c>
      <c r="F1511" s="15" t="n">
        <v>83.24299740791319</v>
      </c>
      <c r="G1511" s="15" t="n">
        <v>60.3425450325012</v>
      </c>
      <c r="H1511" s="15" t="n">
        <v>5.75817777713814</v>
      </c>
      <c r="I1511" s="16" t="n">
        <v>7.37631052325962</v>
      </c>
      <c r="J1511" s="15" t="n">
        <v>14.4565333333333</v>
      </c>
      <c r="K1511" s="15" t="n">
        <v>787.997707742596</v>
      </c>
      <c r="L1511" s="15" t="n">
        <v>100.011334086084</v>
      </c>
      <c r="M1511" s="15" t="n">
        <v>-21.9482189422604</v>
      </c>
      <c r="N1511" s="17" t="n">
        <v>26.102979052524</v>
      </c>
      <c r="O1511" s="18" t="n">
        <v>3.31257042958946</v>
      </c>
    </row>
    <row r="1512" ht="15" customHeight="1" s="12">
      <c r="A1512" s="14" t="inlineStr">
        <is>
          <t>Sohbatpur</t>
        </is>
      </c>
      <c r="B1512" s="14" t="inlineStr">
        <is>
          <t>Balochistan</t>
        </is>
      </c>
      <c r="C1512" s="14" t="n">
        <v>2018</v>
      </c>
      <c r="D1512" s="15" t="n">
        <v>32.3805952776255</v>
      </c>
      <c r="E1512" s="15" t="n">
        <v>238.092612335481</v>
      </c>
      <c r="F1512" s="15" t="n">
        <v>36.8868076521903</v>
      </c>
      <c r="G1512" s="15" t="n">
        <v>28.2327414732426</v>
      </c>
      <c r="H1512" s="15" t="n">
        <v>2.51661206612796</v>
      </c>
      <c r="I1512" s="16" t="n">
        <v>7.77197591505336</v>
      </c>
      <c r="J1512" s="15" t="n">
        <v>5.8592</v>
      </c>
      <c r="K1512" s="15" t="n">
        <v>787.997707742596</v>
      </c>
      <c r="L1512" s="15" t="n">
        <v>100.011334086084</v>
      </c>
      <c r="M1512" s="15" t="n">
        <v>-67.6307388084585</v>
      </c>
      <c r="N1512" s="17" t="n">
        <v>24.5230424323832</v>
      </c>
      <c r="O1512" s="18" t="n">
        <v>3.11207027525945</v>
      </c>
    </row>
    <row r="1513" ht="15" customHeight="1" s="12">
      <c r="A1513" s="14" t="inlineStr">
        <is>
          <t>Sohbatpur</t>
        </is>
      </c>
      <c r="B1513" s="14" t="inlineStr">
        <is>
          <t>Balochistan</t>
        </is>
      </c>
      <c r="C1513" s="14" t="n">
        <v>2019</v>
      </c>
      <c r="D1513" s="15" t="n">
        <v>72.78015622750129</v>
      </c>
      <c r="E1513" s="15" t="n">
        <v>535.148207555156</v>
      </c>
      <c r="F1513" s="15" t="n">
        <v>86.8644858598709</v>
      </c>
      <c r="G1513" s="15" t="n">
        <v>56.8530081510544</v>
      </c>
      <c r="H1513" s="15" t="n">
        <v>9.61257258773534</v>
      </c>
      <c r="I1513" s="16" t="n">
        <v>13.2076833658995</v>
      </c>
      <c r="J1513" s="15" t="n">
        <v>14.3834666666667</v>
      </c>
      <c r="K1513" s="15" t="n">
        <v>787.997707742596</v>
      </c>
      <c r="L1513" s="15" t="n">
        <v>100.011334086084</v>
      </c>
      <c r="M1513" s="15" t="n">
        <v>-27.2311778585827</v>
      </c>
      <c r="N1513" s="17" t="n">
        <v>29.4165831519436</v>
      </c>
      <c r="O1513" s="18" t="n">
        <v>3.73307978727683</v>
      </c>
    </row>
    <row r="1514" ht="15" customHeight="1" s="12">
      <c r="A1514" s="14" t="inlineStr">
        <is>
          <t>Sohbatpur</t>
        </is>
      </c>
      <c r="B1514" s="14" t="inlineStr">
        <is>
          <t>Balochistan</t>
        </is>
      </c>
      <c r="C1514" s="14" t="n">
        <v>2020</v>
      </c>
      <c r="D1514" s="15" t="n">
        <v>87.3412035051533</v>
      </c>
      <c r="E1514" s="15" t="n">
        <v>642.214731655539</v>
      </c>
      <c r="F1514" s="15" t="n">
        <v>108.258225631955</v>
      </c>
      <c r="G1514" s="15" t="n">
        <v>76.51803073627531</v>
      </c>
      <c r="H1514" s="15" t="n">
        <v>7.87167799662032</v>
      </c>
      <c r="I1514" s="16" t="n">
        <v>9.01255957179006</v>
      </c>
      <c r="J1514" s="15" t="n">
        <v>13.4853333333333</v>
      </c>
      <c r="K1514" s="15" t="n">
        <v>787.997707742596</v>
      </c>
      <c r="L1514" s="15" t="n">
        <v>100.011334086084</v>
      </c>
      <c r="M1514" s="15" t="n">
        <v>-12.6701305809307</v>
      </c>
      <c r="N1514" s="17" t="n">
        <v>32.0404734620318</v>
      </c>
      <c r="O1514" s="18" t="n">
        <v>4.06606175972507</v>
      </c>
    </row>
    <row r="1515" ht="15" customHeight="1" s="12">
      <c r="A1515" s="14" t="inlineStr">
        <is>
          <t>Sohbatpur</t>
        </is>
      </c>
      <c r="B1515" s="14" t="inlineStr">
        <is>
          <t>Balochistan</t>
        </is>
      </c>
      <c r="C1515" s="14" t="n">
        <v>2021</v>
      </c>
      <c r="D1515" s="15" t="n">
        <v>66.7880050089876</v>
      </c>
      <c r="E1515" s="15" t="n">
        <v>491.088272124909</v>
      </c>
      <c r="F1515" s="15" t="n">
        <v>91.4604212641716</v>
      </c>
      <c r="G1515" s="15" t="n">
        <v>46.8153149187565</v>
      </c>
      <c r="H1515" s="15" t="n">
        <v>11.2223357018404</v>
      </c>
      <c r="I1515" s="16" t="n">
        <v>16.8029209741035</v>
      </c>
      <c r="J1515" s="15" t="n">
        <v>10.2149333333333</v>
      </c>
      <c r="K1515" s="15" t="n">
        <v>787.997707742596</v>
      </c>
      <c r="L1515" s="15" t="n">
        <v>100.011334086084</v>
      </c>
      <c r="M1515" s="15" t="n">
        <v>-33.2233290770964</v>
      </c>
      <c r="N1515" s="17" t="n">
        <v>31.0665099156431</v>
      </c>
      <c r="O1515" s="18" t="n">
        <v>3.94246196535779</v>
      </c>
    </row>
    <row r="1516" ht="15" customHeight="1" s="12">
      <c r="A1516" s="14" t="inlineStr">
        <is>
          <t>Sohbatpur</t>
        </is>
      </c>
      <c r="B1516" s="14" t="inlineStr">
        <is>
          <t>Balochistan</t>
        </is>
      </c>
      <c r="C1516" s="14" t="n">
        <v>2022</v>
      </c>
      <c r="D1516" s="15" t="n">
        <v>254.561970772104</v>
      </c>
      <c r="E1516" s="15" t="n">
        <v>1871.7791968537</v>
      </c>
      <c r="F1516" s="15" t="n">
        <v>274.952143977469</v>
      </c>
      <c r="G1516" s="15" t="n">
        <v>224.116132497788</v>
      </c>
      <c r="H1516" s="15" t="n">
        <v>11.7691969088025</v>
      </c>
      <c r="I1516" s="16" t="n">
        <v>4.62331308683135</v>
      </c>
      <c r="J1516" s="15" t="n">
        <v>34.8933333333333</v>
      </c>
      <c r="K1516" s="15" t="n">
        <v>787.997707742596</v>
      </c>
      <c r="L1516" s="15" t="n">
        <v>100.011334086084</v>
      </c>
      <c r="M1516" s="15" t="n">
        <v>154.55063668602</v>
      </c>
      <c r="N1516" s="17" t="n">
        <v>79.5575564895953</v>
      </c>
      <c r="O1516" s="18" t="n">
        <v>10.0961659796583</v>
      </c>
    </row>
    <row r="1517" ht="15" customHeight="1" s="12">
      <c r="A1517" s="14" t="inlineStr">
        <is>
          <t>Sohbatpur</t>
        </is>
      </c>
      <c r="B1517" s="14" t="inlineStr">
        <is>
          <t>Balochistan</t>
        </is>
      </c>
      <c r="C1517" s="14" t="n">
        <v>2023</v>
      </c>
      <c r="D1517" s="15" t="n">
        <v>115.630331871812</v>
      </c>
      <c r="E1517" s="15" t="n">
        <v>850.223028469203</v>
      </c>
      <c r="F1517" s="15" t="n">
        <v>130.559561491013</v>
      </c>
      <c r="G1517" s="15" t="n">
        <v>87.5026350021362</v>
      </c>
      <c r="H1517" s="15" t="n">
        <v>10.1006807833264</v>
      </c>
      <c r="I1517" s="16" t="n">
        <v>8.735321104607779</v>
      </c>
      <c r="J1517" s="15" t="n">
        <v>15.3765333333333</v>
      </c>
      <c r="K1517" s="15" t="n">
        <v>787.997707742596</v>
      </c>
      <c r="L1517" s="15" t="n">
        <v>100.011334086084</v>
      </c>
      <c r="M1517" s="15" t="n">
        <v>15.6189977857276</v>
      </c>
      <c r="N1517" s="17" t="n">
        <v>28.4374164549694</v>
      </c>
      <c r="O1517" s="18" t="n">
        <v>3.60881969269112</v>
      </c>
    </row>
    <row r="1518" ht="15" customHeight="1" s="12">
      <c r="A1518" s="14" t="inlineStr">
        <is>
          <t>Sohbatpur</t>
        </is>
      </c>
      <c r="B1518" s="14" t="inlineStr">
        <is>
          <t>Balochistan</t>
        </is>
      </c>
      <c r="C1518" s="14" t="n">
        <v>2024</v>
      </c>
      <c r="D1518" s="15" t="n">
        <v>142.411585028888</v>
      </c>
      <c r="E1518" s="15" t="n">
        <v>1047.14400756535</v>
      </c>
      <c r="F1518" s="15" t="n">
        <v>160.178271107841</v>
      </c>
      <c r="G1518" s="15" t="n">
        <v>120.068998239061</v>
      </c>
      <c r="H1518" s="15" t="n">
        <v>10.3135286989035</v>
      </c>
      <c r="I1518" s="16" t="n">
        <v>7.24205737673055</v>
      </c>
      <c r="J1518" s="15" t="n">
        <v>24.9968</v>
      </c>
      <c r="K1518" s="15" t="n">
        <v>787.997707742596</v>
      </c>
      <c r="L1518" s="15" t="n">
        <v>100.011334086084</v>
      </c>
      <c r="M1518" s="15" t="n">
        <v>42.4002509428036</v>
      </c>
      <c r="N1518" s="17" t="n">
        <v>28.4505928397901</v>
      </c>
      <c r="O1518" s="18" t="n">
        <v>3.61049182760867</v>
      </c>
    </row>
    <row r="1519" ht="15" customHeight="1" s="12">
      <c r="A1519" s="14" t="inlineStr">
        <is>
          <t>Sohbatpur</t>
        </is>
      </c>
      <c r="B1519" s="14" t="inlineStr">
        <is>
          <t>Balochistan</t>
        </is>
      </c>
      <c r="C1519" s="14" t="n">
        <v>2025</v>
      </c>
      <c r="D1519" s="15" t="n">
        <v>86.2740494396384</v>
      </c>
      <c r="E1519" s="15" t="n">
        <v>634.368010585576</v>
      </c>
      <c r="F1519" s="15" t="n">
        <v>101.11733327806</v>
      </c>
      <c r="G1519" s="15" t="n">
        <v>58.3527006953955</v>
      </c>
      <c r="H1519" s="15" t="n">
        <v>10.4480137229105</v>
      </c>
      <c r="I1519" s="16" t="n">
        <v>12.1102623451336</v>
      </c>
      <c r="J1519" s="15" t="n">
        <v>13.5957333333333</v>
      </c>
      <c r="K1519" s="15" t="n">
        <v>787.997707742596</v>
      </c>
      <c r="L1519" s="15" t="n">
        <v>100.011334086084</v>
      </c>
      <c r="M1519" s="15" t="n">
        <v>-13.7372846464456</v>
      </c>
      <c r="N1519" s="17" t="n">
        <v>16.1472098478987</v>
      </c>
      <c r="O1519" s="18" t="n">
        <v>2.04914426644161</v>
      </c>
    </row>
    <row r="1520" ht="15" customHeight="1" s="12">
      <c r="A1520" s="14" t="inlineStr">
        <is>
          <t>South Karachi</t>
        </is>
      </c>
      <c r="B1520" s="14" t="inlineStr">
        <is>
          <t>Sindh</t>
        </is>
      </c>
      <c r="C1520" s="14" t="n">
        <v>2015</v>
      </c>
      <c r="D1520" s="15" t="n">
        <v>138.018109522154</v>
      </c>
      <c r="E1520" s="15" t="n">
        <v>618.6458791522419</v>
      </c>
      <c r="F1520" s="15" t="n">
        <v>150.470047384501</v>
      </c>
      <c r="G1520" s="15" t="n">
        <v>106.532554507256</v>
      </c>
      <c r="H1520" s="15" t="n">
        <v>12.4522984837757</v>
      </c>
      <c r="I1520" s="16" t="n">
        <v>9.02222072660466</v>
      </c>
      <c r="J1520" s="15" t="n">
        <v>7</v>
      </c>
      <c r="K1520" s="15" t="n">
        <v>508.689158979185</v>
      </c>
      <c r="L1520" s="15" t="n">
        <v>229.995674574643</v>
      </c>
      <c r="M1520" s="15" t="n">
        <v>-91.9775650524887</v>
      </c>
      <c r="N1520" s="17" t="n">
        <v>1.16120128411626</v>
      </c>
      <c r="O1520" s="18" t="n">
        <v>0.228273251674265</v>
      </c>
    </row>
    <row r="1521" ht="15" customHeight="1" s="12">
      <c r="A1521" s="14" t="inlineStr">
        <is>
          <t>South Karachi</t>
        </is>
      </c>
      <c r="B1521" s="14" t="inlineStr">
        <is>
          <t>Sindh</t>
        </is>
      </c>
      <c r="C1521" s="14" t="n">
        <v>2016</v>
      </c>
      <c r="D1521" s="15" t="n">
        <v>149.796574617882</v>
      </c>
      <c r="E1521" s="15" t="n">
        <v>671.441116816624</v>
      </c>
      <c r="F1521" s="15" t="n">
        <v>160.150211274624</v>
      </c>
      <c r="G1521" s="15" t="n">
        <v>126.319710493088</v>
      </c>
      <c r="H1521" s="15" t="n">
        <v>10.3443538467456</v>
      </c>
      <c r="I1521" s="16" t="n">
        <v>6.90560106139488</v>
      </c>
      <c r="J1521" s="15" t="n">
        <v>14.4636920384952</v>
      </c>
      <c r="K1521" s="15" t="n">
        <v>508.689158979185</v>
      </c>
      <c r="L1521" s="15" t="n">
        <v>229.995674574643</v>
      </c>
      <c r="M1521" s="15" t="n">
        <v>-80.19909995676051</v>
      </c>
      <c r="N1521" s="17" t="n">
        <v>0.985306981615252</v>
      </c>
      <c r="O1521" s="18" t="n">
        <v>0.193695297849972</v>
      </c>
    </row>
    <row r="1522" ht="15" customHeight="1" s="12">
      <c r="A1522" s="14" t="inlineStr">
        <is>
          <t>South Karachi</t>
        </is>
      </c>
      <c r="B1522" s="14" t="inlineStr">
        <is>
          <t>Sindh</t>
        </is>
      </c>
      <c r="C1522" s="14" t="n">
        <v>2017</v>
      </c>
      <c r="D1522" s="15" t="n">
        <v>232.339099818119</v>
      </c>
      <c r="E1522" s="15" t="n">
        <v>1041.42584742004</v>
      </c>
      <c r="F1522" s="15" t="n">
        <v>246.016335129738</v>
      </c>
      <c r="G1522" s="15" t="n">
        <v>190.805031299591</v>
      </c>
      <c r="H1522" s="15" t="n">
        <v>16.7973126963764</v>
      </c>
      <c r="I1522" s="16" t="n">
        <v>7.22965385917641</v>
      </c>
      <c r="J1522" s="15" t="n">
        <v>20.9772528433946</v>
      </c>
      <c r="K1522" s="15" t="n">
        <v>508.689158979185</v>
      </c>
      <c r="L1522" s="15" t="n">
        <v>229.995674574643</v>
      </c>
      <c r="M1522" s="15" t="n">
        <v>2.34342524347625</v>
      </c>
      <c r="N1522" s="17" t="n">
        <v>1.32655870657385</v>
      </c>
      <c r="O1522" s="18" t="n">
        <v>0.260779826571481</v>
      </c>
    </row>
    <row r="1523" ht="15" customHeight="1" s="12">
      <c r="A1523" s="14" t="inlineStr">
        <is>
          <t>South Karachi</t>
        </is>
      </c>
      <c r="B1523" s="14" t="inlineStr">
        <is>
          <t>Sindh</t>
        </is>
      </c>
      <c r="C1523" s="14" t="n">
        <v>2018</v>
      </c>
      <c r="D1523" s="15" t="n">
        <v>42.3468544135933</v>
      </c>
      <c r="E1523" s="15" t="n">
        <v>189.813547430342</v>
      </c>
      <c r="F1523" s="15" t="n">
        <v>45.9476556265727</v>
      </c>
      <c r="G1523" s="15" t="n">
        <v>34.281043284107</v>
      </c>
      <c r="H1523" s="15" t="n">
        <v>3.74489493213146</v>
      </c>
      <c r="I1523" s="16" t="n">
        <v>8.84338396320023</v>
      </c>
      <c r="J1523" s="15" t="n">
        <v>7.70428696412948</v>
      </c>
      <c r="K1523" s="15" t="n">
        <v>508.689158979185</v>
      </c>
      <c r="L1523" s="15" t="n">
        <v>229.995674574643</v>
      </c>
      <c r="M1523" s="15" t="n">
        <v>-187.648820161049</v>
      </c>
      <c r="N1523" s="17" t="n">
        <v>0.9399938521367061</v>
      </c>
      <c r="O1523" s="18" t="n">
        <v>0.184787474933227</v>
      </c>
    </row>
    <row r="1524" ht="15" customHeight="1" s="12">
      <c r="A1524" s="14" t="inlineStr">
        <is>
          <t>South Karachi</t>
        </is>
      </c>
      <c r="B1524" s="14" t="inlineStr">
        <is>
          <t>Sindh</t>
        </is>
      </c>
      <c r="C1524" s="14" t="n">
        <v>2019</v>
      </c>
      <c r="D1524" s="15" t="n">
        <v>337.325467472421</v>
      </c>
      <c r="E1524" s="15" t="n">
        <v>1512.01180125873</v>
      </c>
      <c r="F1524" s="15" t="n">
        <v>358.663542978931</v>
      </c>
      <c r="G1524" s="15" t="n">
        <v>290.047612638213</v>
      </c>
      <c r="H1524" s="15" t="n">
        <v>19.0976808425232</v>
      </c>
      <c r="I1524" s="16" t="n">
        <v>5.66149985224126</v>
      </c>
      <c r="J1524" s="15" t="n">
        <v>20.4750656167979</v>
      </c>
      <c r="K1524" s="15" t="n">
        <v>508.689158979185</v>
      </c>
      <c r="L1524" s="15" t="n">
        <v>229.995674574643</v>
      </c>
      <c r="M1524" s="15" t="n">
        <v>107.329792897778</v>
      </c>
      <c r="N1524" s="17" t="n">
        <v>1.61865193965682</v>
      </c>
      <c r="O1524" s="18" t="n">
        <v>0.318200596785875</v>
      </c>
    </row>
    <row r="1525" ht="15" customHeight="1" s="12">
      <c r="A1525" s="14" t="inlineStr">
        <is>
          <t>South Karachi</t>
        </is>
      </c>
      <c r="B1525" s="14" t="inlineStr">
        <is>
          <t>Sindh</t>
        </is>
      </c>
      <c r="C1525" s="14" t="n">
        <v>2020</v>
      </c>
      <c r="D1525" s="15" t="n">
        <v>370.920779661471</v>
      </c>
      <c r="E1525" s="15" t="n">
        <v>1662.59784765906</v>
      </c>
      <c r="F1525" s="15" t="n">
        <v>405.506613930027</v>
      </c>
      <c r="G1525" s="15" t="n">
        <v>313.364139001952</v>
      </c>
      <c r="H1525" s="15" t="n">
        <v>28.9533850514822</v>
      </c>
      <c r="I1525" s="16" t="n">
        <v>7.80581370445388</v>
      </c>
      <c r="J1525" s="15" t="n">
        <v>29.3534558180227</v>
      </c>
      <c r="K1525" s="15" t="n">
        <v>508.689158979185</v>
      </c>
      <c r="L1525" s="15" t="n">
        <v>229.995674574643</v>
      </c>
      <c r="M1525" s="15" t="n">
        <v>140.925105086828</v>
      </c>
      <c r="N1525" s="17" t="n">
        <v>1.60616567862573</v>
      </c>
      <c r="O1525" s="18" t="n">
        <v>0.315746001320121</v>
      </c>
    </row>
    <row r="1526" ht="15" customHeight="1" s="12">
      <c r="A1526" s="14" t="inlineStr">
        <is>
          <t>South Karachi</t>
        </is>
      </c>
      <c r="B1526" s="14" t="inlineStr">
        <is>
          <t>Sindh</t>
        </is>
      </c>
      <c r="C1526" s="14" t="n">
        <v>2021</v>
      </c>
      <c r="D1526" s="15" t="n">
        <v>149.997230506162</v>
      </c>
      <c r="E1526" s="15" t="n">
        <v>672.340527327622</v>
      </c>
      <c r="F1526" s="15" t="n">
        <v>171.447775006294</v>
      </c>
      <c r="G1526" s="15" t="n">
        <v>116.882114470005</v>
      </c>
      <c r="H1526" s="15" t="n">
        <v>15.2084977704037</v>
      </c>
      <c r="I1526" s="16" t="n">
        <v>10.1391857163515</v>
      </c>
      <c r="J1526" s="15" t="n">
        <v>19.2178477690289</v>
      </c>
      <c r="K1526" s="15" t="n">
        <v>508.689158979185</v>
      </c>
      <c r="L1526" s="15" t="n">
        <v>229.995674574643</v>
      </c>
      <c r="M1526" s="15" t="n">
        <v>-79.9984440684801</v>
      </c>
      <c r="N1526" s="17" t="n">
        <v>0.588997078792318</v>
      </c>
      <c r="O1526" s="18" t="n">
        <v>0.11578722848631</v>
      </c>
    </row>
    <row r="1527" ht="15" customHeight="1" s="12">
      <c r="A1527" s="14" t="inlineStr">
        <is>
          <t>South Karachi</t>
        </is>
      </c>
      <c r="B1527" s="14" t="inlineStr">
        <is>
          <t>Sindh</t>
        </is>
      </c>
      <c r="C1527" s="14" t="n">
        <v>2022</v>
      </c>
      <c r="D1527" s="15" t="n">
        <v>549.693204815019</v>
      </c>
      <c r="E1527" s="15" t="n">
        <v>2463.91895334732</v>
      </c>
      <c r="F1527" s="15" t="n">
        <v>580.262487266271</v>
      </c>
      <c r="G1527" s="15" t="n">
        <v>473.18583381176</v>
      </c>
      <c r="H1527" s="15" t="n">
        <v>33.9438873585469</v>
      </c>
      <c r="I1527" s="16" t="n">
        <v>6.17506039027161</v>
      </c>
      <c r="J1527" s="15" t="n">
        <v>35.3727034120735</v>
      </c>
      <c r="K1527" s="15" t="n">
        <v>508.689158979185</v>
      </c>
      <c r="L1527" s="15" t="n">
        <v>229.995674574643</v>
      </c>
      <c r="M1527" s="15" t="n">
        <v>319.697530240377</v>
      </c>
      <c r="N1527" s="17" t="n">
        <v>2.09862723741407</v>
      </c>
      <c r="O1527" s="18" t="n">
        <v>0.412555919537485</v>
      </c>
    </row>
    <row r="1528" ht="15" customHeight="1" s="12">
      <c r="A1528" s="14" t="inlineStr">
        <is>
          <t>South Karachi</t>
        </is>
      </c>
      <c r="B1528" s="14" t="inlineStr">
        <is>
          <t>Sindh</t>
        </is>
      </c>
      <c r="C1528" s="14" t="n">
        <v>2023</v>
      </c>
      <c r="D1528" s="15" t="n">
        <v>145.092446541536</v>
      </c>
      <c r="E1528" s="15" t="n">
        <v>650.355554497943</v>
      </c>
      <c r="F1528" s="15" t="n">
        <v>159.317400693893</v>
      </c>
      <c r="G1528" s="15" t="n">
        <v>119.489443540573</v>
      </c>
      <c r="H1528" s="15" t="n">
        <v>11.8734532473726</v>
      </c>
      <c r="I1528" s="16" t="n">
        <v>8.18337103715012</v>
      </c>
      <c r="J1528" s="15" t="n">
        <v>16.421697287839</v>
      </c>
      <c r="K1528" s="15" t="n">
        <v>508.689158979185</v>
      </c>
      <c r="L1528" s="15" t="n">
        <v>229.995674574643</v>
      </c>
      <c r="M1528" s="15" t="n">
        <v>-84.9032280331066</v>
      </c>
      <c r="N1528" s="17" t="n">
        <v>0.6865683989882519</v>
      </c>
      <c r="O1528" s="18" t="n">
        <v>0.134968160195517</v>
      </c>
    </row>
    <row r="1529" ht="15" customHeight="1" s="12">
      <c r="A1529" s="14" t="inlineStr">
        <is>
          <t>South Karachi</t>
        </is>
      </c>
      <c r="B1529" s="14" t="inlineStr">
        <is>
          <t>Sindh</t>
        </is>
      </c>
      <c r="C1529" s="14" t="n">
        <v>2024</v>
      </c>
      <c r="D1529" s="15" t="n">
        <v>222.799642083507</v>
      </c>
      <c r="E1529" s="15" t="n">
        <v>998.666630986073</v>
      </c>
      <c r="F1529" s="15" t="n">
        <v>237.247823144775</v>
      </c>
      <c r="G1529" s="15" t="n">
        <v>188.202476852108</v>
      </c>
      <c r="H1529" s="15" t="n">
        <v>16.8608847105336</v>
      </c>
      <c r="I1529" s="16" t="n">
        <v>7.56773419959712</v>
      </c>
      <c r="J1529" s="15" t="n">
        <v>24.7384076990376</v>
      </c>
      <c r="K1529" s="15" t="n">
        <v>508.689158979185</v>
      </c>
      <c r="L1529" s="15" t="n">
        <v>229.995674574643</v>
      </c>
      <c r="M1529" s="15" t="n">
        <v>-7.19603249113527</v>
      </c>
      <c r="N1529" s="17" t="n">
        <v>0.731570772991346</v>
      </c>
      <c r="O1529" s="18" t="n">
        <v>0.143814893649283</v>
      </c>
    </row>
    <row r="1530" ht="15" customHeight="1" s="12">
      <c r="A1530" s="14" t="inlineStr">
        <is>
          <t>South Karachi</t>
        </is>
      </c>
      <c r="B1530" s="14" t="inlineStr">
        <is>
          <t>Sindh</t>
        </is>
      </c>
      <c r="C1530" s="14" t="n">
        <v>2025</v>
      </c>
      <c r="D1530" s="15" t="n">
        <v>191.623010869204</v>
      </c>
      <c r="E1530" s="15" t="n">
        <v>858.921966366668</v>
      </c>
      <c r="F1530" s="15" t="n">
        <v>209.262681082681</v>
      </c>
      <c r="G1530" s="15" t="n">
        <v>158.281235005386</v>
      </c>
      <c r="H1530" s="15" t="n">
        <v>15.3196638269684</v>
      </c>
      <c r="I1530" s="16" t="n">
        <v>7.99468902898366</v>
      </c>
      <c r="J1530" s="15" t="n">
        <v>17.4348206474191</v>
      </c>
      <c r="K1530" s="15" t="n">
        <v>508.689158979185</v>
      </c>
      <c r="L1530" s="15" t="n">
        <v>229.995674574643</v>
      </c>
      <c r="M1530" s="15" t="n">
        <v>-38.3726637054384</v>
      </c>
      <c r="N1530" s="17" t="n">
        <v>0.632559852289895</v>
      </c>
      <c r="O1530" s="18" t="n">
        <v>0.124350959937752</v>
      </c>
    </row>
    <row r="1531" ht="15" customHeight="1" s="12">
      <c r="A1531" s="14" t="inlineStr">
        <is>
          <t>South Waziristan</t>
        </is>
      </c>
      <c r="B1531" s="14" t="inlineStr">
        <is>
          <t>Khyber Pakhtunkhwa</t>
        </is>
      </c>
      <c r="C1531" s="14" t="n">
        <v>2015</v>
      </c>
      <c r="D1531" s="15" t="n">
        <v>161.561093591913</v>
      </c>
      <c r="E1531" s="15" t="n">
        <v>9617.003292673129</v>
      </c>
      <c r="F1531" s="15" t="n">
        <v>264.103190660477</v>
      </c>
      <c r="G1531" s="15" t="n">
        <v>75.9413343667984</v>
      </c>
      <c r="H1531" s="15" t="n">
        <v>52.6371080044009</v>
      </c>
      <c r="I1531" s="16" t="n">
        <v>32.5803117781295</v>
      </c>
      <c r="J1531" s="15" t="n">
        <v>17.44904143883</v>
      </c>
      <c r="K1531" s="15" t="n">
        <v>6228.45610081801</v>
      </c>
      <c r="L1531" s="15" t="n">
        <v>168.946098268179</v>
      </c>
      <c r="M1531" s="15" t="n">
        <v>-7.38500467626596</v>
      </c>
      <c r="N1531" s="17" t="n">
        <v>3.23107450827778</v>
      </c>
      <c r="O1531" s="18" t="n">
        <v>0.0518760099770701</v>
      </c>
    </row>
    <row r="1532" ht="15" customHeight="1" s="12">
      <c r="A1532" s="14" t="inlineStr">
        <is>
          <t>South Waziristan</t>
        </is>
      </c>
      <c r="B1532" s="14" t="inlineStr">
        <is>
          <t>Khyber Pakhtunkhwa</t>
        </is>
      </c>
      <c r="C1532" s="14" t="n">
        <v>2016</v>
      </c>
      <c r="D1532" s="15" t="n">
        <v>179.535443819329</v>
      </c>
      <c r="E1532" s="15" t="n">
        <v>10686.9353009161</v>
      </c>
      <c r="F1532" s="15" t="n">
        <v>279.732957601547</v>
      </c>
      <c r="G1532" s="15" t="n">
        <v>73.8627502918243</v>
      </c>
      <c r="H1532" s="15" t="n">
        <v>57.9798642793041</v>
      </c>
      <c r="I1532" s="16" t="n">
        <v>32.2943832403648</v>
      </c>
      <c r="J1532" s="15" t="n">
        <v>11.9970353778246</v>
      </c>
      <c r="K1532" s="15" t="n">
        <v>6228.45610081801</v>
      </c>
      <c r="L1532" s="15" t="n">
        <v>168.946098268179</v>
      </c>
      <c r="M1532" s="15" t="n">
        <v>10.5893455511504</v>
      </c>
      <c r="N1532" s="17" t="n">
        <v>0.775429702730785</v>
      </c>
      <c r="O1532" s="18" t="n">
        <v>0.0124497899668739</v>
      </c>
    </row>
    <row r="1533" ht="15" customHeight="1" s="12">
      <c r="A1533" s="14" t="inlineStr">
        <is>
          <t>South Waziristan</t>
        </is>
      </c>
      <c r="B1533" s="14" t="inlineStr">
        <is>
          <t>Khyber Pakhtunkhwa</t>
        </is>
      </c>
      <c r="C1533" s="14" t="n">
        <v>2017</v>
      </c>
      <c r="D1533" s="15" t="n">
        <v>158.049502226151</v>
      </c>
      <c r="E1533" s="15" t="n">
        <v>9407.97409525783</v>
      </c>
      <c r="F1533" s="15" t="n">
        <v>268.363171577454</v>
      </c>
      <c r="G1533" s="15" t="n">
        <v>64.8520287275314</v>
      </c>
      <c r="H1533" s="15" t="n">
        <v>55.7637094404693</v>
      </c>
      <c r="I1533" s="16" t="n">
        <v>35.2824328169523</v>
      </c>
      <c r="J1533" s="15" t="n">
        <v>16.3342117399038</v>
      </c>
      <c r="K1533" s="15" t="n">
        <v>6228.45610081801</v>
      </c>
      <c r="L1533" s="15" t="n">
        <v>168.946098268179</v>
      </c>
      <c r="M1533" s="15" t="n">
        <v>-10.896596042028</v>
      </c>
      <c r="N1533" s="17" t="n">
        <v>0.175705774597168</v>
      </c>
      <c r="O1533" s="18" t="n">
        <v>0.00282101650478185</v>
      </c>
    </row>
    <row r="1534" ht="15" customHeight="1" s="12">
      <c r="A1534" s="14" t="inlineStr">
        <is>
          <t>South Waziristan</t>
        </is>
      </c>
      <c r="B1534" s="14" t="inlineStr">
        <is>
          <t>Khyber Pakhtunkhwa</t>
        </is>
      </c>
      <c r="C1534" s="14" t="n">
        <v>2018</v>
      </c>
      <c r="D1534" s="15" t="n">
        <v>141.548468882227</v>
      </c>
      <c r="E1534" s="15" t="n">
        <v>8425.7419967189</v>
      </c>
      <c r="F1534" s="15" t="n">
        <v>242.914506733418</v>
      </c>
      <c r="G1534" s="15" t="n">
        <v>54.3521172553301</v>
      </c>
      <c r="H1534" s="15" t="n">
        <v>55.117838331183</v>
      </c>
      <c r="I1534" s="16" t="n">
        <v>38.9391978355082</v>
      </c>
      <c r="J1534" s="15" t="n">
        <v>18.1270175900916</v>
      </c>
      <c r="K1534" s="15" t="n">
        <v>6228.45610081801</v>
      </c>
      <c r="L1534" s="15" t="n">
        <v>168.946098268179</v>
      </c>
      <c r="M1534" s="15" t="n">
        <v>-27.3976293859523</v>
      </c>
      <c r="N1534" s="17" t="n">
        <v>0.177214428955078</v>
      </c>
      <c r="O1534" s="18" t="n">
        <v>0.00284523846819445</v>
      </c>
    </row>
    <row r="1535" ht="15" customHeight="1" s="12">
      <c r="A1535" s="14" t="inlineStr">
        <is>
          <t>South Waziristan</t>
        </is>
      </c>
      <c r="B1535" s="14" t="inlineStr">
        <is>
          <t>Khyber Pakhtunkhwa</t>
        </is>
      </c>
      <c r="C1535" s="14" t="n">
        <v>2019</v>
      </c>
      <c r="D1535" s="15" t="n">
        <v>186.901426097033</v>
      </c>
      <c r="E1535" s="15" t="n">
        <v>11125.399006772</v>
      </c>
      <c r="F1535" s="15" t="n">
        <v>296.795009211968</v>
      </c>
      <c r="G1535" s="15" t="n">
        <v>89.9362554550171</v>
      </c>
      <c r="H1535" s="15" t="n">
        <v>59.5893296617328</v>
      </c>
      <c r="I1535" s="16" t="n">
        <v>31.8827581501684</v>
      </c>
      <c r="J1535" s="15" t="n">
        <v>16.9533566111075</v>
      </c>
      <c r="K1535" s="15" t="n">
        <v>6228.45610081801</v>
      </c>
      <c r="L1535" s="15" t="n">
        <v>168.946098268179</v>
      </c>
      <c r="M1535" s="15" t="n">
        <v>17.955327828854</v>
      </c>
      <c r="N1535" s="17" t="n">
        <v>2.23039931894388</v>
      </c>
      <c r="O1535" s="18" t="n">
        <v>0.0358098264295537</v>
      </c>
    </row>
    <row r="1536" ht="15" customHeight="1" s="12">
      <c r="A1536" s="14" t="inlineStr">
        <is>
          <t>South Waziristan</t>
        </is>
      </c>
      <c r="B1536" s="14" t="inlineStr">
        <is>
          <t>Khyber Pakhtunkhwa</t>
        </is>
      </c>
      <c r="C1536" s="14" t="n">
        <v>2020</v>
      </c>
      <c r="D1536" s="15" t="n">
        <v>108.958166668063</v>
      </c>
      <c r="E1536" s="15" t="n">
        <v>6485.78828178249</v>
      </c>
      <c r="F1536" s="15" t="n">
        <v>165.238575385108</v>
      </c>
      <c r="G1536" s="15" t="n">
        <v>59.5516701340675</v>
      </c>
      <c r="H1536" s="15" t="n">
        <v>29.1230408424838</v>
      </c>
      <c r="I1536" s="16" t="n">
        <v>26.7286443348537</v>
      </c>
      <c r="J1536" s="15" t="n">
        <v>19.7742275512221</v>
      </c>
      <c r="K1536" s="15" t="n">
        <v>6228.45610081801</v>
      </c>
      <c r="L1536" s="15" t="n">
        <v>168.946098268179</v>
      </c>
      <c r="M1536" s="15" t="n">
        <v>-59.9879316001156</v>
      </c>
      <c r="N1536" s="17" t="n">
        <v>0.10587262356699</v>
      </c>
      <c r="O1536" s="18" t="n">
        <v>0.00169982130167195</v>
      </c>
    </row>
    <row r="1537" ht="15" customHeight="1" s="12">
      <c r="A1537" s="14" t="inlineStr">
        <is>
          <t>South Waziristan</t>
        </is>
      </c>
      <c r="B1537" s="14" t="inlineStr">
        <is>
          <t>Khyber Pakhtunkhwa</t>
        </is>
      </c>
      <c r="C1537" s="14" t="n">
        <v>2021</v>
      </c>
      <c r="D1537" s="15" t="n">
        <v>166.156700033838</v>
      </c>
      <c r="E1537" s="15" t="n">
        <v>9890.559018876969</v>
      </c>
      <c r="F1537" s="15" t="n">
        <v>288.462008237839</v>
      </c>
      <c r="G1537" s="15" t="n">
        <v>80.07111263275149</v>
      </c>
      <c r="H1537" s="15" t="n">
        <v>51.2663302311566</v>
      </c>
      <c r="I1537" s="16" t="n">
        <v>30.8542058314327</v>
      </c>
      <c r="J1537" s="15" t="n">
        <v>15.8286448382634</v>
      </c>
      <c r="K1537" s="15" t="n">
        <v>6228.45610081801</v>
      </c>
      <c r="L1537" s="15" t="n">
        <v>168.946098268179</v>
      </c>
      <c r="M1537" s="15" t="n">
        <v>-2.78939823434089</v>
      </c>
      <c r="N1537" s="17" t="n">
        <v>0.333001894592285</v>
      </c>
      <c r="O1537" s="18" t="n">
        <v>0.00534645968763512</v>
      </c>
    </row>
    <row r="1538" ht="15" customHeight="1" s="12">
      <c r="A1538" s="14" t="inlineStr">
        <is>
          <t>South Waziristan</t>
        </is>
      </c>
      <c r="B1538" s="14" t="inlineStr">
        <is>
          <t>Khyber Pakhtunkhwa</t>
        </is>
      </c>
      <c r="C1538" s="14" t="n">
        <v>2022</v>
      </c>
      <c r="D1538" s="15" t="n">
        <v>270.408983479372</v>
      </c>
      <c r="E1538" s="15" t="n">
        <v>16096.2272950329</v>
      </c>
      <c r="F1538" s="15" t="n">
        <v>393.799113601446</v>
      </c>
      <c r="G1538" s="15" t="n">
        <v>133.878178119659</v>
      </c>
      <c r="H1538" s="15" t="n">
        <v>72.8206575032935</v>
      </c>
      <c r="I1538" s="16" t="n">
        <v>26.9298218447866</v>
      </c>
      <c r="J1538" s="15" t="n">
        <v>23.7427366756704</v>
      </c>
      <c r="K1538" s="15" t="n">
        <v>6228.45610081801</v>
      </c>
      <c r="L1538" s="15" t="n">
        <v>168.946098268179</v>
      </c>
      <c r="M1538" s="15" t="n">
        <v>101.462885211193</v>
      </c>
      <c r="N1538" s="17" t="n">
        <v>3.47010832217249</v>
      </c>
      <c r="O1538" s="18" t="n">
        <v>0.0557137798838583</v>
      </c>
    </row>
    <row r="1539" ht="15" customHeight="1" s="12">
      <c r="A1539" s="14" t="inlineStr">
        <is>
          <t>South Waziristan</t>
        </is>
      </c>
      <c r="B1539" s="14" t="inlineStr">
        <is>
          <t>Khyber Pakhtunkhwa</t>
        </is>
      </c>
      <c r="C1539" s="14" t="n">
        <v>2023</v>
      </c>
      <c r="D1539" s="15" t="n">
        <v>154.686133170923</v>
      </c>
      <c r="E1539" s="15" t="n">
        <v>9207.767903535039</v>
      </c>
      <c r="F1539" s="15" t="n">
        <v>249.000450730324</v>
      </c>
      <c r="G1539" s="15" t="n">
        <v>96.7986896038055</v>
      </c>
      <c r="H1539" s="15" t="n">
        <v>38.7866121902612</v>
      </c>
      <c r="I1539" s="16" t="n">
        <v>25.0743950961676</v>
      </c>
      <c r="J1539" s="15" t="n">
        <v>13.3380986889782</v>
      </c>
      <c r="K1539" s="15" t="n">
        <v>6228.45610081801</v>
      </c>
      <c r="L1539" s="15" t="n">
        <v>168.946098268179</v>
      </c>
      <c r="M1539" s="15" t="n">
        <v>-14.2599650972563</v>
      </c>
      <c r="N1539" s="17" t="n">
        <v>0.164168083435059</v>
      </c>
      <c r="O1539" s="18" t="n">
        <v>0.00263577491400313</v>
      </c>
    </row>
    <row r="1540" ht="15" customHeight="1" s="12">
      <c r="A1540" s="14" t="inlineStr">
        <is>
          <t>South Waziristan</t>
        </is>
      </c>
      <c r="B1540" s="14" t="inlineStr">
        <is>
          <t>Khyber Pakhtunkhwa</t>
        </is>
      </c>
      <c r="C1540" s="14" t="n">
        <v>2024</v>
      </c>
      <c r="D1540" s="15" t="n">
        <v>164.825485144952</v>
      </c>
      <c r="E1540" s="15" t="n">
        <v>9811.317800059711</v>
      </c>
      <c r="F1540" s="15" t="n">
        <v>241.816209814511</v>
      </c>
      <c r="G1540" s="15" t="n">
        <v>89.9054873236455</v>
      </c>
      <c r="H1540" s="15" t="n">
        <v>40.9540888397881</v>
      </c>
      <c r="I1540" s="16" t="n">
        <v>24.846939660922</v>
      </c>
      <c r="J1540" s="15" t="n">
        <v>23.9907108505172</v>
      </c>
      <c r="K1540" s="15" t="n">
        <v>6228.45610081801</v>
      </c>
      <c r="L1540" s="15" t="n">
        <v>168.946098268179</v>
      </c>
      <c r="M1540" s="15" t="n">
        <v>-4.12061312322706</v>
      </c>
      <c r="N1540" s="17" t="n">
        <v>0.131512156311035</v>
      </c>
      <c r="O1540" s="18" t="n">
        <v>0.00211147279811064</v>
      </c>
    </row>
    <row r="1541" ht="15" customHeight="1" s="12">
      <c r="A1541" s="14" t="inlineStr">
        <is>
          <t>South Waziristan</t>
        </is>
      </c>
      <c r="B1541" s="14" t="inlineStr">
        <is>
          <t>Khyber Pakhtunkhwa</t>
        </is>
      </c>
      <c r="C1541" s="14" t="n">
        <v>2025</v>
      </c>
      <c r="D1541" s="15" t="n">
        <v>165.775677836168</v>
      </c>
      <c r="E1541" s="15" t="n">
        <v>9867.87848578505</v>
      </c>
      <c r="F1541" s="15" t="n">
        <v>247.491181248799</v>
      </c>
      <c r="G1541" s="15" t="n">
        <v>71.50542139704341</v>
      </c>
      <c r="H1541" s="15" t="n">
        <v>52.7303047161165</v>
      </c>
      <c r="I1541" s="16" t="n">
        <v>31.808227482097</v>
      </c>
      <c r="J1541" s="15" t="n">
        <v>19.2683971276105</v>
      </c>
      <c r="K1541" s="15" t="n">
        <v>6228.45610081801</v>
      </c>
      <c r="L1541" s="15" t="n">
        <v>168.946098268179</v>
      </c>
      <c r="M1541" s="15" t="n">
        <v>-3.17042043201147</v>
      </c>
      <c r="N1541" s="17" t="n">
        <v>0.177531671183986</v>
      </c>
      <c r="O1541" s="18" t="n">
        <v>0.00285033190104158</v>
      </c>
    </row>
    <row r="1542" ht="15" customHeight="1" s="12">
      <c r="A1542" s="14" t="inlineStr">
        <is>
          <t>Sudhnoti</t>
        </is>
      </c>
      <c r="B1542" s="14" t="inlineStr">
        <is>
          <t>Azad Kashmir</t>
        </is>
      </c>
      <c r="C1542" s="14" t="n">
        <v>2015</v>
      </c>
      <c r="D1542" s="15" t="n">
        <v>859.277639477598</v>
      </c>
      <c r="E1542" s="15" t="n">
        <v>4744.56045640964</v>
      </c>
      <c r="F1542" s="15" t="n">
        <v>944.304874420166</v>
      </c>
      <c r="G1542" s="15" t="n">
        <v>764.691480636597</v>
      </c>
      <c r="H1542" s="15" t="n">
        <v>51.0325728907609</v>
      </c>
      <c r="I1542" s="16" t="n">
        <v>5.93900859817397</v>
      </c>
      <c r="J1542" s="15" t="n">
        <v>32.9069602272727</v>
      </c>
      <c r="K1542" s="15" t="n">
        <v>568.063552583043</v>
      </c>
      <c r="L1542" s="15" t="n">
        <v>843.984211792698</v>
      </c>
      <c r="M1542" s="15" t="n">
        <v>15.2934276849006</v>
      </c>
      <c r="N1542" s="17" t="n">
        <v>0.063923458180147</v>
      </c>
      <c r="O1542" s="18" t="n">
        <v>0.0112528708961313</v>
      </c>
    </row>
    <row r="1543" ht="15" customHeight="1" s="12">
      <c r="A1543" s="14" t="inlineStr">
        <is>
          <t>Sudhnoti</t>
        </is>
      </c>
      <c r="B1543" s="14" t="inlineStr">
        <is>
          <t>Azad Kashmir</t>
        </is>
      </c>
      <c r="C1543" s="14" t="n">
        <v>2016</v>
      </c>
      <c r="D1543" s="15" t="n">
        <v>755.848690797744</v>
      </c>
      <c r="E1543" s="15" t="n">
        <v>4173.47041820872</v>
      </c>
      <c r="F1543" s="15" t="n">
        <v>832.18955373764</v>
      </c>
      <c r="G1543" s="15" t="n">
        <v>682.0622878074651</v>
      </c>
      <c r="H1543" s="15" t="n">
        <v>45.7933415912011</v>
      </c>
      <c r="I1543" s="16" t="n">
        <v>6.05853289801555</v>
      </c>
      <c r="J1543" s="15" t="n">
        <v>28.9375</v>
      </c>
      <c r="K1543" s="15" t="n">
        <v>568.063552583043</v>
      </c>
      <c r="L1543" s="15" t="n">
        <v>843.984211792698</v>
      </c>
      <c r="M1543" s="15" t="n">
        <v>-88.13552099495359</v>
      </c>
      <c r="N1543" s="17" t="n">
        <v>0.265624189698223</v>
      </c>
      <c r="O1543" s="18" t="n">
        <v>0.0467595902765461</v>
      </c>
    </row>
    <row r="1544" ht="15" customHeight="1" s="12">
      <c r="A1544" s="14" t="inlineStr">
        <is>
          <t>Sudhnoti</t>
        </is>
      </c>
      <c r="B1544" s="14" t="inlineStr">
        <is>
          <t>Azad Kashmir</t>
        </is>
      </c>
      <c r="C1544" s="14" t="n">
        <v>2017</v>
      </c>
      <c r="D1544" s="15" t="n">
        <v>641.678121995012</v>
      </c>
      <c r="E1544" s="15" t="n">
        <v>3543.06978732932</v>
      </c>
      <c r="F1544" s="15" t="n">
        <v>717.600947141647</v>
      </c>
      <c r="G1544" s="15" t="n">
        <v>568.316810131073</v>
      </c>
      <c r="H1544" s="15" t="n">
        <v>48.6006016571397</v>
      </c>
      <c r="I1544" s="16" t="n">
        <v>7.57398452452109</v>
      </c>
      <c r="J1544" s="15" t="n">
        <v>41.7457386363636</v>
      </c>
      <c r="K1544" s="15" t="n">
        <v>568.063552583043</v>
      </c>
      <c r="L1544" s="15" t="n">
        <v>843.984211792698</v>
      </c>
      <c r="M1544" s="15" t="n">
        <v>-202.306089797686</v>
      </c>
      <c r="N1544" s="17" t="n">
        <v>0.0126879666137695</v>
      </c>
      <c r="O1544" s="18" t="n">
        <v>0.00223354703115101</v>
      </c>
    </row>
    <row r="1545" ht="15" customHeight="1" s="12">
      <c r="A1545" s="14" t="inlineStr">
        <is>
          <t>Sudhnoti</t>
        </is>
      </c>
      <c r="B1545" s="14" t="inlineStr">
        <is>
          <t>Azad Kashmir</t>
        </is>
      </c>
      <c r="C1545" s="14" t="n">
        <v>2018</v>
      </c>
      <c r="D1545" s="15" t="n">
        <v>736.95983797951</v>
      </c>
      <c r="E1545" s="15" t="n">
        <v>4069.17432107902</v>
      </c>
      <c r="F1545" s="15" t="n">
        <v>801.596665501595</v>
      </c>
      <c r="G1545" s="15" t="n">
        <v>649.477694451809</v>
      </c>
      <c r="H1545" s="15" t="n">
        <v>47.7310972627799</v>
      </c>
      <c r="I1545" s="16" t="n">
        <v>6.47675691441235</v>
      </c>
      <c r="J1545" s="15" t="n">
        <v>33.4659090909091</v>
      </c>
      <c r="K1545" s="15" t="n">
        <v>568.063552583043</v>
      </c>
      <c r="L1545" s="15" t="n">
        <v>843.984211792698</v>
      </c>
      <c r="M1545" s="15" t="n">
        <v>-107.024373813188</v>
      </c>
      <c r="N1545" s="17" t="n">
        <v>0.0148992316631242</v>
      </c>
      <c r="O1545" s="18" t="n">
        <v>0.00262281070407983</v>
      </c>
    </row>
    <row r="1546" ht="15" customHeight="1" s="12">
      <c r="A1546" s="14" t="inlineStr">
        <is>
          <t>Sudhnoti</t>
        </is>
      </c>
      <c r="B1546" s="14" t="inlineStr">
        <is>
          <t>Azad Kashmir</t>
        </is>
      </c>
      <c r="C1546" s="14" t="n">
        <v>2019</v>
      </c>
      <c r="D1546" s="15" t="n">
        <v>779.564730747803</v>
      </c>
      <c r="E1546" s="15" t="n">
        <v>4304.42016036434</v>
      </c>
      <c r="F1546" s="15" t="n">
        <v>853.186556857778</v>
      </c>
      <c r="G1546" s="15" t="n">
        <v>717.165781412305</v>
      </c>
      <c r="H1546" s="15" t="n">
        <v>40.6367898529192</v>
      </c>
      <c r="I1546" s="16" t="n">
        <v>5.2127537650322</v>
      </c>
      <c r="J1546" s="15" t="n">
        <v>33.0205965909091</v>
      </c>
      <c r="K1546" s="15" t="n">
        <v>568.063552583043</v>
      </c>
      <c r="L1546" s="15" t="n">
        <v>843.984211792698</v>
      </c>
      <c r="M1546" s="15" t="n">
        <v>-64.4194810448945</v>
      </c>
      <c r="N1546" s="17" t="n">
        <v>0.0119413051757812</v>
      </c>
      <c r="O1546" s="18" t="n">
        <v>0.0021021072592112</v>
      </c>
    </row>
    <row r="1547" ht="15" customHeight="1" s="12">
      <c r="A1547" s="14" t="inlineStr">
        <is>
          <t>Sudhnoti</t>
        </is>
      </c>
      <c r="B1547" s="14" t="inlineStr">
        <is>
          <t>Azad Kashmir</t>
        </is>
      </c>
      <c r="C1547" s="14" t="n">
        <v>2020</v>
      </c>
      <c r="D1547" s="15" t="n">
        <v>826.288508519282</v>
      </c>
      <c r="E1547" s="15" t="n">
        <v>4562.40870586333</v>
      </c>
      <c r="F1547" s="15" t="n">
        <v>890.4868228982961</v>
      </c>
      <c r="G1547" s="15" t="n">
        <v>758.205922421956</v>
      </c>
      <c r="H1547" s="15" t="n">
        <v>38.3990907946969</v>
      </c>
      <c r="I1547" s="16" t="n">
        <v>4.64717715408006</v>
      </c>
      <c r="J1547" s="15" t="n">
        <v>38.2208806818182</v>
      </c>
      <c r="K1547" s="15" t="n">
        <v>568.063552583043</v>
      </c>
      <c r="L1547" s="15" t="n">
        <v>843.984211792698</v>
      </c>
      <c r="M1547" s="15" t="n">
        <v>-17.6957032734163</v>
      </c>
      <c r="N1547" s="17" t="n">
        <v>0.0111963120117187</v>
      </c>
      <c r="O1547" s="18" t="n">
        <v>0.00197096116461053</v>
      </c>
    </row>
    <row r="1548" ht="15" customHeight="1" s="12">
      <c r="A1548" s="14" t="inlineStr">
        <is>
          <t>Sudhnoti</t>
        </is>
      </c>
      <c r="B1548" s="14" t="inlineStr">
        <is>
          <t>Azad Kashmir</t>
        </is>
      </c>
      <c r="C1548" s="14" t="n">
        <v>2021</v>
      </c>
      <c r="D1548" s="15" t="n">
        <v>1008.31055072119</v>
      </c>
      <c r="E1548" s="15" t="n">
        <v>5567.45590358996</v>
      </c>
      <c r="F1548" s="15" t="n">
        <v>1111.29367136955</v>
      </c>
      <c r="G1548" s="15" t="n">
        <v>929.032011985779</v>
      </c>
      <c r="H1548" s="15" t="n">
        <v>52.1067432206767</v>
      </c>
      <c r="I1548" s="16" t="n">
        <v>5.16772765924222</v>
      </c>
      <c r="J1548" s="15" t="n">
        <v>23.3963068181818</v>
      </c>
      <c r="K1548" s="15" t="n">
        <v>568.063552583043</v>
      </c>
      <c r="L1548" s="15" t="n">
        <v>843.984211792698</v>
      </c>
      <c r="M1548" s="15" t="n">
        <v>164.326338928495</v>
      </c>
      <c r="N1548" s="17" t="n">
        <v>0.0165629837962431</v>
      </c>
      <c r="O1548" s="18" t="n">
        <v>0.00291569204201352</v>
      </c>
    </row>
    <row r="1549" ht="15" customHeight="1" s="12">
      <c r="A1549" s="14" t="inlineStr">
        <is>
          <t>Sudhnoti</t>
        </is>
      </c>
      <c r="B1549" s="14" t="inlineStr">
        <is>
          <t>Azad Kashmir</t>
        </is>
      </c>
      <c r="C1549" s="14" t="n">
        <v>2022</v>
      </c>
      <c r="D1549" s="15" t="n">
        <v>827.981312762878</v>
      </c>
      <c r="E1549" s="15" t="n">
        <v>4571.75564066718</v>
      </c>
      <c r="F1549" s="15" t="n">
        <v>933.359451279044</v>
      </c>
      <c r="G1549" s="15" t="n">
        <v>740.079747438431</v>
      </c>
      <c r="H1549" s="15" t="n">
        <v>60.8831236538329</v>
      </c>
      <c r="I1549" s="16" t="n">
        <v>7.35320021301845</v>
      </c>
      <c r="J1549" s="15" t="n">
        <v>33.8778409090909</v>
      </c>
      <c r="K1549" s="15" t="n">
        <v>568.063552583043</v>
      </c>
      <c r="L1549" s="15" t="n">
        <v>843.984211792698</v>
      </c>
      <c r="M1549" s="15" t="n">
        <v>-16.0028990298201</v>
      </c>
      <c r="N1549" s="17" t="n">
        <v>0.0463326209357766</v>
      </c>
      <c r="O1549" s="18" t="n">
        <v>0.008156238985074371</v>
      </c>
    </row>
    <row r="1550" ht="15" customHeight="1" s="12">
      <c r="A1550" s="14" t="inlineStr">
        <is>
          <t>Sudhnoti</t>
        </is>
      </c>
      <c r="B1550" s="14" t="inlineStr">
        <is>
          <t>Azad Kashmir</t>
        </is>
      </c>
      <c r="C1550" s="14" t="n">
        <v>2023</v>
      </c>
      <c r="D1550" s="15" t="n">
        <v>949.515767450106</v>
      </c>
      <c r="E1550" s="15" t="n">
        <v>5242.81647282254</v>
      </c>
      <c r="F1550" s="15" t="n">
        <v>1032.21345710754</v>
      </c>
      <c r="G1550" s="15" t="n">
        <v>877.175823569298</v>
      </c>
      <c r="H1550" s="15" t="n">
        <v>51.4554549345218</v>
      </c>
      <c r="I1550" s="16" t="n">
        <v>5.41912590590294</v>
      </c>
      <c r="J1550" s="15" t="n">
        <v>28.9673295454545</v>
      </c>
      <c r="K1550" s="15" t="n">
        <v>568.063552583043</v>
      </c>
      <c r="L1550" s="15" t="n">
        <v>843.984211792698</v>
      </c>
      <c r="M1550" s="15" t="n">
        <v>105.531555657408</v>
      </c>
      <c r="N1550" s="17" t="n">
        <v>0.0320952539672851</v>
      </c>
      <c r="O1550" s="18" t="n">
        <v>0.00564994071901721</v>
      </c>
    </row>
    <row r="1551" ht="15" customHeight="1" s="12">
      <c r="A1551" s="14" t="inlineStr">
        <is>
          <t>Sudhnoti</t>
        </is>
      </c>
      <c r="B1551" s="14" t="inlineStr">
        <is>
          <t>Azad Kashmir</t>
        </is>
      </c>
      <c r="C1551" s="14" t="n">
        <v>2024</v>
      </c>
      <c r="D1551" s="15" t="n">
        <v>787.828674896631</v>
      </c>
      <c r="E1551" s="15" t="n">
        <v>4350.05009511551</v>
      </c>
      <c r="F1551" s="15" t="n">
        <v>902.779216176874</v>
      </c>
      <c r="G1551" s="15" t="n">
        <v>676.154510742552</v>
      </c>
      <c r="H1551" s="15" t="n">
        <v>62.7573786332276</v>
      </c>
      <c r="I1551" s="16" t="n">
        <v>7.96586626419277</v>
      </c>
      <c r="J1551" s="15" t="n">
        <v>41.9509943181818</v>
      </c>
      <c r="K1551" s="15" t="n">
        <v>568.063552583043</v>
      </c>
      <c r="L1551" s="15" t="n">
        <v>843.984211792698</v>
      </c>
      <c r="M1551" s="15" t="n">
        <v>-56.1555368960673</v>
      </c>
      <c r="N1551" s="17" t="n">
        <v>0.0149292596435546</v>
      </c>
      <c r="O1551" s="18" t="n">
        <v>0.00262809672890819</v>
      </c>
    </row>
    <row r="1552" ht="15" customHeight="1" s="12">
      <c r="A1552" s="14" t="inlineStr">
        <is>
          <t>Sudhnoti</t>
        </is>
      </c>
      <c r="B1552" s="14" t="inlineStr">
        <is>
          <t>Azad Kashmir</t>
        </is>
      </c>
      <c r="C1552" s="14" t="n">
        <v>2025</v>
      </c>
      <c r="D1552" s="15" t="n">
        <v>1110.57249437192</v>
      </c>
      <c r="E1552" s="15" t="n">
        <v>6132.10224343398</v>
      </c>
      <c r="F1552" s="15" t="n">
        <v>1228.05818954983</v>
      </c>
      <c r="G1552" s="15" t="n">
        <v>985.823439838724</v>
      </c>
      <c r="H1552" s="15" t="n">
        <v>69.8392163120986</v>
      </c>
      <c r="I1552" s="16" t="n">
        <v>6.28857788807347</v>
      </c>
      <c r="J1552" s="15" t="n">
        <v>52.8366477272727</v>
      </c>
      <c r="K1552" s="15" t="n">
        <v>568.063552583043</v>
      </c>
      <c r="L1552" s="15" t="n">
        <v>843.984211792698</v>
      </c>
      <c r="M1552" s="15" t="n">
        <v>266.588282579222</v>
      </c>
      <c r="N1552" s="17" t="n">
        <v>0.0201580760498046</v>
      </c>
      <c r="O1552" s="18" t="n">
        <v>0.00354856000849619</v>
      </c>
    </row>
    <row r="1553" ht="15" customHeight="1" s="12">
      <c r="A1553" s="14" t="inlineStr">
        <is>
          <t>Sujawal</t>
        </is>
      </c>
      <c r="B1553" s="14" t="inlineStr">
        <is>
          <t>Sindh</t>
        </is>
      </c>
      <c r="C1553" s="14" t="n">
        <v>2015</v>
      </c>
      <c r="D1553" s="15" t="n">
        <v>228.511779608237</v>
      </c>
      <c r="E1553" s="15" t="n">
        <v>17606.1605253452</v>
      </c>
      <c r="F1553" s="15" t="n">
        <v>390.990215301514</v>
      </c>
      <c r="G1553" s="15" t="n">
        <v>20.7149273902178</v>
      </c>
      <c r="H1553" s="15" t="n">
        <v>85.190890897931</v>
      </c>
      <c r="I1553" s="16" t="n">
        <v>37.2807437078225</v>
      </c>
      <c r="J1553" s="15" t="n">
        <v>11.8127449483382</v>
      </c>
      <c r="K1553" s="15" t="n">
        <v>8706.77013273267</v>
      </c>
      <c r="L1553" s="15" t="n">
        <v>271.434943631095</v>
      </c>
      <c r="M1553" s="15" t="n">
        <v>-42.9231640228579</v>
      </c>
      <c r="N1553" s="17" t="n">
        <v>838.957410010535</v>
      </c>
      <c r="O1553" s="18" t="n">
        <v>9.635690356134671</v>
      </c>
    </row>
    <row r="1554" ht="15" customHeight="1" s="12">
      <c r="A1554" s="14" t="inlineStr">
        <is>
          <t>Sujawal</t>
        </is>
      </c>
      <c r="B1554" s="14" t="inlineStr">
        <is>
          <t>Sindh</t>
        </is>
      </c>
      <c r="C1554" s="14" t="n">
        <v>2016</v>
      </c>
      <c r="D1554" s="15" t="n">
        <v>137.476950876876</v>
      </c>
      <c r="E1554" s="15" t="n">
        <v>10592.1947210901</v>
      </c>
      <c r="F1554" s="15" t="n">
        <v>307.695173025131</v>
      </c>
      <c r="G1554" s="15" t="n">
        <v>11.6792426519096</v>
      </c>
      <c r="H1554" s="15" t="n">
        <v>54.2978592942091</v>
      </c>
      <c r="I1554" s="16" t="n">
        <v>39.4959729233726</v>
      </c>
      <c r="J1554" s="15" t="n">
        <v>17.3142464498397</v>
      </c>
      <c r="K1554" s="15" t="n">
        <v>8706.77013273267</v>
      </c>
      <c r="L1554" s="15" t="n">
        <v>271.434943631095</v>
      </c>
      <c r="M1554" s="15" t="n">
        <v>-133.957992754219</v>
      </c>
      <c r="N1554" s="17" t="n">
        <v>1033.01083460119</v>
      </c>
      <c r="O1554" s="18" t="n">
        <v>11.8644551177208</v>
      </c>
    </row>
    <row r="1555" ht="15" customHeight="1" s="12">
      <c r="A1555" s="14" t="inlineStr">
        <is>
          <t>Sujawal</t>
        </is>
      </c>
      <c r="B1555" s="14" t="inlineStr">
        <is>
          <t>Sindh</t>
        </is>
      </c>
      <c r="C1555" s="14" t="n">
        <v>2017</v>
      </c>
      <c r="D1555" s="15" t="n">
        <v>257.108816617993</v>
      </c>
      <c r="E1555" s="15" t="n">
        <v>19809.4781180146</v>
      </c>
      <c r="F1555" s="15" t="n">
        <v>443.537425398827</v>
      </c>
      <c r="G1555" s="15" t="n">
        <v>21.91454478167</v>
      </c>
      <c r="H1555" s="15" t="n">
        <v>84.5579254358525</v>
      </c>
      <c r="I1555" s="16" t="n">
        <v>32.887991375841</v>
      </c>
      <c r="J1555" s="15" t="n">
        <v>26.1654705553011</v>
      </c>
      <c r="K1555" s="15" t="n">
        <v>8706.77013273267</v>
      </c>
      <c r="L1555" s="15" t="n">
        <v>271.434943631095</v>
      </c>
      <c r="M1555" s="15" t="n">
        <v>-14.3261270131014</v>
      </c>
      <c r="N1555" s="17" t="n">
        <v>946.900917716579</v>
      </c>
      <c r="O1555" s="18" t="n">
        <v>10.8754555740108</v>
      </c>
    </row>
    <row r="1556" ht="15" customHeight="1" s="12">
      <c r="A1556" s="14" t="inlineStr">
        <is>
          <t>Sujawal</t>
        </is>
      </c>
      <c r="B1556" s="14" t="inlineStr">
        <is>
          <t>Sindh</t>
        </is>
      </c>
      <c r="C1556" s="14" t="n">
        <v>2018</v>
      </c>
      <c r="D1556" s="15" t="n">
        <v>44.9989381068226</v>
      </c>
      <c r="E1556" s="15" t="n">
        <v>3467.03583131272</v>
      </c>
      <c r="F1556" s="15" t="n">
        <v>80.8496858775616</v>
      </c>
      <c r="G1556" s="15" t="n">
        <v>3.72885965462774</v>
      </c>
      <c r="H1556" s="15" t="n">
        <v>16.3180942726668</v>
      </c>
      <c r="I1556" s="16" t="n">
        <v>36.263287444538</v>
      </c>
      <c r="J1556" s="15" t="n">
        <v>8.0548175293938</v>
      </c>
      <c r="K1556" s="15" t="n">
        <v>8706.77013273267</v>
      </c>
      <c r="L1556" s="15" t="n">
        <v>271.434943631095</v>
      </c>
      <c r="M1556" s="15" t="n">
        <v>-226.436005524272</v>
      </c>
      <c r="N1556" s="17" t="n">
        <v>687.9432938627129</v>
      </c>
      <c r="O1556" s="18" t="n">
        <v>7.90124562122554</v>
      </c>
    </row>
    <row r="1557" ht="15" customHeight="1" s="12">
      <c r="A1557" s="14" t="inlineStr">
        <is>
          <t>Sujawal</t>
        </is>
      </c>
      <c r="B1557" s="14" t="inlineStr">
        <is>
          <t>Sindh</t>
        </is>
      </c>
      <c r="C1557" s="14" t="n">
        <v>2019</v>
      </c>
      <c r="D1557" s="15" t="n">
        <v>316.956616132506</v>
      </c>
      <c r="E1557" s="15" t="n">
        <v>24420.575047668</v>
      </c>
      <c r="F1557" s="15" t="n">
        <v>711.850605010986</v>
      </c>
      <c r="G1557" s="15" t="n">
        <v>23.0883014816791</v>
      </c>
      <c r="H1557" s="15" t="n">
        <v>135.845827284662</v>
      </c>
      <c r="I1557" s="16" t="n">
        <v>42.8594389169874</v>
      </c>
      <c r="J1557" s="15" t="n">
        <v>22.6801038326462</v>
      </c>
      <c r="K1557" s="15" t="n">
        <v>8706.77013273267</v>
      </c>
      <c r="L1557" s="15" t="n">
        <v>271.434943631095</v>
      </c>
      <c r="M1557" s="15" t="n">
        <v>45.5216725014113</v>
      </c>
      <c r="N1557" s="17" t="n">
        <v>1630.28922362705</v>
      </c>
      <c r="O1557" s="18" t="n">
        <v>18.7243857225316</v>
      </c>
    </row>
    <row r="1558" ht="15" customHeight="1" s="12">
      <c r="A1558" s="14" t="inlineStr">
        <is>
          <t>Sujawal</t>
        </is>
      </c>
      <c r="B1558" s="14" t="inlineStr">
        <is>
          <t>Sindh</t>
        </is>
      </c>
      <c r="C1558" s="14" t="n">
        <v>2020</v>
      </c>
      <c r="D1558" s="15" t="n">
        <v>413.657786883306</v>
      </c>
      <c r="E1558" s="15" t="n">
        <v>31871.115838809</v>
      </c>
      <c r="F1558" s="15" t="n">
        <v>807.40429816048</v>
      </c>
      <c r="G1558" s="15" t="n">
        <v>33.7389356208461</v>
      </c>
      <c r="H1558" s="15" t="n">
        <v>162.542260439262</v>
      </c>
      <c r="I1558" s="16" t="n">
        <v>39.2938959674694</v>
      </c>
      <c r="J1558" s="15" t="n">
        <v>36.6679900239222</v>
      </c>
      <c r="K1558" s="15" t="n">
        <v>8706.77013273267</v>
      </c>
      <c r="L1558" s="15" t="n">
        <v>271.434943631095</v>
      </c>
      <c r="M1558" s="15" t="n">
        <v>142.222843252211</v>
      </c>
      <c r="N1558" s="17" t="n">
        <v>1125.30981398801</v>
      </c>
      <c r="O1558" s="18" t="n">
        <v>12.9245379955245</v>
      </c>
    </row>
    <row r="1559" ht="15" customHeight="1" s="12">
      <c r="A1559" s="14" t="inlineStr">
        <is>
          <t>Sujawal</t>
        </is>
      </c>
      <c r="B1559" s="14" t="inlineStr">
        <is>
          <t>Sindh</t>
        </is>
      </c>
      <c r="C1559" s="14" t="n">
        <v>2021</v>
      </c>
      <c r="D1559" s="15" t="n">
        <v>251.720932247696</v>
      </c>
      <c r="E1559" s="15" t="n">
        <v>19394.3574740019</v>
      </c>
      <c r="F1559" s="15" t="n">
        <v>563.701761245728</v>
      </c>
      <c r="G1559" s="15" t="n">
        <v>15.943166419398</v>
      </c>
      <c r="H1559" s="15" t="n">
        <v>125.991199436747</v>
      </c>
      <c r="I1559" s="16" t="n">
        <v>50.0519358130972</v>
      </c>
      <c r="J1559" s="15" t="n">
        <v>24.7692268539726</v>
      </c>
      <c r="K1559" s="15" t="n">
        <v>8706.77013273267</v>
      </c>
      <c r="L1559" s="15" t="n">
        <v>271.434943631095</v>
      </c>
      <c r="M1559" s="15" t="n">
        <v>-19.7140113833982</v>
      </c>
      <c r="N1559" s="17" t="n">
        <v>644.515182090423</v>
      </c>
      <c r="O1559" s="18" t="n">
        <v>7.40246006572977</v>
      </c>
    </row>
    <row r="1560" ht="15" customHeight="1" s="12">
      <c r="A1560" s="14" t="inlineStr">
        <is>
          <t>Sujawal</t>
        </is>
      </c>
      <c r="B1560" s="14" t="inlineStr">
        <is>
          <t>Sindh</t>
        </is>
      </c>
      <c r="C1560" s="14" t="n">
        <v>2022</v>
      </c>
      <c r="D1560" s="15" t="n">
        <v>565.612143173627</v>
      </c>
      <c r="E1560" s="15" t="n">
        <v>43578.7520664009</v>
      </c>
      <c r="F1560" s="15" t="n">
        <v>965.691117314622</v>
      </c>
      <c r="G1560" s="15" t="n">
        <v>51.4585437144342</v>
      </c>
      <c r="H1560" s="15" t="n">
        <v>193.455316762313</v>
      </c>
      <c r="I1560" s="16" t="n">
        <v>34.2028223928933</v>
      </c>
      <c r="J1560" s="15" t="n">
        <v>34.9351554944776</v>
      </c>
      <c r="K1560" s="15" t="n">
        <v>8706.77013273267</v>
      </c>
      <c r="L1560" s="15" t="n">
        <v>271.434943631095</v>
      </c>
      <c r="M1560" s="15" t="n">
        <v>294.177199542532</v>
      </c>
      <c r="N1560" s="17" t="n">
        <v>1681.69237936468</v>
      </c>
      <c r="O1560" s="18" t="n">
        <v>19.3147671723001</v>
      </c>
    </row>
    <row r="1561" ht="15" customHeight="1" s="12">
      <c r="A1561" s="14" t="inlineStr">
        <is>
          <t>Sujawal</t>
        </is>
      </c>
      <c r="B1561" s="14" t="inlineStr">
        <is>
          <t>Sindh</t>
        </is>
      </c>
      <c r="C1561" s="14" t="n">
        <v>2023</v>
      </c>
      <c r="D1561" s="15" t="n">
        <v>198.797293263992</v>
      </c>
      <c r="E1561" s="15" t="n">
        <v>15316.7467480692</v>
      </c>
      <c r="F1561" s="15" t="n">
        <v>344.84603458643</v>
      </c>
      <c r="G1561" s="15" t="n">
        <v>16.1933495802805</v>
      </c>
      <c r="H1561" s="15" t="n">
        <v>73.046275221282</v>
      </c>
      <c r="I1561" s="16" t="n">
        <v>36.7440994904697</v>
      </c>
      <c r="J1561" s="15" t="n">
        <v>17.3005547920802</v>
      </c>
      <c r="K1561" s="15" t="n">
        <v>8706.77013273267</v>
      </c>
      <c r="L1561" s="15" t="n">
        <v>271.434943631095</v>
      </c>
      <c r="M1561" s="15" t="n">
        <v>-72.63765036710291</v>
      </c>
      <c r="N1561" s="17" t="n">
        <v>841.612246706624</v>
      </c>
      <c r="O1561" s="18" t="n">
        <v>9.66618199259246</v>
      </c>
    </row>
    <row r="1562" ht="15" customHeight="1" s="12">
      <c r="A1562" s="14" t="inlineStr">
        <is>
          <t>Sujawal</t>
        </is>
      </c>
      <c r="B1562" s="14" t="inlineStr">
        <is>
          <t>Sindh</t>
        </is>
      </c>
      <c r="C1562" s="14" t="n">
        <v>2024</v>
      </c>
      <c r="D1562" s="15" t="n">
        <v>299.839336422523</v>
      </c>
      <c r="E1562" s="15" t="n">
        <v>23101.7389909542</v>
      </c>
      <c r="F1562" s="15" t="n">
        <v>567.872232030786</v>
      </c>
      <c r="G1562" s="15" t="n">
        <v>25.2190578802881</v>
      </c>
      <c r="H1562" s="15" t="n">
        <v>112.825806103309</v>
      </c>
      <c r="I1562" s="16" t="n">
        <v>37.6287539351803</v>
      </c>
      <c r="J1562" s="15" t="n">
        <v>28.4426121036291</v>
      </c>
      <c r="K1562" s="15" t="n">
        <v>8706.77013273267</v>
      </c>
      <c r="L1562" s="15" t="n">
        <v>271.434943631095</v>
      </c>
      <c r="M1562" s="15" t="n">
        <v>28.4043927914287</v>
      </c>
      <c r="N1562" s="17" t="n">
        <v>1130.70389700019</v>
      </c>
      <c r="O1562" s="18" t="n">
        <v>12.986490739538</v>
      </c>
    </row>
    <row r="1563" ht="15" customHeight="1" s="12">
      <c r="A1563" s="14" t="inlineStr">
        <is>
          <t>Sujawal</t>
        </is>
      </c>
      <c r="B1563" s="14" t="inlineStr">
        <is>
          <t>Sindh</t>
        </is>
      </c>
      <c r="C1563" s="14" t="n">
        <v>2025</v>
      </c>
      <c r="D1563" s="15" t="n">
        <v>271.103786608463</v>
      </c>
      <c r="E1563" s="15" t="n">
        <v>20887.7493941038</v>
      </c>
      <c r="F1563" s="15" t="n">
        <v>524.970706286098</v>
      </c>
      <c r="G1563" s="15" t="n">
        <v>18.9393706962558</v>
      </c>
      <c r="H1563" s="15" t="n">
        <v>115.073765543015</v>
      </c>
      <c r="I1563" s="16" t="n">
        <v>42.446388146252</v>
      </c>
      <c r="J1563" s="15" t="n">
        <v>21.5981574795134</v>
      </c>
      <c r="K1563" s="15" t="n">
        <v>8706.77013273267</v>
      </c>
      <c r="L1563" s="15" t="n">
        <v>271.434943631095</v>
      </c>
      <c r="M1563" s="15" t="n">
        <v>-0.331157022631885</v>
      </c>
      <c r="N1563" s="17" t="n">
        <v>749.1806783479</v>
      </c>
      <c r="O1563" s="18" t="n">
        <v>8.604576288644539</v>
      </c>
    </row>
    <row r="1564" ht="15" customHeight="1" s="12">
      <c r="A1564" s="14" t="inlineStr">
        <is>
          <t>Sukkur</t>
        </is>
      </c>
      <c r="B1564" s="14" t="inlineStr">
        <is>
          <t>Sindh</t>
        </is>
      </c>
      <c r="C1564" s="14" t="n">
        <v>2015</v>
      </c>
      <c r="D1564" s="15" t="n">
        <v>99.5781926931484</v>
      </c>
      <c r="E1564" s="15" t="n">
        <v>4705.55773314682</v>
      </c>
      <c r="F1564" s="15" t="n">
        <v>122.629085987806</v>
      </c>
      <c r="G1564" s="15" t="n">
        <v>46.431022554636</v>
      </c>
      <c r="H1564" s="15" t="n">
        <v>18.2171663980362</v>
      </c>
      <c r="I1564" s="16" t="n">
        <v>18.29433323235</v>
      </c>
      <c r="J1564" s="15" t="n">
        <v>12.7730290456432</v>
      </c>
      <c r="K1564" s="15" t="n">
        <v>5187.11879060873</v>
      </c>
      <c r="L1564" s="15" t="n">
        <v>137.513284547808</v>
      </c>
      <c r="M1564" s="15" t="n">
        <v>-37.9350918546593</v>
      </c>
      <c r="N1564" s="17" t="n">
        <v>61.8959968661764</v>
      </c>
      <c r="O1564" s="18" t="n">
        <v>1.19326353154354</v>
      </c>
    </row>
    <row r="1565" ht="15" customHeight="1" s="12">
      <c r="A1565" s="14" t="inlineStr">
        <is>
          <t>Sukkur</t>
        </is>
      </c>
      <c r="B1565" s="14" t="inlineStr">
        <is>
          <t>Sindh</t>
        </is>
      </c>
      <c r="C1565" s="14" t="n">
        <v>2016</v>
      </c>
      <c r="D1565" s="15" t="n">
        <v>117.185617320505</v>
      </c>
      <c r="E1565" s="15" t="n">
        <v>5537.59485769447</v>
      </c>
      <c r="F1565" s="15" t="n">
        <v>155.747207641602</v>
      </c>
      <c r="G1565" s="15" t="n">
        <v>84.6284773349762</v>
      </c>
      <c r="H1565" s="15" t="n">
        <v>15.8026052155799</v>
      </c>
      <c r="I1565" s="16" t="n">
        <v>13.4851064293662</v>
      </c>
      <c r="J1565" s="15" t="n">
        <v>17.6583402489627</v>
      </c>
      <c r="K1565" s="15" t="n">
        <v>5187.11879060873</v>
      </c>
      <c r="L1565" s="15" t="n">
        <v>137.513284547808</v>
      </c>
      <c r="M1565" s="15" t="n">
        <v>-20.3276672273024</v>
      </c>
      <c r="N1565" s="17" t="n">
        <v>30.3896171452986</v>
      </c>
      <c r="O1565" s="18" t="n">
        <v>0.5858669980783739</v>
      </c>
    </row>
    <row r="1566" ht="15" customHeight="1" s="12">
      <c r="A1566" s="14" t="inlineStr">
        <is>
          <t>Sukkur</t>
        </is>
      </c>
      <c r="B1566" s="14" t="inlineStr">
        <is>
          <t>Sindh</t>
        </is>
      </c>
      <c r="C1566" s="14" t="n">
        <v>2017</v>
      </c>
      <c r="D1566" s="15" t="n">
        <v>150.80125267025</v>
      </c>
      <c r="E1566" s="15" t="n">
        <v>7126.09841049612</v>
      </c>
      <c r="F1566" s="15" t="n">
        <v>194.282096147537</v>
      </c>
      <c r="G1566" s="15" t="n">
        <v>76.655525624752</v>
      </c>
      <c r="H1566" s="15" t="n">
        <v>32.4560325267832</v>
      </c>
      <c r="I1566" s="16" t="n">
        <v>21.5223892057139</v>
      </c>
      <c r="J1566" s="15" t="n">
        <v>21.7565975103734</v>
      </c>
      <c r="K1566" s="15" t="n">
        <v>5187.11879060873</v>
      </c>
      <c r="L1566" s="15" t="n">
        <v>137.513284547808</v>
      </c>
      <c r="M1566" s="15" t="n">
        <v>13.287968122442</v>
      </c>
      <c r="N1566" s="17" t="n">
        <v>37.9577595423958</v>
      </c>
      <c r="O1566" s="18" t="n">
        <v>0.731769621530903</v>
      </c>
    </row>
    <row r="1567" ht="15" customHeight="1" s="12">
      <c r="A1567" s="14" t="inlineStr">
        <is>
          <t>Sukkur</t>
        </is>
      </c>
      <c r="B1567" s="14" t="inlineStr">
        <is>
          <t>Sindh</t>
        </is>
      </c>
      <c r="C1567" s="14" t="n">
        <v>2018</v>
      </c>
      <c r="D1567" s="15" t="n">
        <v>45.1813727590931</v>
      </c>
      <c r="E1567" s="15" t="n">
        <v>2135.04134018459</v>
      </c>
      <c r="F1567" s="15" t="n">
        <v>67.4809850417078</v>
      </c>
      <c r="G1567" s="15" t="n">
        <v>22.9717876874151</v>
      </c>
      <c r="H1567" s="15" t="n">
        <v>10.7706019827472</v>
      </c>
      <c r="I1567" s="16" t="n">
        <v>23.838589500536</v>
      </c>
      <c r="J1567" s="15" t="n">
        <v>8.56854771784233</v>
      </c>
      <c r="K1567" s="15" t="n">
        <v>5187.11879060873</v>
      </c>
      <c r="L1567" s="15" t="n">
        <v>137.513284547808</v>
      </c>
      <c r="M1567" s="15" t="n">
        <v>-92.33191178871471</v>
      </c>
      <c r="N1567" s="17" t="n">
        <v>39.7359455351844</v>
      </c>
      <c r="O1567" s="18" t="n">
        <v>0.766050424893417</v>
      </c>
    </row>
    <row r="1568" ht="15" customHeight="1" s="12">
      <c r="A1568" s="14" t="inlineStr">
        <is>
          <t>Sukkur</t>
        </is>
      </c>
      <c r="B1568" s="14" t="inlineStr">
        <is>
          <t>Sindh</t>
        </is>
      </c>
      <c r="C1568" s="14" t="n">
        <v>2019</v>
      </c>
      <c r="D1568" s="15" t="n">
        <v>108.585589658702</v>
      </c>
      <c r="E1568" s="15" t="n">
        <v>5131.20139367593</v>
      </c>
      <c r="F1568" s="15" t="n">
        <v>163.973214238882</v>
      </c>
      <c r="G1568" s="15" t="n">
        <v>50.7389183044434</v>
      </c>
      <c r="H1568" s="15" t="n">
        <v>31.8661478334223</v>
      </c>
      <c r="I1568" s="16" t="n">
        <v>29.3465716156089</v>
      </c>
      <c r="J1568" s="15" t="n">
        <v>18.3311203319502</v>
      </c>
      <c r="K1568" s="15" t="n">
        <v>5187.11879060873</v>
      </c>
      <c r="L1568" s="15" t="n">
        <v>137.513284547808</v>
      </c>
      <c r="M1568" s="15" t="n">
        <v>-28.9276948891055</v>
      </c>
      <c r="N1568" s="17" t="n">
        <v>55.8260586562075</v>
      </c>
      <c r="O1568" s="18" t="n">
        <v>1.07624407517485</v>
      </c>
    </row>
    <row r="1569" ht="15" customHeight="1" s="12">
      <c r="A1569" s="14" t="inlineStr">
        <is>
          <t>Sukkur</t>
        </is>
      </c>
      <c r="B1569" s="14" t="inlineStr">
        <is>
          <t>Sindh</t>
        </is>
      </c>
      <c r="C1569" s="14" t="n">
        <v>2020</v>
      </c>
      <c r="D1569" s="15" t="n">
        <v>152.149070640865</v>
      </c>
      <c r="E1569" s="15" t="n">
        <v>7189.78941655852</v>
      </c>
      <c r="F1569" s="15" t="n">
        <v>223.809555944865</v>
      </c>
      <c r="G1569" s="15" t="n">
        <v>60.660156826576</v>
      </c>
      <c r="H1569" s="15" t="n">
        <v>56.1332532200114</v>
      </c>
      <c r="I1569" s="16" t="n">
        <v>36.893589282914</v>
      </c>
      <c r="J1569" s="15" t="n">
        <v>22.1153526970954</v>
      </c>
      <c r="K1569" s="15" t="n">
        <v>5187.11879060873</v>
      </c>
      <c r="L1569" s="15" t="n">
        <v>137.513284547808</v>
      </c>
      <c r="M1569" s="15" t="n">
        <v>14.6357860930571</v>
      </c>
      <c r="N1569" s="17" t="n">
        <v>53.4410475578932</v>
      </c>
      <c r="O1569" s="18" t="n">
        <v>1.03026457876092</v>
      </c>
    </row>
    <row r="1570" ht="15" customHeight="1" s="12">
      <c r="A1570" s="14" t="inlineStr">
        <is>
          <t>Sukkur</t>
        </is>
      </c>
      <c r="B1570" s="14" t="inlineStr">
        <is>
          <t>Sindh</t>
        </is>
      </c>
      <c r="C1570" s="14" t="n">
        <v>2021</v>
      </c>
      <c r="D1570" s="15" t="n">
        <v>85.87071379697549</v>
      </c>
      <c r="E1570" s="15" t="n">
        <v>4057.81216177865</v>
      </c>
      <c r="F1570" s="15" t="n">
        <v>127.267220407724</v>
      </c>
      <c r="G1570" s="15" t="n">
        <v>41.9254878759384</v>
      </c>
      <c r="H1570" s="15" t="n">
        <v>19.176651962807</v>
      </c>
      <c r="I1570" s="16" t="n">
        <v>22.3320048417746</v>
      </c>
      <c r="J1570" s="15" t="n">
        <v>15.4958506224066</v>
      </c>
      <c r="K1570" s="15" t="n">
        <v>5187.11879060873</v>
      </c>
      <c r="L1570" s="15" t="n">
        <v>137.513284547808</v>
      </c>
      <c r="M1570" s="15" t="n">
        <v>-51.6425707508323</v>
      </c>
      <c r="N1570" s="17" t="n">
        <v>43.1282858237642</v>
      </c>
      <c r="O1570" s="18" t="n">
        <v>0.8314497424244059</v>
      </c>
    </row>
    <row r="1571" ht="15" customHeight="1" s="12">
      <c r="A1571" s="14" t="inlineStr">
        <is>
          <t>Sukkur</t>
        </is>
      </c>
      <c r="B1571" s="14" t="inlineStr">
        <is>
          <t>Sindh</t>
        </is>
      </c>
      <c r="C1571" s="14" t="n">
        <v>2022</v>
      </c>
      <c r="D1571" s="15" t="n">
        <v>353.832334393007</v>
      </c>
      <c r="E1571" s="15" t="n">
        <v>16720.312272297</v>
      </c>
      <c r="F1571" s="15" t="n">
        <v>459.197739116848</v>
      </c>
      <c r="G1571" s="15" t="n">
        <v>210.361312618508</v>
      </c>
      <c r="H1571" s="15" t="n">
        <v>69.2734614464011</v>
      </c>
      <c r="I1571" s="16" t="n">
        <v>19.5780472028478</v>
      </c>
      <c r="J1571" s="15" t="n">
        <v>35.2099585062241</v>
      </c>
      <c r="K1571" s="15" t="n">
        <v>5187.11879060873</v>
      </c>
      <c r="L1571" s="15" t="n">
        <v>137.513284547808</v>
      </c>
      <c r="M1571" s="15" t="n">
        <v>216.319049845199</v>
      </c>
      <c r="N1571" s="17" t="n">
        <v>97.47748431630581</v>
      </c>
      <c r="O1571" s="18" t="n">
        <v>1.87922213180829</v>
      </c>
    </row>
    <row r="1572" ht="15" customHeight="1" s="12">
      <c r="A1572" s="14" t="inlineStr">
        <is>
          <t>Sukkur</t>
        </is>
      </c>
      <c r="B1572" s="14" t="inlineStr">
        <is>
          <t>Sindh</t>
        </is>
      </c>
      <c r="C1572" s="14" t="n">
        <v>2023</v>
      </c>
      <c r="D1572" s="15" t="n">
        <v>118.333423365503</v>
      </c>
      <c r="E1572" s="15" t="n">
        <v>5591.83431982083</v>
      </c>
      <c r="F1572" s="15" t="n">
        <v>138.892338752747</v>
      </c>
      <c r="G1572" s="15" t="n">
        <v>67.67020881176001</v>
      </c>
      <c r="H1572" s="15" t="n">
        <v>17.1623256060915</v>
      </c>
      <c r="I1572" s="16" t="n">
        <v>14.5033627169572</v>
      </c>
      <c r="J1572" s="15" t="n">
        <v>14.0813278008299</v>
      </c>
      <c r="K1572" s="15" t="n">
        <v>5187.11879060873</v>
      </c>
      <c r="L1572" s="15" t="n">
        <v>137.513284547808</v>
      </c>
      <c r="M1572" s="15" t="n">
        <v>-19.1798611823048</v>
      </c>
      <c r="N1572" s="17" t="n">
        <v>75.12201298750171</v>
      </c>
      <c r="O1572" s="18" t="n">
        <v>1.44824161581782</v>
      </c>
    </row>
    <row r="1573" ht="15" customHeight="1" s="12">
      <c r="A1573" s="14" t="inlineStr">
        <is>
          <t>Sukkur</t>
        </is>
      </c>
      <c r="B1573" s="14" t="inlineStr">
        <is>
          <t>Sindh</t>
        </is>
      </c>
      <c r="C1573" s="14" t="n">
        <v>2024</v>
      </c>
      <c r="D1573" s="15" t="n">
        <v>180.248060222561</v>
      </c>
      <c r="E1573" s="15" t="n">
        <v>8517.60441443866</v>
      </c>
      <c r="F1573" s="15" t="n">
        <v>260.137365162373</v>
      </c>
      <c r="G1573" s="15" t="n">
        <v>87.4485739096999</v>
      </c>
      <c r="H1573" s="15" t="n">
        <v>52.9752174904626</v>
      </c>
      <c r="I1573" s="16" t="n">
        <v>29.3901734226995</v>
      </c>
      <c r="J1573" s="15" t="n">
        <v>25.4029875518672</v>
      </c>
      <c r="K1573" s="15" t="n">
        <v>5187.11879060873</v>
      </c>
      <c r="L1573" s="15" t="n">
        <v>137.513284547808</v>
      </c>
      <c r="M1573" s="15" t="n">
        <v>42.7347756747532</v>
      </c>
      <c r="N1573" s="17" t="n">
        <v>79.4437616604834</v>
      </c>
      <c r="O1573" s="18" t="n">
        <v>1.53155855625123</v>
      </c>
    </row>
    <row r="1574" ht="15" customHeight="1" s="12">
      <c r="A1574" s="14" t="inlineStr">
        <is>
          <t>Sukkur</t>
        </is>
      </c>
      <c r="B1574" s="14" t="inlineStr">
        <is>
          <t>Sindh</t>
        </is>
      </c>
      <c r="C1574" s="14" t="n">
        <v>2025</v>
      </c>
      <c r="D1574" s="15" t="n">
        <v>100.880502505276</v>
      </c>
      <c r="E1574" s="15" t="n">
        <v>4767.09825564145</v>
      </c>
      <c r="F1574" s="15" t="n">
        <v>132.226690897724</v>
      </c>
      <c r="G1574" s="15" t="n">
        <v>56.0180083476116</v>
      </c>
      <c r="H1574" s="15" t="n">
        <v>20.327035679709</v>
      </c>
      <c r="I1574" s="16" t="n">
        <v>20.1496177902623</v>
      </c>
      <c r="J1574" s="15" t="n">
        <v>18.0965145228216</v>
      </c>
      <c r="K1574" s="15" t="n">
        <v>5187.11879060873</v>
      </c>
      <c r="L1574" s="15" t="n">
        <v>137.513284547808</v>
      </c>
      <c r="M1574" s="15" t="n">
        <v>-36.6327820425323</v>
      </c>
      <c r="N1574" s="17" t="n">
        <v>81.0344036845549</v>
      </c>
      <c r="O1574" s="18" t="n">
        <v>1.5622237884983</v>
      </c>
    </row>
    <row r="1575" ht="15" customHeight="1" s="12">
      <c r="A1575" s="14" t="inlineStr">
        <is>
          <t>Swabi</t>
        </is>
      </c>
      <c r="B1575" s="14" t="inlineStr">
        <is>
          <t>Khyber Pakhtunkhwa</t>
        </is>
      </c>
      <c r="C1575" s="14" t="n">
        <v>2015</v>
      </c>
      <c r="D1575" s="15" t="n">
        <v>529.502940676699</v>
      </c>
      <c r="E1575" s="15" t="n">
        <v>7670.52495239108</v>
      </c>
      <c r="F1575" s="15" t="n">
        <v>680.333024024963</v>
      </c>
      <c r="G1575" s="15" t="n">
        <v>391.051181197166</v>
      </c>
      <c r="H1575" s="15" t="n">
        <v>84.5812326489086</v>
      </c>
      <c r="I1575" s="16" t="n">
        <v>15.9737040441767</v>
      </c>
      <c r="J1575" s="15" t="n">
        <v>28.3023822414727</v>
      </c>
      <c r="K1575" s="15" t="n">
        <v>1480.84586873155</v>
      </c>
      <c r="L1575" s="15" t="n">
        <v>544.084691629427</v>
      </c>
      <c r="M1575" s="15" t="n">
        <v>-14.581750952728</v>
      </c>
      <c r="N1575" s="17" t="n">
        <v>22.265352786314</v>
      </c>
      <c r="O1575" s="18" t="n">
        <v>1.50355639681703</v>
      </c>
    </row>
    <row r="1576" ht="15" customHeight="1" s="12">
      <c r="A1576" s="14" t="inlineStr">
        <is>
          <t>Swabi</t>
        </is>
      </c>
      <c r="B1576" s="14" t="inlineStr">
        <is>
          <t>Khyber Pakhtunkhwa</t>
        </is>
      </c>
      <c r="C1576" s="14" t="n">
        <v>2016</v>
      </c>
      <c r="D1576" s="15" t="n">
        <v>525.721409270569</v>
      </c>
      <c r="E1576" s="15" t="n">
        <v>7615.74465037444</v>
      </c>
      <c r="F1576" s="15" t="n">
        <v>654.2193609476089</v>
      </c>
      <c r="G1576" s="15" t="n">
        <v>357.81268954277</v>
      </c>
      <c r="H1576" s="15" t="n">
        <v>80.46446271854479</v>
      </c>
      <c r="I1576" s="16" t="n">
        <v>15.30553279734</v>
      </c>
      <c r="J1576" s="15" t="n">
        <v>27.6954520844613</v>
      </c>
      <c r="K1576" s="15" t="n">
        <v>1480.84586873155</v>
      </c>
      <c r="L1576" s="15" t="n">
        <v>544.084691629427</v>
      </c>
      <c r="M1576" s="15" t="n">
        <v>-18.3632823588579</v>
      </c>
      <c r="N1576" s="17" t="n">
        <v>17.4504464341129</v>
      </c>
      <c r="O1576" s="18" t="n">
        <v>1.1784107179946</v>
      </c>
    </row>
    <row r="1577" ht="15" customHeight="1" s="12">
      <c r="A1577" s="14" t="inlineStr">
        <is>
          <t>Swabi</t>
        </is>
      </c>
      <c r="B1577" s="14" t="inlineStr">
        <is>
          <t>Khyber Pakhtunkhwa</t>
        </is>
      </c>
      <c r="C1577" s="14" t="n">
        <v>2017</v>
      </c>
      <c r="D1577" s="15" t="n">
        <v>537.612122546936</v>
      </c>
      <c r="E1577" s="15" t="n">
        <v>7787.99678701326</v>
      </c>
      <c r="F1577" s="15" t="n">
        <v>691.469394445419</v>
      </c>
      <c r="G1577" s="15" t="n">
        <v>347.449934720993</v>
      </c>
      <c r="H1577" s="15" t="n">
        <v>91.6064901605989</v>
      </c>
      <c r="I1577" s="16" t="n">
        <v>17.0395134928531</v>
      </c>
      <c r="J1577" s="15" t="n">
        <v>33.3505684894423</v>
      </c>
      <c r="K1577" s="15" t="n">
        <v>1480.84586873155</v>
      </c>
      <c r="L1577" s="15" t="n">
        <v>544.084691629427</v>
      </c>
      <c r="M1577" s="15" t="n">
        <v>-6.47256908249108</v>
      </c>
      <c r="N1577" s="17" t="n">
        <v>19.1317615882661</v>
      </c>
      <c r="O1577" s="18" t="n">
        <v>1.2919482028642</v>
      </c>
    </row>
    <row r="1578" ht="15" customHeight="1" s="12">
      <c r="A1578" s="14" t="inlineStr">
        <is>
          <t>Swabi</t>
        </is>
      </c>
      <c r="B1578" s="14" t="inlineStr">
        <is>
          <t>Khyber Pakhtunkhwa</t>
        </is>
      </c>
      <c r="C1578" s="14" t="n">
        <v>2018</v>
      </c>
      <c r="D1578" s="15" t="n">
        <v>631.127283391949</v>
      </c>
      <c r="E1578" s="15" t="n">
        <v>9142.683077842579</v>
      </c>
      <c r="F1578" s="15" t="n">
        <v>875.226535201073</v>
      </c>
      <c r="G1578" s="15" t="n">
        <v>419.379364967346</v>
      </c>
      <c r="H1578" s="15" t="n">
        <v>129.508257569558</v>
      </c>
      <c r="I1578" s="16" t="n">
        <v>20.5201487841764</v>
      </c>
      <c r="J1578" s="15" t="n">
        <v>33.8770979967515</v>
      </c>
      <c r="K1578" s="15" t="n">
        <v>1480.84586873155</v>
      </c>
      <c r="L1578" s="15" t="n">
        <v>544.084691629427</v>
      </c>
      <c r="M1578" s="15" t="n">
        <v>87.0425917625215</v>
      </c>
      <c r="N1578" s="17" t="n">
        <v>20.697623570038</v>
      </c>
      <c r="O1578" s="18" t="n">
        <v>1.39768925362684</v>
      </c>
    </row>
    <row r="1579" ht="15" customHeight="1" s="12">
      <c r="A1579" s="14" t="inlineStr">
        <is>
          <t>Swabi</t>
        </is>
      </c>
      <c r="B1579" s="14" t="inlineStr">
        <is>
          <t>Khyber Pakhtunkhwa</t>
        </is>
      </c>
      <c r="C1579" s="14" t="n">
        <v>2019</v>
      </c>
      <c r="D1579" s="15" t="n">
        <v>466.112325464893</v>
      </c>
      <c r="E1579" s="15" t="n">
        <v>6752.23109908751</v>
      </c>
      <c r="F1579" s="15" t="n">
        <v>648.447269135831</v>
      </c>
      <c r="G1579" s="15" t="n">
        <v>286.741740652225</v>
      </c>
      <c r="H1579" s="15" t="n">
        <v>101.349369505246</v>
      </c>
      <c r="I1579" s="16" t="n">
        <v>21.7435506353885</v>
      </c>
      <c r="J1579" s="15" t="n">
        <v>22.1459122902003</v>
      </c>
      <c r="K1579" s="15" t="n">
        <v>1480.84586873155</v>
      </c>
      <c r="L1579" s="15" t="n">
        <v>544.084691629427</v>
      </c>
      <c r="M1579" s="15" t="n">
        <v>-77.97236616453399</v>
      </c>
      <c r="N1579" s="17" t="n">
        <v>18.6887706646474</v>
      </c>
      <c r="O1579" s="18" t="n">
        <v>1.26203348094935</v>
      </c>
    </row>
    <row r="1580" ht="15" customHeight="1" s="12">
      <c r="A1580" s="14" t="inlineStr">
        <is>
          <t>Swabi</t>
        </is>
      </c>
      <c r="B1580" s="14" t="inlineStr">
        <is>
          <t>Khyber Pakhtunkhwa</t>
        </is>
      </c>
      <c r="C1580" s="14" t="n">
        <v>2020</v>
      </c>
      <c r="D1580" s="15" t="n">
        <v>476.379949360472</v>
      </c>
      <c r="E1580" s="15" t="n">
        <v>6900.97071740229</v>
      </c>
      <c r="F1580" s="15" t="n">
        <v>642.776965405792</v>
      </c>
      <c r="G1580" s="15" t="n">
        <v>314.324262364768</v>
      </c>
      <c r="H1580" s="15" t="n">
        <v>91.0590192345128</v>
      </c>
      <c r="I1580" s="16" t="n">
        <v>19.1147883861941</v>
      </c>
      <c r="J1580" s="15" t="n">
        <v>25.5952896589063</v>
      </c>
      <c r="K1580" s="15" t="n">
        <v>1480.84586873155</v>
      </c>
      <c r="L1580" s="15" t="n">
        <v>544.084691629427</v>
      </c>
      <c r="M1580" s="15" t="n">
        <v>-67.7047422689551</v>
      </c>
      <c r="N1580" s="17" t="n">
        <v>16.9393048977881</v>
      </c>
      <c r="O1580" s="18" t="n">
        <v>1.14389385522598</v>
      </c>
    </row>
    <row r="1581" ht="15" customHeight="1" s="12">
      <c r="A1581" s="14" t="inlineStr">
        <is>
          <t>Swabi</t>
        </is>
      </c>
      <c r="B1581" s="14" t="inlineStr">
        <is>
          <t>Khyber Pakhtunkhwa</t>
        </is>
      </c>
      <c r="C1581" s="14" t="n">
        <v>2021</v>
      </c>
      <c r="D1581" s="15" t="n">
        <v>574.250920985138</v>
      </c>
      <c r="E1581" s="15" t="n">
        <v>8318.756478898429</v>
      </c>
      <c r="F1581" s="15" t="n">
        <v>724.3185979127881</v>
      </c>
      <c r="G1581" s="15" t="n">
        <v>414.282662987709</v>
      </c>
      <c r="H1581" s="15" t="n">
        <v>85.1603857887644</v>
      </c>
      <c r="I1581" s="16" t="n">
        <v>14.8298213684482</v>
      </c>
      <c r="J1581" s="15" t="n">
        <v>26.0186789388197</v>
      </c>
      <c r="K1581" s="15" t="n">
        <v>1480.84586873155</v>
      </c>
      <c r="L1581" s="15" t="n">
        <v>544.084691629427</v>
      </c>
      <c r="M1581" s="15" t="n">
        <v>30.1662293557112</v>
      </c>
      <c r="N1581" s="17" t="n">
        <v>19.1862504378982</v>
      </c>
      <c r="O1581" s="18" t="n">
        <v>1.29562777889454</v>
      </c>
    </row>
    <row r="1582" ht="15" customHeight="1" s="12">
      <c r="A1582" s="14" t="inlineStr">
        <is>
          <t>Swabi</t>
        </is>
      </c>
      <c r="B1582" s="14" t="inlineStr">
        <is>
          <t>Khyber Pakhtunkhwa</t>
        </is>
      </c>
      <c r="C1582" s="14" t="n">
        <v>2022</v>
      </c>
      <c r="D1582" s="15" t="n">
        <v>535.800430702725</v>
      </c>
      <c r="E1582" s="15" t="n">
        <v>7761.75212163085</v>
      </c>
      <c r="F1582" s="15" t="n">
        <v>696.1654058362039</v>
      </c>
      <c r="G1582" s="15" t="n">
        <v>358.604097563795</v>
      </c>
      <c r="H1582" s="15" t="n">
        <v>95.3643358719421</v>
      </c>
      <c r="I1582" s="16" t="n">
        <v>17.7984806296008</v>
      </c>
      <c r="J1582" s="15" t="n">
        <v>28.0617217108825</v>
      </c>
      <c r="K1582" s="15" t="n">
        <v>1480.84586873155</v>
      </c>
      <c r="L1582" s="15" t="n">
        <v>544.084691629427</v>
      </c>
      <c r="M1582" s="15" t="n">
        <v>-8.28426092670168</v>
      </c>
      <c r="N1582" s="17" t="n">
        <v>21.1870299741625</v>
      </c>
      <c r="O1582" s="18" t="n">
        <v>1.43073836525003</v>
      </c>
    </row>
    <row r="1583" ht="15" customHeight="1" s="12">
      <c r="A1583" s="14" t="inlineStr">
        <is>
          <t>Swabi</t>
        </is>
      </c>
      <c r="B1583" s="14" t="inlineStr">
        <is>
          <t>Khyber Pakhtunkhwa</t>
        </is>
      </c>
      <c r="C1583" s="14" t="n">
        <v>2023</v>
      </c>
      <c r="D1583" s="15" t="n">
        <v>556.168659181903</v>
      </c>
      <c r="E1583" s="15" t="n">
        <v>8056.81187065863</v>
      </c>
      <c r="F1583" s="15" t="n">
        <v>779.934609889984</v>
      </c>
      <c r="G1583" s="15" t="n">
        <v>360.292254924774</v>
      </c>
      <c r="H1583" s="15" t="n">
        <v>118.699167020501</v>
      </c>
      <c r="I1583" s="16" t="n">
        <v>21.3422969922653</v>
      </c>
      <c r="J1583" s="15" t="n">
        <v>17.0939361126151</v>
      </c>
      <c r="K1583" s="15" t="n">
        <v>1480.84586873155</v>
      </c>
      <c r="L1583" s="15" t="n">
        <v>544.084691629427</v>
      </c>
      <c r="M1583" s="15" t="n">
        <v>12.0839675524765</v>
      </c>
      <c r="N1583" s="17" t="n">
        <v>16.8446005750172</v>
      </c>
      <c r="O1583" s="18" t="n">
        <v>1.13749856961452</v>
      </c>
    </row>
    <row r="1584" ht="15" customHeight="1" s="12">
      <c r="A1584" s="14" t="inlineStr">
        <is>
          <t>Swabi</t>
        </is>
      </c>
      <c r="B1584" s="14" t="inlineStr">
        <is>
          <t>Khyber Pakhtunkhwa</t>
        </is>
      </c>
      <c r="C1584" s="14" t="n">
        <v>2024</v>
      </c>
      <c r="D1584" s="15" t="n">
        <v>531.102054834666</v>
      </c>
      <c r="E1584" s="15" t="n">
        <v>7693.69015905591</v>
      </c>
      <c r="F1584" s="15" t="n">
        <v>707.710041857679</v>
      </c>
      <c r="G1584" s="15" t="n">
        <v>354.134578979109</v>
      </c>
      <c r="H1584" s="15" t="n">
        <v>103.851130861978</v>
      </c>
      <c r="I1584" s="16" t="n">
        <v>19.5538936286562</v>
      </c>
      <c r="J1584" s="15" t="n">
        <v>30.8792636708175</v>
      </c>
      <c r="K1584" s="15" t="n">
        <v>1480.84586873155</v>
      </c>
      <c r="L1584" s="15" t="n">
        <v>544.084691629427</v>
      </c>
      <c r="M1584" s="15" t="n">
        <v>-12.982636794761</v>
      </c>
      <c r="N1584" s="17" t="n">
        <v>21.5998075380159</v>
      </c>
      <c r="O1584" s="18" t="n">
        <v>1.45861281002307</v>
      </c>
    </row>
    <row r="1585" ht="15" customHeight="1" s="12">
      <c r="A1585" s="14" t="inlineStr">
        <is>
          <t>Swabi</t>
        </is>
      </c>
      <c r="B1585" s="14" t="inlineStr">
        <is>
          <t>Khyber Pakhtunkhwa</t>
        </is>
      </c>
      <c r="C1585" s="14" t="n">
        <v>2025</v>
      </c>
      <c r="D1585" s="15" t="n">
        <v>621.153511507747</v>
      </c>
      <c r="E1585" s="15" t="n">
        <v>8998.20028042987</v>
      </c>
      <c r="F1585" s="15" t="n">
        <v>804.547162650153</v>
      </c>
      <c r="G1585" s="15" t="n">
        <v>453.711412522906</v>
      </c>
      <c r="H1585" s="15" t="n">
        <v>111.008392847225</v>
      </c>
      <c r="I1585" s="16" t="n">
        <v>17.8713298388624</v>
      </c>
      <c r="J1585" s="15" t="n">
        <v>37.2314564158094</v>
      </c>
      <c r="K1585" s="15" t="n">
        <v>1480.84586873155</v>
      </c>
      <c r="L1585" s="15" t="n">
        <v>544.084691629427</v>
      </c>
      <c r="M1585" s="15" t="n">
        <v>77.0688198783196</v>
      </c>
      <c r="N1585" s="17" t="n">
        <v>19.0268478697671</v>
      </c>
      <c r="O1585" s="18" t="n">
        <v>1.28486348724901</v>
      </c>
    </row>
    <row r="1586" ht="15" customHeight="1" s="12">
      <c r="A1586" s="14" t="inlineStr">
        <is>
          <t>Swat</t>
        </is>
      </c>
      <c r="B1586" s="14" t="inlineStr">
        <is>
          <t>Khyber Pakhtunkhwa</t>
        </is>
      </c>
      <c r="C1586" s="14" t="n">
        <v>2015</v>
      </c>
      <c r="D1586" s="15" t="n">
        <v>342.676519718164</v>
      </c>
      <c r="E1586" s="15" t="n">
        <v>18130.9474668136</v>
      </c>
      <c r="F1586" s="15" t="n">
        <v>829.785907745361</v>
      </c>
      <c r="G1586" s="15" t="n">
        <v>148.214807510376</v>
      </c>
      <c r="H1586" s="15" t="n">
        <v>135.399528092869</v>
      </c>
      <c r="I1586" s="16" t="n">
        <v>39.5123448213579</v>
      </c>
      <c r="J1586" s="15" t="n">
        <v>18.020678920842</v>
      </c>
      <c r="K1586" s="15" t="n">
        <v>5348.41692043971</v>
      </c>
      <c r="L1586" s="15" t="n">
        <v>315.027367180039</v>
      </c>
      <c r="M1586" s="15" t="n">
        <v>27.6491525381248</v>
      </c>
      <c r="N1586" s="17" t="n">
        <v>1.45581733624148</v>
      </c>
      <c r="O1586" s="18" t="n">
        <v>0.0272195933469187</v>
      </c>
    </row>
    <row r="1587" ht="15" customHeight="1" s="12">
      <c r="A1587" s="14" t="inlineStr">
        <is>
          <t>Swat</t>
        </is>
      </c>
      <c r="B1587" s="14" t="inlineStr">
        <is>
          <t>Khyber Pakhtunkhwa</t>
        </is>
      </c>
      <c r="C1587" s="14" t="n">
        <v>2016</v>
      </c>
      <c r="D1587" s="15" t="n">
        <v>292.003569961345</v>
      </c>
      <c r="E1587" s="15" t="n">
        <v>15449.8516310528</v>
      </c>
      <c r="F1587" s="15" t="n">
        <v>627.587464690208</v>
      </c>
      <c r="G1587" s="15" t="n">
        <v>129.0111348629</v>
      </c>
      <c r="H1587" s="15" t="n">
        <v>113.14633294783</v>
      </c>
      <c r="I1587" s="16" t="n">
        <v>38.7482704279295</v>
      </c>
      <c r="J1587" s="15" t="n">
        <v>23.2467388081826</v>
      </c>
      <c r="K1587" s="15" t="n">
        <v>5348.41692043971</v>
      </c>
      <c r="L1587" s="15" t="n">
        <v>315.027367180039</v>
      </c>
      <c r="M1587" s="15" t="n">
        <v>-23.0237972186934</v>
      </c>
      <c r="N1587" s="17" t="n">
        <v>2.59041439036961</v>
      </c>
      <c r="O1587" s="18" t="n">
        <v>0.0484332921106054</v>
      </c>
    </row>
    <row r="1588" ht="15" customHeight="1" s="12">
      <c r="A1588" s="14" t="inlineStr">
        <is>
          <t>Swat</t>
        </is>
      </c>
      <c r="B1588" s="14" t="inlineStr">
        <is>
          <t>Khyber Pakhtunkhwa</t>
        </is>
      </c>
      <c r="C1588" s="14" t="n">
        <v>2017</v>
      </c>
      <c r="D1588" s="15" t="n">
        <v>329.664303180543</v>
      </c>
      <c r="E1588" s="15" t="n">
        <v>17442.4736412231</v>
      </c>
      <c r="F1588" s="15" t="n">
        <v>630.2369672060011</v>
      </c>
      <c r="G1588" s="15" t="n">
        <v>137.141555786133</v>
      </c>
      <c r="H1588" s="15" t="n">
        <v>129.422924964086</v>
      </c>
      <c r="I1588" s="16" t="n">
        <v>39.2590049075489</v>
      </c>
      <c r="J1588" s="15" t="n">
        <v>24.3818559146161</v>
      </c>
      <c r="K1588" s="15" t="n">
        <v>5348.41692043971</v>
      </c>
      <c r="L1588" s="15" t="n">
        <v>315.027367180039</v>
      </c>
      <c r="M1588" s="15" t="n">
        <v>14.6369360005041</v>
      </c>
      <c r="N1588" s="17" t="n">
        <v>0.287696644897461</v>
      </c>
      <c r="O1588" s="18" t="n">
        <v>0.00537909907131564</v>
      </c>
    </row>
    <row r="1589" ht="15" customHeight="1" s="12">
      <c r="A1589" s="14" t="inlineStr">
        <is>
          <t>Swat</t>
        </is>
      </c>
      <c r="B1589" s="14" t="inlineStr">
        <is>
          <t>Khyber Pakhtunkhwa</t>
        </is>
      </c>
      <c r="C1589" s="14" t="n">
        <v>2018</v>
      </c>
      <c r="D1589" s="15" t="n">
        <v>323.895987820333</v>
      </c>
      <c r="E1589" s="15" t="n">
        <v>17137.2732065566</v>
      </c>
      <c r="F1589" s="15" t="n">
        <v>634.9222984313971</v>
      </c>
      <c r="G1589" s="15" t="n">
        <v>139.244697093964</v>
      </c>
      <c r="H1589" s="15" t="n">
        <v>128.649696123084</v>
      </c>
      <c r="I1589" s="16" t="n">
        <v>39.7194472796145</v>
      </c>
      <c r="J1589" s="15" t="n">
        <v>24.0183812629707</v>
      </c>
      <c r="K1589" s="15" t="n">
        <v>5348.41692043971</v>
      </c>
      <c r="L1589" s="15" t="n">
        <v>315.027367180039</v>
      </c>
      <c r="M1589" s="15" t="n">
        <v>8.868620640294299</v>
      </c>
      <c r="N1589" s="17" t="n">
        <v>0.539622195800782</v>
      </c>
      <c r="O1589" s="18" t="n">
        <v>0.0100893816586837</v>
      </c>
    </row>
    <row r="1590" ht="15" customHeight="1" s="12">
      <c r="A1590" s="14" t="inlineStr">
        <is>
          <t>Swat</t>
        </is>
      </c>
      <c r="B1590" s="14" t="inlineStr">
        <is>
          <t>Khyber Pakhtunkhwa</t>
        </is>
      </c>
      <c r="C1590" s="14" t="n">
        <v>2019</v>
      </c>
      <c r="D1590" s="15" t="n">
        <v>280.630967521338</v>
      </c>
      <c r="E1590" s="15" t="n">
        <v>14848.1294658741</v>
      </c>
      <c r="F1590" s="15" t="n">
        <v>637.133448779583</v>
      </c>
      <c r="G1590" s="15" t="n">
        <v>137.795981355012</v>
      </c>
      <c r="H1590" s="15" t="n">
        <v>100.557541183738</v>
      </c>
      <c r="I1590" s="16" t="n">
        <v>35.8326602626606</v>
      </c>
      <c r="J1590" s="15" t="n">
        <v>22.5665579602728</v>
      </c>
      <c r="K1590" s="15" t="n">
        <v>5348.41692043971</v>
      </c>
      <c r="L1590" s="15" t="n">
        <v>315.027367180039</v>
      </c>
      <c r="M1590" s="15" t="n">
        <v>-34.3963996587009</v>
      </c>
      <c r="N1590" s="17" t="n">
        <v>0.636979642028808</v>
      </c>
      <c r="O1590" s="18" t="n">
        <v>0.0119096856416429</v>
      </c>
    </row>
    <row r="1591" ht="15" customHeight="1" s="12">
      <c r="A1591" s="14" t="inlineStr">
        <is>
          <t>Swat</t>
        </is>
      </c>
      <c r="B1591" s="14" t="inlineStr">
        <is>
          <t>Khyber Pakhtunkhwa</t>
        </is>
      </c>
      <c r="C1591" s="14" t="n">
        <v>2020</v>
      </c>
      <c r="D1591" s="15" t="n">
        <v>383.272406431202</v>
      </c>
      <c r="E1591" s="15" t="n">
        <v>20278.8678728227</v>
      </c>
      <c r="F1591" s="15" t="n">
        <v>913.890473016522</v>
      </c>
      <c r="G1591" s="15" t="n">
        <v>187.208568089642</v>
      </c>
      <c r="H1591" s="15" t="n">
        <v>138.796520975797</v>
      </c>
      <c r="I1591" s="16" t="n">
        <v>36.2135438520569</v>
      </c>
      <c r="J1591" s="15" t="n">
        <v>30.168321968574</v>
      </c>
      <c r="K1591" s="15" t="n">
        <v>5348.41692043971</v>
      </c>
      <c r="L1591" s="15" t="n">
        <v>315.027367180039</v>
      </c>
      <c r="M1591" s="15" t="n">
        <v>68.2450392511636</v>
      </c>
      <c r="N1591" s="17" t="n">
        <v>1.95370173223877</v>
      </c>
      <c r="O1591" s="18" t="n">
        <v>0.0365285982992917</v>
      </c>
    </row>
    <row r="1592" ht="15" customHeight="1" s="12">
      <c r="A1592" s="14" t="inlineStr">
        <is>
          <t>Swat</t>
        </is>
      </c>
      <c r="B1592" s="14" t="inlineStr">
        <is>
          <t>Khyber Pakhtunkhwa</t>
        </is>
      </c>
      <c r="C1592" s="14" t="n">
        <v>2021</v>
      </c>
      <c r="D1592" s="15" t="n">
        <v>322.669756214663</v>
      </c>
      <c r="E1592" s="15" t="n">
        <v>17072.3935327382</v>
      </c>
      <c r="F1592" s="15" t="n">
        <v>585.724381148815</v>
      </c>
      <c r="G1592" s="15" t="n">
        <v>137.920795559883</v>
      </c>
      <c r="H1592" s="15" t="n">
        <v>125.255941792745</v>
      </c>
      <c r="I1592" s="16" t="n">
        <v>38.8186185349878</v>
      </c>
      <c r="J1592" s="15" t="n">
        <v>28.4628668840795</v>
      </c>
      <c r="K1592" s="15" t="n">
        <v>5348.41692043971</v>
      </c>
      <c r="L1592" s="15" t="n">
        <v>315.027367180039</v>
      </c>
      <c r="M1592" s="15" t="n">
        <v>7.64238903462439</v>
      </c>
      <c r="N1592" s="17" t="n">
        <v>1.01647182873703</v>
      </c>
      <c r="O1592" s="18" t="n">
        <v>0.0190050970942905</v>
      </c>
    </row>
    <row r="1593" ht="15" customHeight="1" s="12">
      <c r="A1593" s="14" t="inlineStr">
        <is>
          <t>Swat</t>
        </is>
      </c>
      <c r="B1593" s="14" t="inlineStr">
        <is>
          <t>Khyber Pakhtunkhwa</t>
        </is>
      </c>
      <c r="C1593" s="14" t="n">
        <v>2022</v>
      </c>
      <c r="D1593" s="15" t="n">
        <v>381.572336457276</v>
      </c>
      <c r="E1593" s="15" t="n">
        <v>20188.9175038493</v>
      </c>
      <c r="F1593" s="15" t="n">
        <v>808.686417937279</v>
      </c>
      <c r="G1593" s="15" t="n">
        <v>143.971923828125</v>
      </c>
      <c r="H1593" s="15" t="n">
        <v>141.609373029681</v>
      </c>
      <c r="I1593" s="16" t="n">
        <v>37.1120648693925</v>
      </c>
      <c r="J1593" s="15" t="n">
        <v>28.1042099021643</v>
      </c>
      <c r="K1593" s="15" t="n">
        <v>5348.41692043971</v>
      </c>
      <c r="L1593" s="15" t="n">
        <v>315.027367180039</v>
      </c>
      <c r="M1593" s="15" t="n">
        <v>66.5449692772373</v>
      </c>
      <c r="N1593" s="17" t="n">
        <v>2.30118553405594</v>
      </c>
      <c r="O1593" s="18" t="n">
        <v>0.043025545096562</v>
      </c>
    </row>
    <row r="1594" ht="15" customHeight="1" s="12">
      <c r="A1594" s="14" t="inlineStr">
        <is>
          <t>Swat</t>
        </is>
      </c>
      <c r="B1594" s="14" t="inlineStr">
        <is>
          <t>Khyber Pakhtunkhwa</t>
        </is>
      </c>
      <c r="C1594" s="14" t="n">
        <v>2023</v>
      </c>
      <c r="D1594" s="15" t="n">
        <v>249.153362943768</v>
      </c>
      <c r="E1594" s="15" t="n">
        <v>13182.6555797542</v>
      </c>
      <c r="F1594" s="15" t="n">
        <v>529.461572289467</v>
      </c>
      <c r="G1594" s="15" t="n">
        <v>108.870568275452</v>
      </c>
      <c r="H1594" s="15" t="n">
        <v>101.160212850615</v>
      </c>
      <c r="I1594" s="16" t="n">
        <v>40.601584363702</v>
      </c>
      <c r="J1594" s="15" t="n">
        <v>21.0609991105841</v>
      </c>
      <c r="K1594" s="15" t="n">
        <v>5348.41692043971</v>
      </c>
      <c r="L1594" s="15" t="n">
        <v>315.027367180039</v>
      </c>
      <c r="M1594" s="15" t="n">
        <v>-65.87400423627081</v>
      </c>
      <c r="N1594" s="17" t="n">
        <v>0.863429856645652</v>
      </c>
      <c r="O1594" s="18" t="n">
        <v>0.0161436527759445</v>
      </c>
    </row>
    <row r="1595" ht="15" customHeight="1" s="12">
      <c r="A1595" s="14" t="inlineStr">
        <is>
          <t>Swat</t>
        </is>
      </c>
      <c r="B1595" s="14" t="inlineStr">
        <is>
          <t>Khyber Pakhtunkhwa</t>
        </is>
      </c>
      <c r="C1595" s="14" t="n">
        <v>2024</v>
      </c>
      <c r="D1595" s="15" t="n">
        <v>275.499981276399</v>
      </c>
      <c r="E1595" s="15" t="n">
        <v>14576.6499897301</v>
      </c>
      <c r="F1595" s="15" t="n">
        <v>660.0706049816559</v>
      </c>
      <c r="G1595" s="15" t="n">
        <v>129.293555297889</v>
      </c>
      <c r="H1595" s="15" t="n">
        <v>109.648682430246</v>
      </c>
      <c r="I1595" s="16" t="n">
        <v>39.7998874345619</v>
      </c>
      <c r="J1595" s="15" t="n">
        <v>23.4298843759265</v>
      </c>
      <c r="K1595" s="15" t="n">
        <v>5348.41692043971</v>
      </c>
      <c r="L1595" s="15" t="n">
        <v>315.027367180039</v>
      </c>
      <c r="M1595" s="15" t="n">
        <v>-39.5273859036402</v>
      </c>
      <c r="N1595" s="17" t="n">
        <v>1.43763463848877</v>
      </c>
      <c r="O1595" s="18" t="n">
        <v>0.0268796292412181</v>
      </c>
    </row>
    <row r="1596" ht="15" customHeight="1" s="12">
      <c r="A1596" s="14" t="inlineStr">
        <is>
          <t>Swat</t>
        </is>
      </c>
      <c r="B1596" s="14" t="inlineStr">
        <is>
          <t>Khyber Pakhtunkhwa</t>
        </is>
      </c>
      <c r="C1596" s="14" t="n">
        <v>2025</v>
      </c>
      <c r="D1596" s="15" t="n">
        <v>284.261847455395</v>
      </c>
      <c r="E1596" s="15" t="n">
        <v>15040.2386112478</v>
      </c>
      <c r="F1596" s="15" t="n">
        <v>528.516307830811</v>
      </c>
      <c r="G1596" s="15" t="n">
        <v>119.865066137165</v>
      </c>
      <c r="H1596" s="15" t="n">
        <v>114.655455488329</v>
      </c>
      <c r="I1596" s="16" t="n">
        <v>40.3344509700056</v>
      </c>
      <c r="J1596" s="15" t="n">
        <v>28.0591461606878</v>
      </c>
      <c r="K1596" s="15" t="n">
        <v>5348.41692043971</v>
      </c>
      <c r="L1596" s="15" t="n">
        <v>315.027367180039</v>
      </c>
      <c r="M1596" s="15" t="n">
        <v>-30.7655197246434</v>
      </c>
      <c r="N1596" s="17" t="n">
        <v>1.00138291524898</v>
      </c>
      <c r="O1596" s="18" t="n">
        <v>0.018722977848306</v>
      </c>
    </row>
    <row r="1597" ht="15" customHeight="1" s="12">
      <c r="A1597" s="14" t="inlineStr">
        <is>
          <t>Tando Allahyar</t>
        </is>
      </c>
      <c r="B1597" s="14" t="inlineStr">
        <is>
          <t>Sindh</t>
        </is>
      </c>
      <c r="C1597" s="14" t="n">
        <v>2015</v>
      </c>
      <c r="D1597" s="15" t="n">
        <v>143.100918610228</v>
      </c>
      <c r="E1597" s="15" t="n">
        <v>1979.84329747797</v>
      </c>
      <c r="F1597" s="15" t="n">
        <v>172.505555510521</v>
      </c>
      <c r="G1597" s="15" t="n">
        <v>115.371504545212</v>
      </c>
      <c r="H1597" s="15" t="n">
        <v>17.4060497022623</v>
      </c>
      <c r="I1597" s="16" t="n">
        <v>12.1634786633845</v>
      </c>
      <c r="J1597" s="15" t="n">
        <v>11.6269841269841</v>
      </c>
      <c r="K1597" s="15" t="n">
        <v>1547.31338892369</v>
      </c>
      <c r="L1597" s="15" t="n">
        <v>214.845871710528</v>
      </c>
      <c r="M1597" s="15" t="n">
        <v>-71.74495310030041</v>
      </c>
      <c r="N1597" s="17" t="n">
        <v>3.22839943118154</v>
      </c>
      <c r="O1597" s="18" t="n">
        <v>0.208645478950274</v>
      </c>
    </row>
    <row r="1598" ht="15" customHeight="1" s="12">
      <c r="A1598" s="14" t="inlineStr">
        <is>
          <t>Tando Allahyar</t>
        </is>
      </c>
      <c r="B1598" s="14" t="inlineStr">
        <is>
          <t>Sindh</t>
        </is>
      </c>
      <c r="C1598" s="14" t="n">
        <v>2016</v>
      </c>
      <c r="D1598" s="15" t="n">
        <v>157.679461612588</v>
      </c>
      <c r="E1598" s="15" t="n">
        <v>2181.54172772239</v>
      </c>
      <c r="F1598" s="15" t="n">
        <v>187.599450349808</v>
      </c>
      <c r="G1598" s="15" t="n">
        <v>110.043654441834</v>
      </c>
      <c r="H1598" s="15" t="n">
        <v>21.5646833151403</v>
      </c>
      <c r="I1598" s="16" t="n">
        <v>13.6762791390827</v>
      </c>
      <c r="J1598" s="15" t="n">
        <v>20.8356009070295</v>
      </c>
      <c r="K1598" s="15" t="n">
        <v>1547.31338892369</v>
      </c>
      <c r="L1598" s="15" t="n">
        <v>214.845871710528</v>
      </c>
      <c r="M1598" s="15" t="n">
        <v>-57.1664100979401</v>
      </c>
      <c r="N1598" s="17" t="n">
        <v>1.19805231984121</v>
      </c>
      <c r="O1598" s="18" t="n">
        <v>0.0774279036436554</v>
      </c>
    </row>
    <row r="1599" ht="15" customHeight="1" s="12">
      <c r="A1599" s="14" t="inlineStr">
        <is>
          <t>Tando Allahyar</t>
        </is>
      </c>
      <c r="B1599" s="14" t="inlineStr">
        <is>
          <t>Sindh</t>
        </is>
      </c>
      <c r="C1599" s="14" t="n">
        <v>2017</v>
      </c>
      <c r="D1599" s="15" t="n">
        <v>238.777183468751</v>
      </c>
      <c r="E1599" s="15" t="n">
        <v>3303.55256187355</v>
      </c>
      <c r="F1599" s="15" t="n">
        <v>296.540270805359</v>
      </c>
      <c r="G1599" s="15" t="n">
        <v>203.176225185394</v>
      </c>
      <c r="H1599" s="15" t="n">
        <v>24.5805791662209</v>
      </c>
      <c r="I1599" s="16" t="n">
        <v>10.2943584513123</v>
      </c>
      <c r="J1599" s="15" t="n">
        <v>25.406462585034</v>
      </c>
      <c r="K1599" s="15" t="n">
        <v>1547.31338892369</v>
      </c>
      <c r="L1599" s="15" t="n">
        <v>214.845871710528</v>
      </c>
      <c r="M1599" s="15" t="n">
        <v>23.9313117582234</v>
      </c>
      <c r="N1599" s="17" t="n">
        <v>1.56501489483595</v>
      </c>
      <c r="O1599" s="18" t="n">
        <v>0.101144015558773</v>
      </c>
    </row>
    <row r="1600" ht="15" customHeight="1" s="12">
      <c r="A1600" s="14" t="inlineStr">
        <is>
          <t>Tando Allahyar</t>
        </is>
      </c>
      <c r="B1600" s="14" t="inlineStr">
        <is>
          <t>Sindh</t>
        </is>
      </c>
      <c r="C1600" s="14" t="n">
        <v>2018</v>
      </c>
      <c r="D1600" s="15" t="n">
        <v>51.8130432662946</v>
      </c>
      <c r="E1600" s="15" t="n">
        <v>716.848692719558</v>
      </c>
      <c r="F1600" s="15" t="n">
        <v>68.4423601664603</v>
      </c>
      <c r="G1600" s="15" t="n">
        <v>43.0832039155066</v>
      </c>
      <c r="H1600" s="15" t="n">
        <v>7.03617508149775</v>
      </c>
      <c r="I1600" s="16" t="n">
        <v>13.5799301448771</v>
      </c>
      <c r="J1600" s="15" t="n">
        <v>11.7052154195011</v>
      </c>
      <c r="K1600" s="15" t="n">
        <v>1547.31338892369</v>
      </c>
      <c r="L1600" s="15" t="n">
        <v>214.845871710528</v>
      </c>
      <c r="M1600" s="15" t="n">
        <v>-163.032828444233</v>
      </c>
      <c r="N1600" s="17" t="n">
        <v>0.666103535498286</v>
      </c>
      <c r="O1600" s="18" t="n">
        <v>0.0430490384343942</v>
      </c>
    </row>
    <row r="1601" ht="15" customHeight="1" s="12">
      <c r="A1601" s="14" t="inlineStr">
        <is>
          <t>Tando Allahyar</t>
        </is>
      </c>
      <c r="B1601" s="14" t="inlineStr">
        <is>
          <t>Sindh</t>
        </is>
      </c>
      <c r="C1601" s="14" t="n">
        <v>2019</v>
      </c>
      <c r="D1601" s="15" t="n">
        <v>263.182454241255</v>
      </c>
      <c r="E1601" s="15" t="n">
        <v>3641.20666103196</v>
      </c>
      <c r="F1601" s="15" t="n">
        <v>283.026775024831</v>
      </c>
      <c r="G1601" s="15" t="n">
        <v>220.580107048094</v>
      </c>
      <c r="H1601" s="15" t="n">
        <v>15.9338308217585</v>
      </c>
      <c r="I1601" s="16" t="n">
        <v>6.05429068882846</v>
      </c>
      <c r="J1601" s="15" t="n">
        <v>19.3078231292517</v>
      </c>
      <c r="K1601" s="15" t="n">
        <v>1547.31338892369</v>
      </c>
      <c r="L1601" s="15" t="n">
        <v>214.845871710528</v>
      </c>
      <c r="M1601" s="15" t="n">
        <v>48.3365825307274</v>
      </c>
      <c r="N1601" s="17" t="n">
        <v>2.79924844959214</v>
      </c>
      <c r="O1601" s="18" t="n">
        <v>0.180910245437694</v>
      </c>
    </row>
    <row r="1602" ht="15" customHeight="1" s="12">
      <c r="A1602" s="14" t="inlineStr">
        <is>
          <t>Tando Allahyar</t>
        </is>
      </c>
      <c r="B1602" s="14" t="inlineStr">
        <is>
          <t>Sindh</t>
        </is>
      </c>
      <c r="C1602" s="14" t="n">
        <v>2020</v>
      </c>
      <c r="D1602" s="15" t="n">
        <v>315.41513681117</v>
      </c>
      <c r="E1602" s="15" t="n">
        <v>4363.86118694042</v>
      </c>
      <c r="F1602" s="15" t="n">
        <v>338.899308010625</v>
      </c>
      <c r="G1602" s="15" t="n">
        <v>244.688224214754</v>
      </c>
      <c r="H1602" s="15" t="n">
        <v>24.5149584082058</v>
      </c>
      <c r="I1602" s="16" t="n">
        <v>7.7722834281356</v>
      </c>
      <c r="J1602" s="15" t="n">
        <v>27.6201814058957</v>
      </c>
      <c r="K1602" s="15" t="n">
        <v>1547.31338892369</v>
      </c>
      <c r="L1602" s="15" t="n">
        <v>214.845871710528</v>
      </c>
      <c r="M1602" s="15" t="n">
        <v>100.569265100642</v>
      </c>
      <c r="N1602" s="17" t="n">
        <v>1.97375170209004</v>
      </c>
      <c r="O1602" s="18" t="n">
        <v>0.127559918773984</v>
      </c>
    </row>
    <row r="1603" ht="15" customHeight="1" s="12">
      <c r="A1603" s="14" t="inlineStr">
        <is>
          <t>Tando Allahyar</t>
        </is>
      </c>
      <c r="B1603" s="14" t="inlineStr">
        <is>
          <t>Sindh</t>
        </is>
      </c>
      <c r="C1603" s="14" t="n">
        <v>2021</v>
      </c>
      <c r="D1603" s="15" t="n">
        <v>117.340481454849</v>
      </c>
      <c r="E1603" s="15" t="n">
        <v>1623.44007283414</v>
      </c>
      <c r="F1603" s="15" t="n">
        <v>152.159912228584</v>
      </c>
      <c r="G1603" s="15" t="n">
        <v>85.9160318672657</v>
      </c>
      <c r="H1603" s="15" t="n">
        <v>17.3465141890281</v>
      </c>
      <c r="I1603" s="16" t="n">
        <v>14.783060350492</v>
      </c>
      <c r="J1603" s="15" t="n">
        <v>19.3024376417234</v>
      </c>
      <c r="K1603" s="15" t="n">
        <v>1547.31338892369</v>
      </c>
      <c r="L1603" s="15" t="n">
        <v>214.845871710528</v>
      </c>
      <c r="M1603" s="15" t="n">
        <v>-97.5053902556794</v>
      </c>
      <c r="N1603" s="17" t="n">
        <v>1.65291229072529</v>
      </c>
      <c r="O1603" s="18" t="n">
        <v>0.106824661542873</v>
      </c>
    </row>
    <row r="1604" ht="15" customHeight="1" s="12">
      <c r="A1604" s="14" t="inlineStr">
        <is>
          <t>Tando Allahyar</t>
        </is>
      </c>
      <c r="B1604" s="14" t="inlineStr">
        <is>
          <t>Sindh</t>
        </is>
      </c>
      <c r="C1604" s="14" t="n">
        <v>2022</v>
      </c>
      <c r="D1604" s="15" t="n">
        <v>435.743365671985</v>
      </c>
      <c r="E1604" s="15" t="n">
        <v>6028.63762388534</v>
      </c>
      <c r="F1604" s="15" t="n">
        <v>515.753432455173</v>
      </c>
      <c r="G1604" s="15" t="n">
        <v>382.796851708121</v>
      </c>
      <c r="H1604" s="15" t="n">
        <v>36.5438063001867</v>
      </c>
      <c r="I1604" s="16" t="n">
        <v>8.38654335995005</v>
      </c>
      <c r="J1604" s="15" t="n">
        <v>32.1822562358277</v>
      </c>
      <c r="K1604" s="15" t="n">
        <v>1547.31338892369</v>
      </c>
      <c r="L1604" s="15" t="n">
        <v>214.845871710528</v>
      </c>
      <c r="M1604" s="15" t="n">
        <v>220.897493961457</v>
      </c>
      <c r="N1604" s="17" t="n">
        <v>6.72055692852999</v>
      </c>
      <c r="O1604" s="18" t="n">
        <v>0.43433715345828</v>
      </c>
    </row>
    <row r="1605" ht="15" customHeight="1" s="12">
      <c r="A1605" s="14" t="inlineStr">
        <is>
          <t>Tando Allahyar</t>
        </is>
      </c>
      <c r="B1605" s="14" t="inlineStr">
        <is>
          <t>Sindh</t>
        </is>
      </c>
      <c r="C1605" s="14" t="n">
        <v>2023</v>
      </c>
      <c r="D1605" s="15" t="n">
        <v>161.152984450632</v>
      </c>
      <c r="E1605" s="15" t="n">
        <v>2229.59893781109</v>
      </c>
      <c r="F1605" s="15" t="n">
        <v>213.978402022272</v>
      </c>
      <c r="G1605" s="15" t="n">
        <v>138.045724153519</v>
      </c>
      <c r="H1605" s="15" t="n">
        <v>20.5018331772122</v>
      </c>
      <c r="I1605" s="16" t="n">
        <v>12.7219692809926</v>
      </c>
      <c r="J1605" s="15" t="n">
        <v>19.5045351473923</v>
      </c>
      <c r="K1605" s="15" t="n">
        <v>1547.31338892369</v>
      </c>
      <c r="L1605" s="15" t="n">
        <v>214.845871710528</v>
      </c>
      <c r="M1605" s="15" t="n">
        <v>-53.6928872598965</v>
      </c>
      <c r="N1605" s="17" t="n">
        <v>1.35607340173412</v>
      </c>
      <c r="O1605" s="18" t="n">
        <v>0.0876405136439362</v>
      </c>
    </row>
    <row r="1606" ht="15" customHeight="1" s="12">
      <c r="A1606" s="14" t="inlineStr">
        <is>
          <t>Tando Allahyar</t>
        </is>
      </c>
      <c r="B1606" s="14" t="inlineStr">
        <is>
          <t>Sindh</t>
        </is>
      </c>
      <c r="C1606" s="14" t="n">
        <v>2024</v>
      </c>
      <c r="D1606" s="15" t="n">
        <v>272.6982164082</v>
      </c>
      <c r="E1606" s="15" t="n">
        <v>3772.86002936522</v>
      </c>
      <c r="F1606" s="15" t="n">
        <v>330.394989990479</v>
      </c>
      <c r="G1606" s="15" t="n">
        <v>228.176585991328</v>
      </c>
      <c r="H1606" s="15" t="n">
        <v>26.2782773093629</v>
      </c>
      <c r="I1606" s="16" t="n">
        <v>9.636395006715819</v>
      </c>
      <c r="J1606" s="15" t="n">
        <v>29.2431972789116</v>
      </c>
      <c r="K1606" s="15" t="n">
        <v>1547.31338892369</v>
      </c>
      <c r="L1606" s="15" t="n">
        <v>214.845871710528</v>
      </c>
      <c r="M1606" s="15" t="n">
        <v>57.8523446976721</v>
      </c>
      <c r="N1606" s="17" t="n">
        <v>3.04786055982259</v>
      </c>
      <c r="O1606" s="18" t="n">
        <v>0.196977585900855</v>
      </c>
    </row>
    <row r="1607" ht="15" customHeight="1" s="12">
      <c r="A1607" s="14" t="inlineStr">
        <is>
          <t>Tando Allahyar</t>
        </is>
      </c>
      <c r="B1607" s="14" t="inlineStr">
        <is>
          <t>Sindh</t>
        </is>
      </c>
      <c r="C1607" s="14" t="n">
        <v>2025</v>
      </c>
      <c r="D1607" s="15" t="n">
        <v>206.401342819856</v>
      </c>
      <c r="E1607" s="15" t="n">
        <v>2855.62328419001</v>
      </c>
      <c r="F1607" s="15" t="n">
        <v>227.658344079753</v>
      </c>
      <c r="G1607" s="15" t="n">
        <v>163.887140866704</v>
      </c>
      <c r="H1607" s="15" t="n">
        <v>15.2643702812782</v>
      </c>
      <c r="I1607" s="16" t="n">
        <v>7.39548012272414</v>
      </c>
      <c r="J1607" s="15" t="n">
        <v>18.0569727891157</v>
      </c>
      <c r="K1607" s="15" t="n">
        <v>1547.31338892369</v>
      </c>
      <c r="L1607" s="15" t="n">
        <v>214.845871710528</v>
      </c>
      <c r="M1607" s="15" t="n">
        <v>-8.444528890671849</v>
      </c>
      <c r="N1607" s="17" t="n">
        <v>1.27736201017564</v>
      </c>
      <c r="O1607" s="18" t="n">
        <v>0.08255354211496679</v>
      </c>
    </row>
    <row r="1608" ht="15" customHeight="1" s="12">
      <c r="A1608" s="14" t="inlineStr">
        <is>
          <t>Tando Muhammad Khan</t>
        </is>
      </c>
      <c r="B1608" s="14" t="inlineStr">
        <is>
          <t>Sindh</t>
        </is>
      </c>
      <c r="C1608" s="14" t="n">
        <v>2015</v>
      </c>
      <c r="D1608" s="15" t="n">
        <v>140.114762658909</v>
      </c>
      <c r="E1608" s="15" t="n">
        <v>2087.435228789</v>
      </c>
      <c r="F1608" s="15" t="n">
        <v>177.092410683632</v>
      </c>
      <c r="G1608" s="15" t="n">
        <v>113.402781993151</v>
      </c>
      <c r="H1608" s="15" t="n">
        <v>19.9824284101656</v>
      </c>
      <c r="I1608" s="16" t="n">
        <v>14.2614725464798</v>
      </c>
      <c r="J1608" s="15" t="n">
        <v>10.6612266385891</v>
      </c>
      <c r="K1608" s="15" t="n">
        <v>1680.39029290732</v>
      </c>
      <c r="L1608" s="15" t="n">
        <v>218.670954335322</v>
      </c>
      <c r="M1608" s="15" t="n">
        <v>-78.55619167641331</v>
      </c>
      <c r="N1608" s="17" t="n">
        <v>30.7161354689584</v>
      </c>
      <c r="O1608" s="18" t="n">
        <v>1.82791674045052</v>
      </c>
    </row>
    <row r="1609" ht="15" customHeight="1" s="12">
      <c r="A1609" s="14" t="inlineStr">
        <is>
          <t>Tando Muhammad Khan</t>
        </is>
      </c>
      <c r="B1609" s="14" t="inlineStr">
        <is>
          <t>Sindh</t>
        </is>
      </c>
      <c r="C1609" s="14" t="n">
        <v>2016</v>
      </c>
      <c r="D1609" s="15" t="n">
        <v>157.508314751754</v>
      </c>
      <c r="E1609" s="15" t="n">
        <v>2346.56504996828</v>
      </c>
      <c r="F1609" s="15" t="n">
        <v>186.390122652054</v>
      </c>
      <c r="G1609" s="15" t="n">
        <v>135.865532100201</v>
      </c>
      <c r="H1609" s="15" t="n">
        <v>15.4569082966575</v>
      </c>
      <c r="I1609" s="16" t="n">
        <v>9.8133919603031</v>
      </c>
      <c r="J1609" s="15" t="n">
        <v>18.1008160042116</v>
      </c>
      <c r="K1609" s="15" t="n">
        <v>1680.39029290732</v>
      </c>
      <c r="L1609" s="15" t="n">
        <v>218.670954335322</v>
      </c>
      <c r="M1609" s="15" t="n">
        <v>-61.1626395835686</v>
      </c>
      <c r="N1609" s="17" t="n">
        <v>25.3224826635418</v>
      </c>
      <c r="O1609" s="18" t="n">
        <v>1.50694054651614</v>
      </c>
    </row>
    <row r="1610" ht="15" customHeight="1" s="12">
      <c r="A1610" s="14" t="inlineStr">
        <is>
          <t>Tando Muhammad Khan</t>
        </is>
      </c>
      <c r="B1610" s="14" t="inlineStr">
        <is>
          <t>Sindh</t>
        </is>
      </c>
      <c r="C1610" s="14" t="n">
        <v>2017</v>
      </c>
      <c r="D1610" s="15" t="n">
        <v>204.734062624624</v>
      </c>
      <c r="E1610" s="15" t="n">
        <v>3050.13609376842</v>
      </c>
      <c r="F1610" s="15" t="n">
        <v>229.999968826771</v>
      </c>
      <c r="G1610" s="15" t="n">
        <v>187.977317392826</v>
      </c>
      <c r="H1610" s="15" t="n">
        <v>11.1261701874222</v>
      </c>
      <c r="I1610" s="16" t="n">
        <v>5.43444996147117</v>
      </c>
      <c r="J1610" s="15" t="n">
        <v>29.6072650697552</v>
      </c>
      <c r="K1610" s="15" t="n">
        <v>1680.39029290732</v>
      </c>
      <c r="L1610" s="15" t="n">
        <v>218.670954335322</v>
      </c>
      <c r="M1610" s="15" t="n">
        <v>-13.9368917106981</v>
      </c>
      <c r="N1610" s="17" t="n">
        <v>21.6150923212606</v>
      </c>
      <c r="O1610" s="18" t="n">
        <v>1.28631380534003</v>
      </c>
    </row>
    <row r="1611" ht="15" customHeight="1" s="12">
      <c r="A1611" s="14" t="inlineStr">
        <is>
          <t>Tando Muhammad Khan</t>
        </is>
      </c>
      <c r="B1611" s="14" t="inlineStr">
        <is>
          <t>Sindh</t>
        </is>
      </c>
      <c r="C1611" s="14" t="n">
        <v>2018</v>
      </c>
      <c r="D1611" s="15" t="n">
        <v>38.5367032537075</v>
      </c>
      <c r="E1611" s="15" t="n">
        <v>574.121316317</v>
      </c>
      <c r="F1611" s="15" t="n">
        <v>49.229001192376</v>
      </c>
      <c r="G1611" s="15" t="n">
        <v>32.6356482347474</v>
      </c>
      <c r="H1611" s="15" t="n">
        <v>4.5677192288267</v>
      </c>
      <c r="I1611" s="16" t="n">
        <v>11.8529060432466</v>
      </c>
      <c r="J1611" s="15" t="n">
        <v>7.75519873650961</v>
      </c>
      <c r="K1611" s="15" t="n">
        <v>1680.39029290732</v>
      </c>
      <c r="L1611" s="15" t="n">
        <v>218.670954335322</v>
      </c>
      <c r="M1611" s="15" t="n">
        <v>-180.134251081615</v>
      </c>
      <c r="N1611" s="17" t="n">
        <v>15.7631471844668</v>
      </c>
      <c r="O1611" s="18" t="n">
        <v>0.93806464194662</v>
      </c>
    </row>
    <row r="1612" ht="15" customHeight="1" s="12">
      <c r="A1612" s="14" t="inlineStr">
        <is>
          <t>Tando Muhammad Khan</t>
        </is>
      </c>
      <c r="B1612" s="14" t="inlineStr">
        <is>
          <t>Sindh</t>
        </is>
      </c>
      <c r="C1612" s="14" t="n">
        <v>2019</v>
      </c>
      <c r="D1612" s="15" t="n">
        <v>308.537674480742</v>
      </c>
      <c r="E1612" s="15" t="n">
        <v>4596.60637393074</v>
      </c>
      <c r="F1612" s="15" t="n">
        <v>333.004459420219</v>
      </c>
      <c r="G1612" s="15" t="n">
        <v>276.379329219461</v>
      </c>
      <c r="H1612" s="15" t="n">
        <v>12.4925605686907</v>
      </c>
      <c r="I1612" s="16" t="n">
        <v>4.04895790756031</v>
      </c>
      <c r="J1612" s="15" t="n">
        <v>22.8412740194788</v>
      </c>
      <c r="K1612" s="15" t="n">
        <v>1680.39029290732</v>
      </c>
      <c r="L1612" s="15" t="n">
        <v>218.670954335322</v>
      </c>
      <c r="M1612" s="15" t="n">
        <v>89.86672014542</v>
      </c>
      <c r="N1612" s="17" t="n">
        <v>34.2743427289441</v>
      </c>
      <c r="O1612" s="18" t="n">
        <v>2.03966559873686</v>
      </c>
    </row>
    <row r="1613" ht="15" customHeight="1" s="12">
      <c r="A1613" s="14" t="inlineStr">
        <is>
          <t>Tando Muhammad Khan</t>
        </is>
      </c>
      <c r="B1613" s="14" t="inlineStr">
        <is>
          <t>Sindh</t>
        </is>
      </c>
      <c r="C1613" s="14" t="n">
        <v>2020</v>
      </c>
      <c r="D1613" s="15" t="n">
        <v>366.124795770507</v>
      </c>
      <c r="E1613" s="15" t="n">
        <v>5454.54156522414</v>
      </c>
      <c r="F1613" s="15" t="n">
        <v>406.732951772399</v>
      </c>
      <c r="G1613" s="15" t="n">
        <v>331.264085667561</v>
      </c>
      <c r="H1613" s="15" t="n">
        <v>21.5714030098859</v>
      </c>
      <c r="I1613" s="16" t="n">
        <v>5.89181701405638</v>
      </c>
      <c r="J1613" s="15" t="n">
        <v>31.9355093445644</v>
      </c>
      <c r="K1613" s="15" t="n">
        <v>1680.39029290732</v>
      </c>
      <c r="L1613" s="15" t="n">
        <v>218.670954335322</v>
      </c>
      <c r="M1613" s="15" t="n">
        <v>147.453841435185</v>
      </c>
      <c r="N1613" s="17" t="n">
        <v>31.6656313823915</v>
      </c>
      <c r="O1613" s="18" t="n">
        <v>1.88442122738078</v>
      </c>
    </row>
    <row r="1614" ht="15" customHeight="1" s="12">
      <c r="A1614" s="14" t="inlineStr">
        <is>
          <t>Tando Muhammad Khan</t>
        </is>
      </c>
      <c r="B1614" s="14" t="inlineStr">
        <is>
          <t>Sindh</t>
        </is>
      </c>
      <c r="C1614" s="14" t="n">
        <v>2021</v>
      </c>
      <c r="D1614" s="15" t="n">
        <v>179.576553771443</v>
      </c>
      <c r="E1614" s="15" t="n">
        <v>2675.33854030476</v>
      </c>
      <c r="F1614" s="15" t="n">
        <v>276.703960627317</v>
      </c>
      <c r="G1614" s="15" t="n">
        <v>124.093475222588</v>
      </c>
      <c r="H1614" s="15" t="n">
        <v>40.3022069349484</v>
      </c>
      <c r="I1614" s="16" t="n">
        <v>22.4429114427951</v>
      </c>
      <c r="J1614" s="15" t="n">
        <v>23.127138720716</v>
      </c>
      <c r="K1614" s="15" t="n">
        <v>1680.39029290732</v>
      </c>
      <c r="L1614" s="15" t="n">
        <v>218.670954335322</v>
      </c>
      <c r="M1614" s="15" t="n">
        <v>-39.0944005638787</v>
      </c>
      <c r="N1614" s="17" t="n">
        <v>26.253745400999</v>
      </c>
      <c r="O1614" s="18" t="n">
        <v>1.56235997742978</v>
      </c>
    </row>
    <row r="1615" ht="15" customHeight="1" s="12">
      <c r="A1615" s="14" t="inlineStr">
        <is>
          <t>Tando Muhammad Khan</t>
        </is>
      </c>
      <c r="B1615" s="14" t="inlineStr">
        <is>
          <t>Sindh</t>
        </is>
      </c>
      <c r="C1615" s="14" t="n">
        <v>2022</v>
      </c>
      <c r="D1615" s="15" t="n">
        <v>415.149439708162</v>
      </c>
      <c r="E1615" s="15" t="n">
        <v>6184.91263314238</v>
      </c>
      <c r="F1615" s="15" t="n">
        <v>479.590229735863</v>
      </c>
      <c r="G1615" s="15" t="n">
        <v>375.25847851747</v>
      </c>
      <c r="H1615" s="15" t="n">
        <v>27.4910549068792</v>
      </c>
      <c r="I1615" s="16" t="n">
        <v>6.62196603859194</v>
      </c>
      <c r="J1615" s="15" t="n">
        <v>35.3206106870229</v>
      </c>
      <c r="K1615" s="15" t="n">
        <v>1680.39029290732</v>
      </c>
      <c r="L1615" s="15" t="n">
        <v>218.670954335322</v>
      </c>
      <c r="M1615" s="15" t="n">
        <v>196.47848537284</v>
      </c>
      <c r="N1615" s="17" t="n">
        <v>31.7596951423325</v>
      </c>
      <c r="O1615" s="18" t="n">
        <v>1.89001896026093</v>
      </c>
    </row>
    <row r="1616" ht="15" customHeight="1" s="12">
      <c r="A1616" s="14" t="inlineStr">
        <is>
          <t>Tando Muhammad Khan</t>
        </is>
      </c>
      <c r="B1616" s="14" t="inlineStr">
        <is>
          <t>Sindh</t>
        </is>
      </c>
      <c r="C1616" s="14" t="n">
        <v>2023</v>
      </c>
      <c r="D1616" s="15" t="n">
        <v>144.87604459524</v>
      </c>
      <c r="E1616" s="15" t="n">
        <v>2158.3689937934</v>
      </c>
      <c r="F1616" s="15" t="n">
        <v>175.846904873848</v>
      </c>
      <c r="G1616" s="15" t="n">
        <v>118.296920776367</v>
      </c>
      <c r="H1616" s="15" t="n">
        <v>17.3139730362842</v>
      </c>
      <c r="I1616" s="16" t="n">
        <v>11.9508874532409</v>
      </c>
      <c r="J1616" s="15" t="n">
        <v>19.1447749407739</v>
      </c>
      <c r="K1616" s="15" t="n">
        <v>1680.39029290732</v>
      </c>
      <c r="L1616" s="15" t="n">
        <v>218.670954335322</v>
      </c>
      <c r="M1616" s="15" t="n">
        <v>-73.7949097400822</v>
      </c>
      <c r="N1616" s="17" t="n">
        <v>20.3357884279931</v>
      </c>
      <c r="O1616" s="18" t="n">
        <v>1.21018245069777</v>
      </c>
    </row>
    <row r="1617" ht="15" customHeight="1" s="12">
      <c r="A1617" s="14" t="inlineStr">
        <is>
          <t>Tando Muhammad Khan</t>
        </is>
      </c>
      <c r="B1617" s="14" t="inlineStr">
        <is>
          <t>Sindh</t>
        </is>
      </c>
      <c r="C1617" s="14" t="n">
        <v>2024</v>
      </c>
      <c r="D1617" s="15" t="n">
        <v>231.531653460977</v>
      </c>
      <c r="E1617" s="15" t="n">
        <v>3449.36765293432</v>
      </c>
      <c r="F1617" s="15" t="n">
        <v>261.953380715744</v>
      </c>
      <c r="G1617" s="15" t="n">
        <v>203.079364084978</v>
      </c>
      <c r="H1617" s="15" t="n">
        <v>15.0107610701083</v>
      </c>
      <c r="I1617" s="16" t="n">
        <v>6.48324358493739</v>
      </c>
      <c r="J1617" s="15" t="n">
        <v>27.8762832324296</v>
      </c>
      <c r="K1617" s="15" t="n">
        <v>1680.39029290732</v>
      </c>
      <c r="L1617" s="15" t="n">
        <v>218.670954335322</v>
      </c>
      <c r="M1617" s="15" t="n">
        <v>12.8606991256549</v>
      </c>
      <c r="N1617" s="17" t="n">
        <v>20.7988268722157</v>
      </c>
      <c r="O1617" s="18" t="n">
        <v>1.23773786125786</v>
      </c>
    </row>
    <row r="1618" ht="15" customHeight="1" s="12">
      <c r="A1618" s="14" t="inlineStr">
        <is>
          <t>Tando Muhammad Khan</t>
        </is>
      </c>
      <c r="B1618" s="14" t="inlineStr">
        <is>
          <t>Sindh</t>
        </is>
      </c>
      <c r="C1618" s="14" t="n">
        <v>2025</v>
      </c>
      <c r="D1618" s="15" t="n">
        <v>218.690492612479</v>
      </c>
      <c r="E1618" s="15" t="n">
        <v>3258.05953503845</v>
      </c>
      <c r="F1618" s="15" t="n">
        <v>270.706506549456</v>
      </c>
      <c r="G1618" s="15" t="n">
        <v>189.872468847864</v>
      </c>
      <c r="H1618" s="15" t="n">
        <v>21.675422112613</v>
      </c>
      <c r="I1618" s="16" t="n">
        <v>9.911460646358361</v>
      </c>
      <c r="J1618" s="15" t="n">
        <v>17.9223479863122</v>
      </c>
      <c r="K1618" s="15" t="n">
        <v>1680.39029290732</v>
      </c>
      <c r="L1618" s="15" t="n">
        <v>218.670954335322</v>
      </c>
      <c r="M1618" s="15" t="n">
        <v>0.0195382771563856</v>
      </c>
      <c r="N1618" s="17" t="n">
        <v>17.3745377589453</v>
      </c>
      <c r="O1618" s="18" t="n">
        <v>1.03395846978412</v>
      </c>
    </row>
    <row r="1619" ht="15" customHeight="1" s="12">
      <c r="A1619" s="14" t="inlineStr">
        <is>
          <t>Tangir</t>
        </is>
      </c>
      <c r="B1619" s="14" t="inlineStr">
        <is>
          <t>Gilgit Baltistan</t>
        </is>
      </c>
      <c r="C1619" s="14" t="n">
        <v>2015</v>
      </c>
      <c r="D1619" s="15" t="n">
        <v>221.34381120756</v>
      </c>
      <c r="E1619" s="15" t="n">
        <v>2429.57383360769</v>
      </c>
      <c r="F1619" s="15" t="n">
        <v>373.381172895432</v>
      </c>
      <c r="G1619" s="15" t="n">
        <v>93.3704619407654</v>
      </c>
      <c r="H1619" s="15" t="n">
        <v>80.095323627187</v>
      </c>
      <c r="I1619" s="16" t="n">
        <v>36.1859331825092</v>
      </c>
      <c r="J1619" s="15" t="n">
        <v>20.9317613433369</v>
      </c>
      <c r="K1619" s="15" t="n">
        <v>1102.23509662722</v>
      </c>
      <c r="L1619" s="15" t="n">
        <v>246.36089369656</v>
      </c>
      <c r="M1619" s="15" t="n">
        <v>-25.0170824889998</v>
      </c>
      <c r="N1619" s="17" t="n">
        <v>0.207759263549805</v>
      </c>
      <c r="O1619" s="18" t="n">
        <v>0.0188489065704347</v>
      </c>
    </row>
    <row r="1620" ht="15" customHeight="1" s="12">
      <c r="A1620" s="14" t="inlineStr">
        <is>
          <t>Tangir</t>
        </is>
      </c>
      <c r="B1620" s="14" t="inlineStr">
        <is>
          <t>Gilgit Baltistan</t>
        </is>
      </c>
      <c r="C1620" s="14" t="n">
        <v>2016</v>
      </c>
      <c r="D1620" s="15" t="n">
        <v>251.610267406278</v>
      </c>
      <c r="E1620" s="15" t="n">
        <v>2761.79269988303</v>
      </c>
      <c r="F1620" s="15" t="n">
        <v>420.428624749184</v>
      </c>
      <c r="G1620" s="15" t="n">
        <v>111.522758960724</v>
      </c>
      <c r="H1620" s="15" t="n">
        <v>80.6913065995921</v>
      </c>
      <c r="I1620" s="16" t="n">
        <v>32.0699578087165</v>
      </c>
      <c r="J1620" s="15" t="n">
        <v>30.3161843515541</v>
      </c>
      <c r="K1620" s="15" t="n">
        <v>1102.23509662722</v>
      </c>
      <c r="L1620" s="15" t="n">
        <v>246.36089369656</v>
      </c>
      <c r="M1620" s="15" t="n">
        <v>5.2493737097181</v>
      </c>
      <c r="N1620" s="17" t="n">
        <v>0.341525205046531</v>
      </c>
      <c r="O1620" s="18" t="n">
        <v>0.0309847877364439</v>
      </c>
    </row>
    <row r="1621" ht="15" customHeight="1" s="12">
      <c r="A1621" s="14" t="inlineStr">
        <is>
          <t>Tangir</t>
        </is>
      </c>
      <c r="B1621" s="14" t="inlineStr">
        <is>
          <t>Gilgit Baltistan</t>
        </is>
      </c>
      <c r="C1621" s="14" t="n">
        <v>2017</v>
      </c>
      <c r="D1621" s="15" t="n">
        <v>262.061342440596</v>
      </c>
      <c r="E1621" s="15" t="n">
        <v>2876.50861761266</v>
      </c>
      <c r="F1621" s="15" t="n">
        <v>463.080661058426</v>
      </c>
      <c r="G1621" s="15" t="n">
        <v>91.91464287042621</v>
      </c>
      <c r="H1621" s="15" t="n">
        <v>91.9674937073149</v>
      </c>
      <c r="I1621" s="16" t="n">
        <v>35.0938802536898</v>
      </c>
      <c r="J1621" s="15" t="n">
        <v>17.3097534833869</v>
      </c>
      <c r="K1621" s="15" t="n">
        <v>1102.23509662722</v>
      </c>
      <c r="L1621" s="15" t="n">
        <v>246.36089369656</v>
      </c>
      <c r="M1621" s="15" t="n">
        <v>15.700448744036</v>
      </c>
      <c r="N1621" s="17" t="n">
        <v>0.0692287733764648</v>
      </c>
      <c r="O1621" s="18" t="n">
        <v>0.00628076293236363</v>
      </c>
    </row>
    <row r="1622" ht="15" customHeight="1" s="12">
      <c r="A1622" s="14" t="inlineStr">
        <is>
          <t>Tangir</t>
        </is>
      </c>
      <c r="B1622" s="14" t="inlineStr">
        <is>
          <t>Gilgit Baltistan</t>
        </is>
      </c>
      <c r="C1622" s="14" t="n">
        <v>2018</v>
      </c>
      <c r="D1622" s="15" t="n">
        <v>221.037517906109</v>
      </c>
      <c r="E1622" s="15" t="n">
        <v>2426.21181419294</v>
      </c>
      <c r="F1622" s="15" t="n">
        <v>378.06027135253</v>
      </c>
      <c r="G1622" s="15" t="n">
        <v>84.43049566447741</v>
      </c>
      <c r="H1622" s="15" t="n">
        <v>75.9605275130789</v>
      </c>
      <c r="I1622" s="16" t="n">
        <v>34.3654453925532</v>
      </c>
      <c r="J1622" s="15" t="n">
        <v>31.3411932833155</v>
      </c>
      <c r="K1622" s="15" t="n">
        <v>1102.23509662722</v>
      </c>
      <c r="L1622" s="15" t="n">
        <v>246.36089369656</v>
      </c>
      <c r="M1622" s="15" t="n">
        <v>-25.3233757904508</v>
      </c>
      <c r="N1622" s="17" t="n">
        <v>0.12373493827766</v>
      </c>
      <c r="O1622" s="18" t="n">
        <v>0.0112258209393152</v>
      </c>
    </row>
    <row r="1623" ht="15" customHeight="1" s="12">
      <c r="A1623" s="14" t="inlineStr">
        <is>
          <t>Tangir</t>
        </is>
      </c>
      <c r="B1623" s="14" t="inlineStr">
        <is>
          <t>Gilgit Baltistan</t>
        </is>
      </c>
      <c r="C1623" s="14" t="n">
        <v>2019</v>
      </c>
      <c r="D1623" s="15" t="n">
        <v>285.563129809225</v>
      </c>
      <c r="E1623" s="15" t="n">
        <v>3134.47529543537</v>
      </c>
      <c r="F1623" s="15" t="n">
        <v>492.738734304905</v>
      </c>
      <c r="G1623" s="15" t="n">
        <v>108.615421496332</v>
      </c>
      <c r="H1623" s="15" t="n">
        <v>94.4710875047833</v>
      </c>
      <c r="I1623" s="16" t="n">
        <v>33.0823827179287</v>
      </c>
      <c r="J1623" s="15" t="n">
        <v>25.2097177563416</v>
      </c>
      <c r="K1623" s="15" t="n">
        <v>1102.23509662722</v>
      </c>
      <c r="L1623" s="15" t="n">
        <v>246.36089369656</v>
      </c>
      <c r="M1623" s="15" t="n">
        <v>39.2022361126647</v>
      </c>
      <c r="N1623" s="17" t="n">
        <v>0.17398510234016</v>
      </c>
      <c r="O1623" s="18" t="n">
        <v>0.0157847543480102</v>
      </c>
    </row>
    <row r="1624" ht="15" customHeight="1" s="12">
      <c r="A1624" s="14" t="inlineStr">
        <is>
          <t>Tangir</t>
        </is>
      </c>
      <c r="B1624" s="14" t="inlineStr">
        <is>
          <t>Gilgit Baltistan</t>
        </is>
      </c>
      <c r="C1624" s="14" t="n">
        <v>2020</v>
      </c>
      <c r="D1624" s="15" t="n">
        <v>277.632704481357</v>
      </c>
      <c r="E1624" s="15" t="n">
        <v>3047.42721507184</v>
      </c>
      <c r="F1624" s="15" t="n">
        <v>468.118324279785</v>
      </c>
      <c r="G1624" s="15" t="n">
        <v>115.661963154096</v>
      </c>
      <c r="H1624" s="15" t="n">
        <v>95.3318880756842</v>
      </c>
      <c r="I1624" s="16" t="n">
        <v>34.3374128972927</v>
      </c>
      <c r="J1624" s="15" t="n">
        <v>33.0435869953555</v>
      </c>
      <c r="K1624" s="15" t="n">
        <v>1102.23509662722</v>
      </c>
      <c r="L1624" s="15" t="n">
        <v>246.36089369656</v>
      </c>
      <c r="M1624" s="15" t="n">
        <v>31.2718107847971</v>
      </c>
      <c r="N1624" s="17" t="n">
        <v>0.109318276367188</v>
      </c>
      <c r="O1624" s="18" t="n">
        <v>0.00991787293851336</v>
      </c>
    </row>
    <row r="1625" ht="15" customHeight="1" s="12">
      <c r="A1625" s="14" t="inlineStr">
        <is>
          <t>Tangir</t>
        </is>
      </c>
      <c r="B1625" s="14" t="inlineStr">
        <is>
          <t>Gilgit Baltistan</t>
        </is>
      </c>
      <c r="C1625" s="14" t="n">
        <v>2021</v>
      </c>
      <c r="D1625" s="15" t="n">
        <v>230.873572801875</v>
      </c>
      <c r="E1625" s="15" t="n">
        <v>2534.17698146058</v>
      </c>
      <c r="F1625" s="15" t="n">
        <v>395.520764827728</v>
      </c>
      <c r="G1625" s="15" t="n">
        <v>96.1717139482498</v>
      </c>
      <c r="H1625" s="15" t="n">
        <v>78.3569870215543</v>
      </c>
      <c r="I1625" s="16" t="n">
        <v>33.9393487399256</v>
      </c>
      <c r="J1625" s="15" t="n">
        <v>25.1464808860307</v>
      </c>
      <c r="K1625" s="15" t="n">
        <v>1102.23509662722</v>
      </c>
      <c r="L1625" s="15" t="n">
        <v>246.36089369656</v>
      </c>
      <c r="M1625" s="15" t="n">
        <v>-15.4873208946852</v>
      </c>
      <c r="N1625" s="17" t="n">
        <v>0.302910989730297</v>
      </c>
      <c r="O1625" s="18" t="n">
        <v>0.0274815228309449</v>
      </c>
    </row>
    <row r="1626" ht="15" customHeight="1" s="12">
      <c r="A1626" s="14" t="inlineStr">
        <is>
          <t>Tangir</t>
        </is>
      </c>
      <c r="B1626" s="14" t="inlineStr">
        <is>
          <t>Gilgit Baltistan</t>
        </is>
      </c>
      <c r="C1626" s="14" t="n">
        <v>2022</v>
      </c>
      <c r="D1626" s="15" t="n">
        <v>292.63397504606</v>
      </c>
      <c r="E1626" s="15" t="n">
        <v>3212.08822021146</v>
      </c>
      <c r="F1626" s="15" t="n">
        <v>515.926145792007</v>
      </c>
      <c r="G1626" s="15" t="n">
        <v>101.621166199446</v>
      </c>
      <c r="H1626" s="15" t="n">
        <v>107.300098177537</v>
      </c>
      <c r="I1626" s="16" t="n">
        <v>36.6669995036116</v>
      </c>
      <c r="J1626" s="15" t="n">
        <v>21.258663808503</v>
      </c>
      <c r="K1626" s="15" t="n">
        <v>1102.23509662722</v>
      </c>
      <c r="L1626" s="15" t="n">
        <v>246.36089369656</v>
      </c>
      <c r="M1626" s="15" t="n">
        <v>46.2730813494995</v>
      </c>
      <c r="N1626" s="17" t="n">
        <v>0.129538649398265</v>
      </c>
      <c r="O1626" s="18" t="n">
        <v>0.0117523611609399</v>
      </c>
    </row>
    <row r="1627" ht="15" customHeight="1" s="12">
      <c r="A1627" s="14" t="inlineStr">
        <is>
          <t>Tangir</t>
        </is>
      </c>
      <c r="B1627" s="14" t="inlineStr">
        <is>
          <t>Gilgit Baltistan</t>
        </is>
      </c>
      <c r="C1627" s="14" t="n">
        <v>2023</v>
      </c>
      <c r="D1627" s="15" t="n">
        <v>208.157326845579</v>
      </c>
      <c r="E1627" s="15" t="n">
        <v>2284.83277584618</v>
      </c>
      <c r="F1627" s="15" t="n">
        <v>353.388420701027</v>
      </c>
      <c r="G1627" s="15" t="n">
        <v>81.6676979660988</v>
      </c>
      <c r="H1627" s="15" t="n">
        <v>70.75414483895899</v>
      </c>
      <c r="I1627" s="16" t="n">
        <v>33.9907059295816</v>
      </c>
      <c r="J1627" s="15" t="n">
        <v>24.5244730260808</v>
      </c>
      <c r="K1627" s="15" t="n">
        <v>1102.23509662722</v>
      </c>
      <c r="L1627" s="15" t="n">
        <v>246.36089369656</v>
      </c>
      <c r="M1627" s="15" t="n">
        <v>-38.2035668509809</v>
      </c>
      <c r="N1627" s="17" t="n">
        <v>0.197281675460277</v>
      </c>
      <c r="O1627" s="18" t="n">
        <v>0.0178983300444659</v>
      </c>
    </row>
    <row r="1628" ht="15" customHeight="1" s="12">
      <c r="A1628" s="14" t="inlineStr">
        <is>
          <t>Tangir</t>
        </is>
      </c>
      <c r="B1628" s="14" t="inlineStr">
        <is>
          <t>Gilgit Baltistan</t>
        </is>
      </c>
      <c r="C1628" s="14" t="n">
        <v>2024</v>
      </c>
      <c r="D1628" s="15" t="n">
        <v>276.079447019789</v>
      </c>
      <c r="E1628" s="15" t="n">
        <v>3030.37793022898</v>
      </c>
      <c r="F1628" s="15" t="n">
        <v>461.25465985713</v>
      </c>
      <c r="G1628" s="15" t="n">
        <v>108.419689036906</v>
      </c>
      <c r="H1628" s="15" t="n">
        <v>87.9116222363854</v>
      </c>
      <c r="I1628" s="16" t="n">
        <v>31.8428710233124</v>
      </c>
      <c r="J1628" s="15" t="n">
        <v>28.2908181493391</v>
      </c>
      <c r="K1628" s="15" t="n">
        <v>1102.23509662722</v>
      </c>
      <c r="L1628" s="15" t="n">
        <v>246.36089369656</v>
      </c>
      <c r="M1628" s="15" t="n">
        <v>29.7185533232285</v>
      </c>
      <c r="N1628" s="17" t="n">
        <v>0.211812152388988</v>
      </c>
      <c r="O1628" s="18" t="n">
        <v>0.0192166038839737</v>
      </c>
    </row>
    <row r="1629" ht="15" customHeight="1" s="12">
      <c r="A1629" s="14" t="inlineStr">
        <is>
          <t>Tangir</t>
        </is>
      </c>
      <c r="B1629" s="14" t="inlineStr">
        <is>
          <t>Gilgit Baltistan</t>
        </is>
      </c>
      <c r="C1629" s="14" t="n">
        <v>2025</v>
      </c>
      <c r="D1629" s="15" t="n">
        <v>182.976735697732</v>
      </c>
      <c r="E1629" s="15" t="n">
        <v>2008.43875771746</v>
      </c>
      <c r="F1629" s="15" t="n">
        <v>318.85564237833</v>
      </c>
      <c r="G1629" s="15" t="n">
        <v>71.9200092554092</v>
      </c>
      <c r="H1629" s="15" t="n">
        <v>65.79907706555871</v>
      </c>
      <c r="I1629" s="16" t="n">
        <v>35.960351360872</v>
      </c>
      <c r="J1629" s="15" t="n">
        <v>26.951768488746</v>
      </c>
      <c r="K1629" s="15" t="n">
        <v>1102.23509662722</v>
      </c>
      <c r="L1629" s="15" t="n">
        <v>246.36089369656</v>
      </c>
      <c r="M1629" s="15" t="n">
        <v>-63.3841579988277</v>
      </c>
      <c r="N1629" s="17" t="n">
        <v>0.131175053466797</v>
      </c>
      <c r="O1629" s="18" t="n">
        <v>0.0119008235056374</v>
      </c>
    </row>
    <row r="1630" ht="15" customHeight="1" s="12">
      <c r="A1630" s="14" t="inlineStr">
        <is>
          <t>Tank</t>
        </is>
      </c>
      <c r="B1630" s="14" t="inlineStr">
        <is>
          <t>Khyber Pakhtunkhwa</t>
        </is>
      </c>
      <c r="C1630" s="14" t="n">
        <v>2015</v>
      </c>
      <c r="D1630" s="15" t="n">
        <v>243.542424600194</v>
      </c>
      <c r="E1630" s="15" t="n">
        <v>6573.73532754171</v>
      </c>
      <c r="F1630" s="15" t="n">
        <v>331.925601124764</v>
      </c>
      <c r="G1630" s="15" t="n">
        <v>158.583573102951</v>
      </c>
      <c r="H1630" s="15" t="n">
        <v>42.9508369308614</v>
      </c>
      <c r="I1630" s="16" t="n">
        <v>17.6358747357347</v>
      </c>
      <c r="J1630" s="15" t="n">
        <v>21.2926049687636</v>
      </c>
      <c r="K1630" s="15" t="n">
        <v>2820.59725464252</v>
      </c>
      <c r="L1630" s="15" t="n">
        <v>213.234042746003</v>
      </c>
      <c r="M1630" s="15" t="n">
        <v>30.3083818541913</v>
      </c>
      <c r="N1630" s="17" t="n">
        <v>10.9725474150776</v>
      </c>
      <c r="O1630" s="18" t="n">
        <v>0.38901503562827</v>
      </c>
    </row>
    <row r="1631" ht="15" customHeight="1" s="12">
      <c r="A1631" s="14" t="inlineStr">
        <is>
          <t>Tank</t>
        </is>
      </c>
      <c r="B1631" s="14" t="inlineStr">
        <is>
          <t>Khyber Pakhtunkhwa</t>
        </is>
      </c>
      <c r="C1631" s="14" t="n">
        <v>2016</v>
      </c>
      <c r="D1631" s="15" t="n">
        <v>237.702097777226</v>
      </c>
      <c r="E1631" s="15" t="n">
        <v>6416.09230980645</v>
      </c>
      <c r="F1631" s="15" t="n">
        <v>318.456728696823</v>
      </c>
      <c r="G1631" s="15" t="n">
        <v>160.99540913105</v>
      </c>
      <c r="H1631" s="15" t="n">
        <v>40.3148067815911</v>
      </c>
      <c r="I1631" s="16" t="n">
        <v>16.9602233882572</v>
      </c>
      <c r="J1631" s="15" t="n">
        <v>18.1650443120732</v>
      </c>
      <c r="K1631" s="15" t="n">
        <v>2820.59725464252</v>
      </c>
      <c r="L1631" s="15" t="n">
        <v>213.234042746003</v>
      </c>
      <c r="M1631" s="15" t="n">
        <v>24.4680550312229</v>
      </c>
      <c r="N1631" s="17" t="n">
        <v>8.18606820204098</v>
      </c>
      <c r="O1631" s="18" t="n">
        <v>0.290224639074836</v>
      </c>
    </row>
    <row r="1632" ht="15" customHeight="1" s="12">
      <c r="A1632" s="14" t="inlineStr">
        <is>
          <t>Tank</t>
        </is>
      </c>
      <c r="B1632" s="14" t="inlineStr">
        <is>
          <t>Khyber Pakhtunkhwa</t>
        </is>
      </c>
      <c r="C1632" s="14" t="n">
        <v>2017</v>
      </c>
      <c r="D1632" s="15" t="n">
        <v>186.830260372999</v>
      </c>
      <c r="E1632" s="15" t="n">
        <v>5042.95169469551</v>
      </c>
      <c r="F1632" s="15" t="n">
        <v>246.408957481384</v>
      </c>
      <c r="G1632" s="15" t="n">
        <v>133.614413917065</v>
      </c>
      <c r="H1632" s="15" t="n">
        <v>25.9818084307254</v>
      </c>
      <c r="I1632" s="16" t="n">
        <v>13.9066382388237</v>
      </c>
      <c r="J1632" s="15" t="n">
        <v>18.5886967891908</v>
      </c>
      <c r="K1632" s="15" t="n">
        <v>2820.59725464252</v>
      </c>
      <c r="L1632" s="15" t="n">
        <v>213.234042746003</v>
      </c>
      <c r="M1632" s="15" t="n">
        <v>-26.4037823730037</v>
      </c>
      <c r="N1632" s="17" t="n">
        <v>4.16303104001584</v>
      </c>
      <c r="O1632" s="18" t="n">
        <v>0.147593954903124</v>
      </c>
    </row>
    <row r="1633" ht="15" customHeight="1" s="12">
      <c r="A1633" s="14" t="inlineStr">
        <is>
          <t>Tank</t>
        </is>
      </c>
      <c r="B1633" s="14" t="inlineStr">
        <is>
          <t>Khyber Pakhtunkhwa</t>
        </is>
      </c>
      <c r="C1633" s="14" t="n">
        <v>2018</v>
      </c>
      <c r="D1633" s="15" t="n">
        <v>142.408965961537</v>
      </c>
      <c r="E1633" s="15" t="n">
        <v>3843.92514789514</v>
      </c>
      <c r="F1633" s="15" t="n">
        <v>198.161520719528</v>
      </c>
      <c r="G1633" s="15" t="n">
        <v>101.290633171797</v>
      </c>
      <c r="H1633" s="15" t="n">
        <v>26.2126381055141</v>
      </c>
      <c r="I1633" s="16" t="n">
        <v>18.4065925403839</v>
      </c>
      <c r="J1633" s="15" t="n">
        <v>17.0617463315415</v>
      </c>
      <c r="K1633" s="15" t="n">
        <v>2820.59725464252</v>
      </c>
      <c r="L1633" s="15" t="n">
        <v>213.234042746003</v>
      </c>
      <c r="M1633" s="15" t="n">
        <v>-70.82507678446591</v>
      </c>
      <c r="N1633" s="17" t="n">
        <v>4.43901632355718</v>
      </c>
      <c r="O1633" s="18" t="n">
        <v>0.157378594772821</v>
      </c>
    </row>
    <row r="1634" ht="15" customHeight="1" s="12">
      <c r="A1634" s="14" t="inlineStr">
        <is>
          <t>Tank</t>
        </is>
      </c>
      <c r="B1634" s="14" t="inlineStr">
        <is>
          <t>Khyber Pakhtunkhwa</t>
        </is>
      </c>
      <c r="C1634" s="14" t="n">
        <v>2019</v>
      </c>
      <c r="D1634" s="15" t="n">
        <v>245.609924071565</v>
      </c>
      <c r="E1634" s="15" t="n">
        <v>6629.54159758658</v>
      </c>
      <c r="F1634" s="15" t="n">
        <v>323.482878334528</v>
      </c>
      <c r="G1634" s="15" t="n">
        <v>174.888270763157</v>
      </c>
      <c r="H1634" s="15" t="n">
        <v>34.8612411699362</v>
      </c>
      <c r="I1634" s="16" t="n">
        <v>14.1937429042071</v>
      </c>
      <c r="J1634" s="15" t="n">
        <v>21.2119715240448</v>
      </c>
      <c r="K1634" s="15" t="n">
        <v>2820.59725464252</v>
      </c>
      <c r="L1634" s="15" t="n">
        <v>213.234042746003</v>
      </c>
      <c r="M1634" s="15" t="n">
        <v>32.3758813255616</v>
      </c>
      <c r="N1634" s="17" t="n">
        <v>10.1956159320856</v>
      </c>
      <c r="O1634" s="18" t="n">
        <v>0.36147010762718</v>
      </c>
    </row>
    <row r="1635" ht="15" customHeight="1" s="12">
      <c r="A1635" s="14" t="inlineStr">
        <is>
          <t>Tank</t>
        </is>
      </c>
      <c r="B1635" s="14" t="inlineStr">
        <is>
          <t>Khyber Pakhtunkhwa</t>
        </is>
      </c>
      <c r="C1635" s="14" t="n">
        <v>2020</v>
      </c>
      <c r="D1635" s="15" t="n">
        <v>149.698162004566</v>
      </c>
      <c r="E1635" s="15" t="n">
        <v>4040.67627089187</v>
      </c>
      <c r="F1635" s="15" t="n">
        <v>226.18010651922</v>
      </c>
      <c r="G1635" s="15" t="n">
        <v>97.7591032741239</v>
      </c>
      <c r="H1635" s="15" t="n">
        <v>34.5508381926115</v>
      </c>
      <c r="I1635" s="16" t="n">
        <v>23.0803356099707</v>
      </c>
      <c r="J1635" s="15" t="n">
        <v>20.0913845706814</v>
      </c>
      <c r="K1635" s="15" t="n">
        <v>2820.59725464252</v>
      </c>
      <c r="L1635" s="15" t="n">
        <v>213.234042746003</v>
      </c>
      <c r="M1635" s="15" t="n">
        <v>-63.5358807414369</v>
      </c>
      <c r="N1635" s="17" t="n">
        <v>8.26807549446449</v>
      </c>
      <c r="O1635" s="18" t="n">
        <v>0.293132083315184</v>
      </c>
    </row>
    <row r="1636" ht="15" customHeight="1" s="12">
      <c r="A1636" s="14" t="inlineStr">
        <is>
          <t>Tank</t>
        </is>
      </c>
      <c r="B1636" s="14" t="inlineStr">
        <is>
          <t>Khyber Pakhtunkhwa</t>
        </is>
      </c>
      <c r="C1636" s="14" t="n">
        <v>2021</v>
      </c>
      <c r="D1636" s="15" t="n">
        <v>153.6498880461</v>
      </c>
      <c r="E1636" s="15" t="n">
        <v>4147.34188008355</v>
      </c>
      <c r="F1636" s="15" t="n">
        <v>204.443770647049</v>
      </c>
      <c r="G1636" s="15" t="n">
        <v>124.638886928558</v>
      </c>
      <c r="H1636" s="15" t="n">
        <v>20.9216787625731</v>
      </c>
      <c r="I1636" s="16" t="n">
        <v>13.616462093546</v>
      </c>
      <c r="J1636" s="15" t="n">
        <v>15.8160685747494</v>
      </c>
      <c r="K1636" s="15" t="n">
        <v>2820.59725464252</v>
      </c>
      <c r="L1636" s="15" t="n">
        <v>213.234042746003</v>
      </c>
      <c r="M1636" s="15" t="n">
        <v>-59.584154699903</v>
      </c>
      <c r="N1636" s="17" t="n">
        <v>8.669008685037991</v>
      </c>
      <c r="O1636" s="18" t="n">
        <v>0.307346561823719</v>
      </c>
    </row>
    <row r="1637" ht="15" customHeight="1" s="12">
      <c r="A1637" s="14" t="inlineStr">
        <is>
          <t>Tank</t>
        </is>
      </c>
      <c r="B1637" s="14" t="inlineStr">
        <is>
          <t>Khyber Pakhtunkhwa</t>
        </is>
      </c>
      <c r="C1637" s="14" t="n">
        <v>2022</v>
      </c>
      <c r="D1637" s="15" t="n">
        <v>355.475305774411</v>
      </c>
      <c r="E1637" s="15" t="n">
        <v>9595.04521429518</v>
      </c>
      <c r="F1637" s="15" t="n">
        <v>420.429987112235</v>
      </c>
      <c r="G1637" s="15" t="n">
        <v>266.088967371965</v>
      </c>
      <c r="H1637" s="15" t="n">
        <v>37.3249572828292</v>
      </c>
      <c r="I1637" s="16" t="n">
        <v>10.500014115331</v>
      </c>
      <c r="J1637" s="15" t="n">
        <v>26.5635624001162</v>
      </c>
      <c r="K1637" s="15" t="n">
        <v>2820.59725464252</v>
      </c>
      <c r="L1637" s="15" t="n">
        <v>213.234042746003</v>
      </c>
      <c r="M1637" s="15" t="n">
        <v>142.241263028408</v>
      </c>
      <c r="N1637" s="17" t="n">
        <v>15.0676985250589</v>
      </c>
      <c r="O1637" s="18" t="n">
        <v>0.534202410509279</v>
      </c>
    </row>
    <row r="1638" ht="15" customHeight="1" s="12">
      <c r="A1638" s="14" t="inlineStr">
        <is>
          <t>Tank</t>
        </is>
      </c>
      <c r="B1638" s="14" t="inlineStr">
        <is>
          <t>Khyber Pakhtunkhwa</t>
        </is>
      </c>
      <c r="C1638" s="14" t="n">
        <v>2023</v>
      </c>
      <c r="D1638" s="15" t="n">
        <v>150.99557108637</v>
      </c>
      <c r="E1638" s="15" t="n">
        <v>4075.69614034307</v>
      </c>
      <c r="F1638" s="15" t="n">
        <v>198.51593118906</v>
      </c>
      <c r="G1638" s="15" t="n">
        <v>120.851593732834</v>
      </c>
      <c r="H1638" s="15" t="n">
        <v>17.5720740641108</v>
      </c>
      <c r="I1638" s="16" t="n">
        <v>11.6374764754256</v>
      </c>
      <c r="J1638" s="15" t="n">
        <v>12.0801975882609</v>
      </c>
      <c r="K1638" s="15" t="n">
        <v>2820.59725464252</v>
      </c>
      <c r="L1638" s="15" t="n">
        <v>213.234042746003</v>
      </c>
      <c r="M1638" s="15" t="n">
        <v>-62.2384716596332</v>
      </c>
      <c r="N1638" s="17" t="n">
        <v>6.52918433152142</v>
      </c>
      <c r="O1638" s="18" t="n">
        <v>0.231482333068814</v>
      </c>
    </row>
    <row r="1639" ht="15" customHeight="1" s="12">
      <c r="A1639" s="14" t="inlineStr">
        <is>
          <t>Tank</t>
        </is>
      </c>
      <c r="B1639" s="14" t="inlineStr">
        <is>
          <t>Khyber Pakhtunkhwa</t>
        </is>
      </c>
      <c r="C1639" s="14" t="n">
        <v>2024</v>
      </c>
      <c r="D1639" s="15" t="n">
        <v>213.635047633628</v>
      </c>
      <c r="E1639" s="15" t="n">
        <v>5766.47071710691</v>
      </c>
      <c r="F1639" s="15" t="n">
        <v>289.422176015505</v>
      </c>
      <c r="G1639" s="15" t="n">
        <v>160.541265227368</v>
      </c>
      <c r="H1639" s="15" t="n">
        <v>32.2231590031389</v>
      </c>
      <c r="I1639" s="16" t="n">
        <v>15.0832737231392</v>
      </c>
      <c r="J1639" s="15" t="n">
        <v>22.941885805608</v>
      </c>
      <c r="K1639" s="15" t="n">
        <v>2820.59725464252</v>
      </c>
      <c r="L1639" s="15" t="n">
        <v>213.234042746003</v>
      </c>
      <c r="M1639" s="15" t="n">
        <v>0.401004887625334</v>
      </c>
      <c r="N1639" s="17" t="n">
        <v>10.0911669057301</v>
      </c>
      <c r="O1639" s="18" t="n">
        <v>0.357767025729063</v>
      </c>
    </row>
    <row r="1640" ht="15" customHeight="1" s="12">
      <c r="A1640" s="14" t="inlineStr">
        <is>
          <t>Tank</t>
        </is>
      </c>
      <c r="B1640" s="14" t="inlineStr">
        <is>
          <t>Khyber Pakhtunkhwa</t>
        </is>
      </c>
      <c r="C1640" s="14" t="n">
        <v>2025</v>
      </c>
      <c r="D1640" s="15" t="n">
        <v>266.026822877436</v>
      </c>
      <c r="E1640" s="15" t="n">
        <v>7180.63773280547</v>
      </c>
      <c r="F1640" s="15" t="n">
        <v>355.651462316513</v>
      </c>
      <c r="G1640" s="15" t="n">
        <v>170.951936374186</v>
      </c>
      <c r="H1640" s="15" t="n">
        <v>49.374005699788</v>
      </c>
      <c r="I1640" s="16" t="n">
        <v>18.5597847486738</v>
      </c>
      <c r="J1640" s="15" t="n">
        <v>25.2041261078018</v>
      </c>
      <c r="K1640" s="15" t="n">
        <v>2820.59725464252</v>
      </c>
      <c r="L1640" s="15" t="n">
        <v>213.234042746003</v>
      </c>
      <c r="M1640" s="15" t="n">
        <v>52.7927801314334</v>
      </c>
      <c r="N1640" s="17" t="n">
        <v>11.1897588911066</v>
      </c>
      <c r="O1640" s="18" t="n">
        <v>0.396715939246165</v>
      </c>
    </row>
    <row r="1641" ht="15" customHeight="1" s="12">
      <c r="A1641" s="14" t="inlineStr">
        <is>
          <t>Tharparkar</t>
        </is>
      </c>
      <c r="B1641" s="14" t="inlineStr">
        <is>
          <t>Sindh</t>
        </is>
      </c>
      <c r="C1641" s="14" t="n">
        <v>2015</v>
      </c>
      <c r="D1641" s="15" t="n">
        <v>325.175666710431</v>
      </c>
      <c r="E1641" s="15" t="n">
        <v>57116.1494586675</v>
      </c>
      <c r="F1641" s="15" t="n">
        <v>488.834960073233</v>
      </c>
      <c r="G1641" s="15" t="n">
        <v>192.122013986111</v>
      </c>
      <c r="H1641" s="15" t="n">
        <v>58.2729854812784</v>
      </c>
      <c r="I1641" s="16" t="n">
        <v>17.920463136367</v>
      </c>
      <c r="J1641" s="15" t="n">
        <v>17.8563965170797</v>
      </c>
      <c r="K1641" s="15" t="n">
        <v>19724.8287685813</v>
      </c>
      <c r="L1641" s="15" t="n">
        <v>343.048094290339</v>
      </c>
      <c r="M1641" s="15" t="n">
        <v>-17.8724275799078</v>
      </c>
      <c r="N1641" s="17" t="n">
        <v>270.7681395447</v>
      </c>
      <c r="O1641" s="18" t="n">
        <v>1.3727274529044</v>
      </c>
    </row>
    <row r="1642" ht="15" customHeight="1" s="12">
      <c r="A1642" s="14" t="inlineStr">
        <is>
          <t>Tharparkar</t>
        </is>
      </c>
      <c r="B1642" s="14" t="inlineStr">
        <is>
          <t>Sindh</t>
        </is>
      </c>
      <c r="C1642" s="14" t="n">
        <v>2016</v>
      </c>
      <c r="D1642" s="15" t="n">
        <v>232.783476778557</v>
      </c>
      <c r="E1642" s="15" t="n">
        <v>40887.7330388689</v>
      </c>
      <c r="F1642" s="15" t="n">
        <v>394.704810857773</v>
      </c>
      <c r="G1642" s="15" t="n">
        <v>135.915063858032</v>
      </c>
      <c r="H1642" s="15" t="n">
        <v>56.1062313963313</v>
      </c>
      <c r="I1642" s="16" t="n">
        <v>24.10232554852</v>
      </c>
      <c r="J1642" s="15" t="n">
        <v>24.8752846617549</v>
      </c>
      <c r="K1642" s="15" t="n">
        <v>19724.8287685813</v>
      </c>
      <c r="L1642" s="15" t="n">
        <v>343.048094290339</v>
      </c>
      <c r="M1642" s="15" t="n">
        <v>-110.264617511782</v>
      </c>
      <c r="N1642" s="17" t="n">
        <v>295.972005308365</v>
      </c>
      <c r="O1642" s="18" t="n">
        <v>1.50050481441849</v>
      </c>
    </row>
    <row r="1643" ht="15" customHeight="1" s="12">
      <c r="A1643" s="14" t="inlineStr">
        <is>
          <t>Tharparkar</t>
        </is>
      </c>
      <c r="B1643" s="14" t="inlineStr">
        <is>
          <t>Sindh</t>
        </is>
      </c>
      <c r="C1643" s="14" t="n">
        <v>2017</v>
      </c>
      <c r="D1643" s="15" t="n">
        <v>365.886556075366</v>
      </c>
      <c r="E1643" s="15" t="n">
        <v>64266.8974377083</v>
      </c>
      <c r="F1643" s="15" t="n">
        <v>691.453431591392</v>
      </c>
      <c r="G1643" s="15" t="n">
        <v>221.475736618042</v>
      </c>
      <c r="H1643" s="15" t="n">
        <v>85.64208704506299</v>
      </c>
      <c r="I1643" s="16" t="n">
        <v>23.4067323936937</v>
      </c>
      <c r="J1643" s="15" t="n">
        <v>32.1420406340701</v>
      </c>
      <c r="K1643" s="15" t="n">
        <v>19724.8287685813</v>
      </c>
      <c r="L1643" s="15" t="n">
        <v>343.048094290339</v>
      </c>
      <c r="M1643" s="15" t="n">
        <v>22.8384617850263</v>
      </c>
      <c r="N1643" s="17" t="n">
        <v>367.456808237126</v>
      </c>
      <c r="O1643" s="18" t="n">
        <v>1.8629150729178</v>
      </c>
    </row>
    <row r="1644" ht="15" customHeight="1" s="12">
      <c r="A1644" s="14" t="inlineStr">
        <is>
          <t>Tharparkar</t>
        </is>
      </c>
      <c r="B1644" s="14" t="inlineStr">
        <is>
          <t>Sindh</t>
        </is>
      </c>
      <c r="C1644" s="14" t="n">
        <v>2018</v>
      </c>
      <c r="D1644" s="15" t="n">
        <v>111.811125555504</v>
      </c>
      <c r="E1644" s="15" t="n">
        <v>19639.2953475726</v>
      </c>
      <c r="F1644" s="15" t="n">
        <v>238.212476760149</v>
      </c>
      <c r="G1644" s="15" t="n">
        <v>53.83811378479</v>
      </c>
      <c r="H1644" s="15" t="n">
        <v>37.2711511363715</v>
      </c>
      <c r="I1644" s="16" t="n">
        <v>33.3340273172278</v>
      </c>
      <c r="J1644" s="15" t="n">
        <v>16.4910471087296</v>
      </c>
      <c r="K1644" s="15" t="n">
        <v>19724.8287685813</v>
      </c>
      <c r="L1644" s="15" t="n">
        <v>343.048094290339</v>
      </c>
      <c r="M1644" s="15" t="n">
        <v>-231.236968734835</v>
      </c>
      <c r="N1644" s="17" t="n">
        <v>206.283654785064</v>
      </c>
      <c r="O1644" s="18" t="n">
        <v>1.04580707495745</v>
      </c>
    </row>
    <row r="1645" ht="15" customHeight="1" s="12">
      <c r="A1645" s="14" t="inlineStr">
        <is>
          <t>Tharparkar</t>
        </is>
      </c>
      <c r="B1645" s="14" t="inlineStr">
        <is>
          <t>Sindh</t>
        </is>
      </c>
      <c r="C1645" s="14" t="n">
        <v>2019</v>
      </c>
      <c r="D1645" s="15" t="n">
        <v>378.016193103291</v>
      </c>
      <c r="E1645" s="15" t="n">
        <v>66397.4325062603</v>
      </c>
      <c r="F1645" s="15" t="n">
        <v>614.2122294604781</v>
      </c>
      <c r="G1645" s="15" t="n">
        <v>227.875027737115</v>
      </c>
      <c r="H1645" s="15" t="n">
        <v>71.9634197146956</v>
      </c>
      <c r="I1645" s="16" t="n">
        <v>19.0371261939649</v>
      </c>
      <c r="J1645" s="15" t="n">
        <v>27.7201160973432</v>
      </c>
      <c r="K1645" s="15" t="n">
        <v>19724.8287685813</v>
      </c>
      <c r="L1645" s="15" t="n">
        <v>343.048094290339</v>
      </c>
      <c r="M1645" s="15" t="n">
        <v>34.9680988129513</v>
      </c>
      <c r="N1645" s="17" t="n">
        <v>394.393258892592</v>
      </c>
      <c r="O1645" s="18" t="n">
        <v>1.99947621102193</v>
      </c>
    </row>
    <row r="1646" ht="15" customHeight="1" s="12">
      <c r="A1646" s="14" t="inlineStr">
        <is>
          <t>Tharparkar</t>
        </is>
      </c>
      <c r="B1646" s="14" t="inlineStr">
        <is>
          <t>Sindh</t>
        </is>
      </c>
      <c r="C1646" s="14" t="n">
        <v>2020</v>
      </c>
      <c r="D1646" s="15" t="n">
        <v>466.809949371795</v>
      </c>
      <c r="E1646" s="15" t="n">
        <v>81993.7946367164</v>
      </c>
      <c r="F1646" s="15" t="n">
        <v>726.997923836112</v>
      </c>
      <c r="G1646" s="15" t="n">
        <v>292.385584119242</v>
      </c>
      <c r="H1646" s="15" t="n">
        <v>89.1201369323955</v>
      </c>
      <c r="I1646" s="16" t="n">
        <v>19.0913105113394</v>
      </c>
      <c r="J1646" s="15" t="n">
        <v>39.7600357222594</v>
      </c>
      <c r="K1646" s="15" t="n">
        <v>19724.8287685813</v>
      </c>
      <c r="L1646" s="15" t="n">
        <v>343.048094290339</v>
      </c>
      <c r="M1646" s="15" t="n">
        <v>123.761855081456</v>
      </c>
      <c r="N1646" s="17" t="n">
        <v>316.453669039885</v>
      </c>
      <c r="O1646" s="18" t="n">
        <v>1.60434178036541</v>
      </c>
    </row>
    <row r="1647" ht="15" customHeight="1" s="12">
      <c r="A1647" s="14" t="inlineStr">
        <is>
          <t>Tharparkar</t>
        </is>
      </c>
      <c r="B1647" s="14" t="inlineStr">
        <is>
          <t>Sindh</t>
        </is>
      </c>
      <c r="C1647" s="14" t="n">
        <v>2021</v>
      </c>
      <c r="D1647" s="15" t="n">
        <v>306.709694055665</v>
      </c>
      <c r="E1647" s="15" t="n">
        <v>53872.655673542</v>
      </c>
      <c r="F1647" s="15" t="n">
        <v>487.495326042175</v>
      </c>
      <c r="G1647" s="15" t="n">
        <v>188.747101888061</v>
      </c>
      <c r="H1647" s="15" t="n">
        <v>48.678674771699</v>
      </c>
      <c r="I1647" s="16" t="n">
        <v>15.8712540604812</v>
      </c>
      <c r="J1647" s="15" t="n">
        <v>28.2825407457022</v>
      </c>
      <c r="K1647" s="15" t="n">
        <v>19724.8287685813</v>
      </c>
      <c r="L1647" s="15" t="n">
        <v>343.048094290339</v>
      </c>
      <c r="M1647" s="15" t="n">
        <v>-36.3384002346745</v>
      </c>
      <c r="N1647" s="17" t="n">
        <v>211.158342800528</v>
      </c>
      <c r="O1647" s="18" t="n">
        <v>1.07052053672005</v>
      </c>
    </row>
    <row r="1648" ht="15" customHeight="1" s="12">
      <c r="A1648" s="14" t="inlineStr">
        <is>
          <t>Tharparkar</t>
        </is>
      </c>
      <c r="B1648" s="14" t="inlineStr">
        <is>
          <t>Sindh</t>
        </is>
      </c>
      <c r="C1648" s="14" t="n">
        <v>2022</v>
      </c>
      <c r="D1648" s="15" t="n">
        <v>484.384599977019</v>
      </c>
      <c r="E1648" s="15" t="n">
        <v>85080.73032537531</v>
      </c>
      <c r="F1648" s="15" t="n">
        <v>712.034545359456</v>
      </c>
      <c r="G1648" s="15" t="n">
        <v>340.222721012296</v>
      </c>
      <c r="H1648" s="15" t="n">
        <v>78.9645949167344</v>
      </c>
      <c r="I1648" s="16" t="n">
        <v>16.3020448875709</v>
      </c>
      <c r="J1648" s="15" t="n">
        <v>33.6002009377093</v>
      </c>
      <c r="K1648" s="15" t="n">
        <v>19724.8287685813</v>
      </c>
      <c r="L1648" s="15" t="n">
        <v>343.048094290339</v>
      </c>
      <c r="M1648" s="15" t="n">
        <v>141.33650568668</v>
      </c>
      <c r="N1648" s="17" t="n">
        <v>391.745918924919</v>
      </c>
      <c r="O1648" s="18" t="n">
        <v>1.98605485259732</v>
      </c>
    </row>
    <row r="1649" ht="15" customHeight="1" s="12">
      <c r="A1649" s="14" t="inlineStr">
        <is>
          <t>Tharparkar</t>
        </is>
      </c>
      <c r="B1649" s="14" t="inlineStr">
        <is>
          <t>Sindh</t>
        </is>
      </c>
      <c r="C1649" s="14" t="n">
        <v>2023</v>
      </c>
      <c r="D1649" s="15" t="n">
        <v>324.785047516915</v>
      </c>
      <c r="E1649" s="15" t="n">
        <v>57047.5383462063</v>
      </c>
      <c r="F1649" s="15" t="n">
        <v>534.4015004634859</v>
      </c>
      <c r="G1649" s="15" t="n">
        <v>207.21779730916</v>
      </c>
      <c r="H1649" s="15" t="n">
        <v>57.4055732789865</v>
      </c>
      <c r="I1649" s="16" t="n">
        <v>17.6749433872866</v>
      </c>
      <c r="J1649" s="15" t="n">
        <v>20.7480464389373</v>
      </c>
      <c r="K1649" s="15" t="n">
        <v>19724.8287685813</v>
      </c>
      <c r="L1649" s="15" t="n">
        <v>343.048094290339</v>
      </c>
      <c r="M1649" s="15" t="n">
        <v>-18.2630467734246</v>
      </c>
      <c r="N1649" s="17" t="n">
        <v>185.902791943541</v>
      </c>
      <c r="O1649" s="18" t="n">
        <v>0.942481144574786</v>
      </c>
    </row>
    <row r="1650" ht="15" customHeight="1" s="12">
      <c r="A1650" s="14" t="inlineStr">
        <is>
          <t>Tharparkar</t>
        </is>
      </c>
      <c r="B1650" s="14" t="inlineStr">
        <is>
          <t>Sindh</t>
        </is>
      </c>
      <c r="C1650" s="14" t="n">
        <v>2024</v>
      </c>
      <c r="D1650" s="15" t="n">
        <v>394.920012845377</v>
      </c>
      <c r="E1650" s="15" t="n">
        <v>69366.538726841</v>
      </c>
      <c r="F1650" s="15" t="n">
        <v>616.995130438183</v>
      </c>
      <c r="G1650" s="15" t="n">
        <v>247.016863852928</v>
      </c>
      <c r="H1650" s="15" t="n">
        <v>70.0710789121147</v>
      </c>
      <c r="I1650" s="16" t="n">
        <v>17.7431066122115</v>
      </c>
      <c r="J1650" s="15" t="n">
        <v>31.4718017414602</v>
      </c>
      <c r="K1650" s="15" t="n">
        <v>19724.8287685813</v>
      </c>
      <c r="L1650" s="15" t="n">
        <v>343.048094290339</v>
      </c>
      <c r="M1650" s="15" t="n">
        <v>51.8719185550382</v>
      </c>
      <c r="N1650" s="17" t="n">
        <v>282.334327972636</v>
      </c>
      <c r="O1650" s="18" t="n">
        <v>1.43136516562493</v>
      </c>
    </row>
    <row r="1651" ht="15" customHeight="1" s="12">
      <c r="A1651" s="14" t="inlineStr">
        <is>
          <t>Tharparkar</t>
        </is>
      </c>
      <c r="B1651" s="14" t="inlineStr">
        <is>
          <t>Sindh</t>
        </is>
      </c>
      <c r="C1651" s="14" t="n">
        <v>2025</v>
      </c>
      <c r="D1651" s="15" t="n">
        <v>382.246715203813</v>
      </c>
      <c r="E1651" s="15" t="n">
        <v>67140.511270505</v>
      </c>
      <c r="F1651" s="15" t="n">
        <v>667.987413421462</v>
      </c>
      <c r="G1651" s="15" t="n">
        <v>213.664979227446</v>
      </c>
      <c r="H1651" s="15" t="n">
        <v>72.3150303455562</v>
      </c>
      <c r="I1651" s="16" t="n">
        <v>18.9184177310714</v>
      </c>
      <c r="J1651" s="15" t="n">
        <v>31.8151373074347</v>
      </c>
      <c r="K1651" s="15" t="n">
        <v>19724.8287685813</v>
      </c>
      <c r="L1651" s="15" t="n">
        <v>343.048094290339</v>
      </c>
      <c r="M1651" s="15" t="n">
        <v>39.1986209134735</v>
      </c>
      <c r="N1651" s="17" t="n">
        <v>350.365938805223</v>
      </c>
      <c r="O1651" s="18" t="n">
        <v>1.77626859485495</v>
      </c>
    </row>
    <row r="1652" ht="15" customHeight="1" s="12">
      <c r="A1652" s="14" t="inlineStr">
        <is>
          <t>Thatta</t>
        </is>
      </c>
      <c r="B1652" s="14" t="inlineStr">
        <is>
          <t>Sindh</t>
        </is>
      </c>
      <c r="C1652" s="14" t="n">
        <v>2015</v>
      </c>
      <c r="D1652" s="15" t="n">
        <v>167.134005871732</v>
      </c>
      <c r="E1652" s="15" t="n">
        <v>11270.7308430208</v>
      </c>
      <c r="F1652" s="15" t="n">
        <v>381.97495007515</v>
      </c>
      <c r="G1652" s="15" t="n">
        <v>110.706334352493</v>
      </c>
      <c r="H1652" s="15" t="n">
        <v>59.8336290538744</v>
      </c>
      <c r="I1652" s="16" t="n">
        <v>35.7997935499699</v>
      </c>
      <c r="J1652" s="15" t="n">
        <v>9.724819725517561</v>
      </c>
      <c r="K1652" s="15" t="n">
        <v>7646.75900159736</v>
      </c>
      <c r="L1652" s="15" t="n">
        <v>231.947202843432</v>
      </c>
      <c r="M1652" s="15" t="n">
        <v>-64.81319697170071</v>
      </c>
      <c r="N1652" s="17" t="n">
        <v>146.865298610718</v>
      </c>
      <c r="O1652" s="18" t="n">
        <v>1.92062151533792</v>
      </c>
    </row>
    <row r="1653" ht="15" customHeight="1" s="12">
      <c r="A1653" s="14" t="inlineStr">
        <is>
          <t>Thatta</t>
        </is>
      </c>
      <c r="B1653" s="14" t="inlineStr">
        <is>
          <t>Sindh</t>
        </is>
      </c>
      <c r="C1653" s="14" t="n">
        <v>2016</v>
      </c>
      <c r="D1653" s="15" t="n">
        <v>138.092374556781</v>
      </c>
      <c r="E1653" s="15" t="n">
        <v>9312.29989364082</v>
      </c>
      <c r="F1653" s="15" t="n">
        <v>297.31598675251</v>
      </c>
      <c r="G1653" s="15" t="n">
        <v>66.16209679842</v>
      </c>
      <c r="H1653" s="15" t="n">
        <v>38.8240835496109</v>
      </c>
      <c r="I1653" s="16" t="n">
        <v>28.1145745188465</v>
      </c>
      <c r="J1653" s="15" t="n">
        <v>16.135729239358</v>
      </c>
      <c r="K1653" s="15" t="n">
        <v>7646.75900159736</v>
      </c>
      <c r="L1653" s="15" t="n">
        <v>231.947202843432</v>
      </c>
      <c r="M1653" s="15" t="n">
        <v>-93.854828286651</v>
      </c>
      <c r="N1653" s="17" t="n">
        <v>202.471822018855</v>
      </c>
      <c r="O1653" s="18" t="n">
        <v>2.64781225584015</v>
      </c>
    </row>
    <row r="1654" ht="15" customHeight="1" s="12">
      <c r="A1654" s="14" t="inlineStr">
        <is>
          <t>Thatta</t>
        </is>
      </c>
      <c r="B1654" s="14" t="inlineStr">
        <is>
          <t>Sindh</t>
        </is>
      </c>
      <c r="C1654" s="14" t="n">
        <v>2017</v>
      </c>
      <c r="D1654" s="15" t="n">
        <v>229.026112933632</v>
      </c>
      <c r="E1654" s="15" t="n">
        <v>15444.4432863009</v>
      </c>
      <c r="F1654" s="15" t="n">
        <v>429.457867860794</v>
      </c>
      <c r="G1654" s="15" t="n">
        <v>129.204436957836</v>
      </c>
      <c r="H1654" s="15" t="n">
        <v>53.7735202644787</v>
      </c>
      <c r="I1654" s="16" t="n">
        <v>23.4792092376215</v>
      </c>
      <c r="J1654" s="15" t="n">
        <v>25.0558269364969</v>
      </c>
      <c r="K1654" s="15" t="n">
        <v>7646.75900159736</v>
      </c>
      <c r="L1654" s="15" t="n">
        <v>231.947202843432</v>
      </c>
      <c r="M1654" s="15" t="n">
        <v>-2.92108990980054</v>
      </c>
      <c r="N1654" s="17" t="n">
        <v>162.579632582354</v>
      </c>
      <c r="O1654" s="18" t="n">
        <v>2.12612470915315</v>
      </c>
    </row>
    <row r="1655" ht="15" customHeight="1" s="12">
      <c r="A1655" s="14" t="inlineStr">
        <is>
          <t>Thatta</t>
        </is>
      </c>
      <c r="B1655" s="14" t="inlineStr">
        <is>
          <t>Sindh</t>
        </is>
      </c>
      <c r="C1655" s="14" t="n">
        <v>2018</v>
      </c>
      <c r="D1655" s="15" t="n">
        <v>39.7491316198377</v>
      </c>
      <c r="E1655" s="15" t="n">
        <v>2680.49438170482</v>
      </c>
      <c r="F1655" s="15" t="n">
        <v>75.4939373135567</v>
      </c>
      <c r="G1655" s="15" t="n">
        <v>22.5308977924287</v>
      </c>
      <c r="H1655" s="15" t="n">
        <v>10.1086078816612</v>
      </c>
      <c r="I1655" s="16" t="n">
        <v>25.4310156466821</v>
      </c>
      <c r="J1655" s="15" t="n">
        <v>8.030530355896721</v>
      </c>
      <c r="K1655" s="15" t="n">
        <v>7646.75900159736</v>
      </c>
      <c r="L1655" s="15" t="n">
        <v>231.947202843432</v>
      </c>
      <c r="M1655" s="15" t="n">
        <v>-192.198071223595</v>
      </c>
      <c r="N1655" s="17" t="n">
        <v>84.2498018453188</v>
      </c>
      <c r="O1655" s="18" t="n">
        <v>1.10177137566019</v>
      </c>
    </row>
    <row r="1656" ht="15" customHeight="1" s="12">
      <c r="A1656" s="14" t="inlineStr">
        <is>
          <t>Thatta</t>
        </is>
      </c>
      <c r="B1656" s="14" t="inlineStr">
        <is>
          <t>Sindh</t>
        </is>
      </c>
      <c r="C1656" s="14" t="n">
        <v>2019</v>
      </c>
      <c r="D1656" s="15" t="n">
        <v>314.735407727461</v>
      </c>
      <c r="E1656" s="15" t="n">
        <v>21224.2747893389</v>
      </c>
      <c r="F1656" s="15" t="n">
        <v>707.409287337679</v>
      </c>
      <c r="G1656" s="15" t="n">
        <v>139.660166405141</v>
      </c>
      <c r="H1656" s="15" t="n">
        <v>96.9897987938801</v>
      </c>
      <c r="I1656" s="16" t="n">
        <v>30.8162972492331</v>
      </c>
      <c r="J1656" s="15" t="n">
        <v>22.8515933938125</v>
      </c>
      <c r="K1656" s="15" t="n">
        <v>7646.75900159736</v>
      </c>
      <c r="L1656" s="15" t="n">
        <v>231.947202843432</v>
      </c>
      <c r="M1656" s="15" t="n">
        <v>82.788204884029</v>
      </c>
      <c r="N1656" s="17" t="n">
        <v>255.376821396543</v>
      </c>
      <c r="O1656" s="18" t="n">
        <v>3.33967398924429</v>
      </c>
    </row>
    <row r="1657" ht="15" customHeight="1" s="12">
      <c r="A1657" s="14" t="inlineStr">
        <is>
          <t>Thatta</t>
        </is>
      </c>
      <c r="B1657" s="14" t="inlineStr">
        <is>
          <t>Sindh</t>
        </is>
      </c>
      <c r="C1657" s="14" t="n">
        <v>2020</v>
      </c>
      <c r="D1657" s="15" t="n">
        <v>361.977174524097</v>
      </c>
      <c r="E1657" s="15" t="n">
        <v>24410.0372279073</v>
      </c>
      <c r="F1657" s="15" t="n">
        <v>781.974996519202</v>
      </c>
      <c r="G1657" s="15" t="n">
        <v>197.968150378089</v>
      </c>
      <c r="H1657" s="15" t="n">
        <v>107.123083774479</v>
      </c>
      <c r="I1657" s="16" t="n">
        <v>29.5938780988931</v>
      </c>
      <c r="J1657" s="15" t="n">
        <v>34.1672481972552</v>
      </c>
      <c r="K1657" s="15" t="n">
        <v>7646.75900159736</v>
      </c>
      <c r="L1657" s="15" t="n">
        <v>231.947202843432</v>
      </c>
      <c r="M1657" s="15" t="n">
        <v>130.029971680665</v>
      </c>
      <c r="N1657" s="17" t="n">
        <v>209.318858803618</v>
      </c>
      <c r="O1657" s="18" t="n">
        <v>2.73735393988345</v>
      </c>
    </row>
    <row r="1658" ht="15" customHeight="1" s="12">
      <c r="A1658" s="14" t="inlineStr">
        <is>
          <t>Thatta</t>
        </is>
      </c>
      <c r="B1658" s="14" t="inlineStr">
        <is>
          <t>Sindh</t>
        </is>
      </c>
      <c r="C1658" s="14" t="n">
        <v>2021</v>
      </c>
      <c r="D1658" s="15" t="n">
        <v>176.741973181515</v>
      </c>
      <c r="E1658" s="15" t="n">
        <v>11918.6469444287</v>
      </c>
      <c r="F1658" s="15" t="n">
        <v>444.035809755325</v>
      </c>
      <c r="G1658" s="15" t="n">
        <v>95.5133413076401</v>
      </c>
      <c r="H1658" s="15" t="n">
        <v>68.978333411408</v>
      </c>
      <c r="I1658" s="16" t="n">
        <v>39.0277035894394</v>
      </c>
      <c r="J1658" s="15" t="n">
        <v>25.2121423586881</v>
      </c>
      <c r="K1658" s="15" t="n">
        <v>7646.75900159736</v>
      </c>
      <c r="L1658" s="15" t="n">
        <v>231.947202843432</v>
      </c>
      <c r="M1658" s="15" t="n">
        <v>-55.2052296619177</v>
      </c>
      <c r="N1658" s="17" t="n">
        <v>136.858980195404</v>
      </c>
      <c r="O1658" s="18" t="n">
        <v>1.78976452856452</v>
      </c>
    </row>
    <row r="1659" ht="15" customHeight="1" s="12">
      <c r="A1659" s="14" t="inlineStr">
        <is>
          <t>Thatta</t>
        </is>
      </c>
      <c r="B1659" s="14" t="inlineStr">
        <is>
          <t>Sindh</t>
        </is>
      </c>
      <c r="C1659" s="14" t="n">
        <v>2022</v>
      </c>
      <c r="D1659" s="15" t="n">
        <v>506.496979446499</v>
      </c>
      <c r="E1659" s="15" t="n">
        <v>34155.7727786745</v>
      </c>
      <c r="F1659" s="15" t="n">
        <v>937.004229443148</v>
      </c>
      <c r="G1659" s="15" t="n">
        <v>293.752804352931</v>
      </c>
      <c r="H1659" s="15" t="n">
        <v>118.053874502135</v>
      </c>
      <c r="I1659" s="16" t="n">
        <v>23.307912839114</v>
      </c>
      <c r="J1659" s="15" t="n">
        <v>35.9809839497558</v>
      </c>
      <c r="K1659" s="15" t="n">
        <v>7646.75900159736</v>
      </c>
      <c r="L1659" s="15" t="n">
        <v>231.947202843432</v>
      </c>
      <c r="M1659" s="15" t="n">
        <v>274.549776603067</v>
      </c>
      <c r="N1659" s="17" t="n">
        <v>284.362283452368</v>
      </c>
      <c r="O1659" s="18" t="n">
        <v>3.71872950871037</v>
      </c>
    </row>
    <row r="1660" ht="15" customHeight="1" s="12">
      <c r="A1660" s="14" t="inlineStr">
        <is>
          <t>Thatta</t>
        </is>
      </c>
      <c r="B1660" s="14" t="inlineStr">
        <is>
          <t>Sindh</t>
        </is>
      </c>
      <c r="C1660" s="14" t="n">
        <v>2023</v>
      </c>
      <c r="D1660" s="15" t="n">
        <v>154.725628382757</v>
      </c>
      <c r="E1660" s="15" t="n">
        <v>10433.968257529</v>
      </c>
      <c r="F1660" s="15" t="n">
        <v>293.414801478386</v>
      </c>
      <c r="G1660" s="15" t="n">
        <v>96.59261786937709</v>
      </c>
      <c r="H1660" s="15" t="n">
        <v>39.0279982108376</v>
      </c>
      <c r="I1660" s="16" t="n">
        <v>25.2240036888337</v>
      </c>
      <c r="J1660" s="15" t="n">
        <v>17.2226099092812</v>
      </c>
      <c r="K1660" s="15" t="n">
        <v>7646.75900159736</v>
      </c>
      <c r="L1660" s="15" t="n">
        <v>231.947202843432</v>
      </c>
      <c r="M1660" s="15" t="n">
        <v>-77.2215744606756</v>
      </c>
      <c r="N1660" s="17" t="n">
        <v>94.61259891171299</v>
      </c>
      <c r="O1660" s="18" t="n">
        <v>1.23729018911083</v>
      </c>
    </row>
    <row r="1661" ht="15" customHeight="1" s="12">
      <c r="A1661" s="14" t="inlineStr">
        <is>
          <t>Thatta</t>
        </is>
      </c>
      <c r="B1661" s="14" t="inlineStr">
        <is>
          <t>Sindh</t>
        </is>
      </c>
      <c r="C1661" s="14" t="n">
        <v>2024</v>
      </c>
      <c r="D1661" s="15" t="n">
        <v>241.975290862137</v>
      </c>
      <c r="E1661" s="15" t="n">
        <v>16317.6749084914</v>
      </c>
      <c r="F1661" s="15" t="n">
        <v>567.0597805827859</v>
      </c>
      <c r="G1661" s="15" t="n">
        <v>143.753824901411</v>
      </c>
      <c r="H1661" s="15" t="n">
        <v>77.6542920146061</v>
      </c>
      <c r="I1661" s="16" t="n">
        <v>32.0918271191784</v>
      </c>
      <c r="J1661" s="15" t="n">
        <v>28.6154919748779</v>
      </c>
      <c r="K1661" s="15" t="n">
        <v>7646.75900159736</v>
      </c>
      <c r="L1661" s="15" t="n">
        <v>231.947202843432</v>
      </c>
      <c r="M1661" s="15" t="n">
        <v>10.0280880187046</v>
      </c>
      <c r="N1661" s="17" t="n">
        <v>205.891545775226</v>
      </c>
      <c r="O1661" s="18" t="n">
        <v>2.69253347375295</v>
      </c>
    </row>
    <row r="1662" ht="15" customHeight="1" s="12">
      <c r="A1662" s="14" t="inlineStr">
        <is>
          <t>Thatta</t>
        </is>
      </c>
      <c r="B1662" s="14" t="inlineStr">
        <is>
          <t>Sindh</t>
        </is>
      </c>
      <c r="C1662" s="14" t="n">
        <v>2025</v>
      </c>
      <c r="D1662" s="15" t="n">
        <v>220.765152171307</v>
      </c>
      <c r="E1662" s="15" t="n">
        <v>14887.3629675992</v>
      </c>
      <c r="F1662" s="15" t="n">
        <v>524.970706286098</v>
      </c>
      <c r="G1662" s="15" t="n">
        <v>128.627673306626</v>
      </c>
      <c r="H1662" s="15" t="n">
        <v>75.537831746122</v>
      </c>
      <c r="I1662" s="16" t="n">
        <v>34.2163747326874</v>
      </c>
      <c r="J1662" s="15" t="n">
        <v>19.7727959990695</v>
      </c>
      <c r="K1662" s="15" t="n">
        <v>7646.75900159736</v>
      </c>
      <c r="L1662" s="15" t="n">
        <v>231.947202843432</v>
      </c>
      <c r="M1662" s="15" t="n">
        <v>-11.1820506721255</v>
      </c>
      <c r="N1662" s="17" t="n">
        <v>92.07953199268449</v>
      </c>
      <c r="O1662" s="18" t="n">
        <v>1.20416416907411</v>
      </c>
    </row>
    <row r="1663" ht="15" customHeight="1" s="12">
      <c r="A1663" s="14" t="inlineStr">
        <is>
          <t>Toba Tek Singh</t>
        </is>
      </c>
      <c r="B1663" s="14" t="inlineStr">
        <is>
          <t>Punjab</t>
        </is>
      </c>
      <c r="C1663" s="14" t="n">
        <v>2015</v>
      </c>
      <c r="D1663" s="15" t="n">
        <v>234.45184868131</v>
      </c>
      <c r="E1663" s="15" t="n">
        <v>6833.12211529215</v>
      </c>
      <c r="F1663" s="15" t="n">
        <v>292.975427746773</v>
      </c>
      <c r="G1663" s="15" t="n">
        <v>173.926553010941</v>
      </c>
      <c r="H1663" s="15" t="n">
        <v>29.2761539057491</v>
      </c>
      <c r="I1663" s="16" t="n">
        <v>12.4870646447937</v>
      </c>
      <c r="J1663" s="15" t="n">
        <v>25.7389666307858</v>
      </c>
      <c r="K1663" s="15" t="n">
        <v>3084.45573445141</v>
      </c>
      <c r="L1663" s="15" t="n">
        <v>209.53808389058</v>
      </c>
      <c r="M1663" s="15" t="n">
        <v>24.9137647907307</v>
      </c>
      <c r="N1663" s="17" t="n">
        <v>3.07311618351118</v>
      </c>
      <c r="O1663" s="18" t="n">
        <v>0.09963236460768191</v>
      </c>
    </row>
    <row r="1664" ht="15" customHeight="1" s="12">
      <c r="A1664" s="14" t="inlineStr">
        <is>
          <t>Toba Tek Singh</t>
        </is>
      </c>
      <c r="B1664" s="14" t="inlineStr">
        <is>
          <t>Punjab</t>
        </is>
      </c>
      <c r="C1664" s="14" t="n">
        <v>2016</v>
      </c>
      <c r="D1664" s="15" t="n">
        <v>171.071430531097</v>
      </c>
      <c r="E1664" s="15" t="n">
        <v>4985.89361453769</v>
      </c>
      <c r="F1664" s="15" t="n">
        <v>277.397660136223</v>
      </c>
      <c r="G1664" s="15" t="n">
        <v>110.346319496632</v>
      </c>
      <c r="H1664" s="15" t="n">
        <v>41.3877711908253</v>
      </c>
      <c r="I1664" s="16" t="n">
        <v>24.1932688949497</v>
      </c>
      <c r="J1664" s="15" t="n">
        <v>17.0984930032293</v>
      </c>
      <c r="K1664" s="15" t="n">
        <v>3084.45573445141</v>
      </c>
      <c r="L1664" s="15" t="n">
        <v>209.53808389058</v>
      </c>
      <c r="M1664" s="15" t="n">
        <v>-38.4666533594828</v>
      </c>
      <c r="N1664" s="17" t="n">
        <v>4.59607376933594</v>
      </c>
      <c r="O1664" s="18" t="n">
        <v>0.149007609932628</v>
      </c>
    </row>
    <row r="1665" ht="15" customHeight="1" s="12">
      <c r="A1665" s="14" t="inlineStr">
        <is>
          <t>Toba Tek Singh</t>
        </is>
      </c>
      <c r="B1665" s="14" t="inlineStr">
        <is>
          <t>Punjab</t>
        </is>
      </c>
      <c r="C1665" s="14" t="n">
        <v>2017</v>
      </c>
      <c r="D1665" s="15" t="n">
        <v>179.653864741029</v>
      </c>
      <c r="E1665" s="15" t="n">
        <v>5236.02950100128</v>
      </c>
      <c r="F1665" s="15" t="n">
        <v>246.522583246231</v>
      </c>
      <c r="G1665" s="15" t="n">
        <v>123.496416389942</v>
      </c>
      <c r="H1665" s="15" t="n">
        <v>34.7817416699037</v>
      </c>
      <c r="I1665" s="16" t="n">
        <v>19.3604193931712</v>
      </c>
      <c r="J1665" s="15" t="n">
        <v>19.9172497308934</v>
      </c>
      <c r="K1665" s="15" t="n">
        <v>3084.45573445141</v>
      </c>
      <c r="L1665" s="15" t="n">
        <v>209.53808389058</v>
      </c>
      <c r="M1665" s="15" t="n">
        <v>-29.884219149551</v>
      </c>
      <c r="N1665" s="17" t="n">
        <v>2.41553284908208</v>
      </c>
      <c r="O1665" s="18" t="n">
        <v>0.07831309822676689</v>
      </c>
    </row>
    <row r="1666" ht="15" customHeight="1" s="12">
      <c r="A1666" s="14" t="inlineStr">
        <is>
          <t>Toba Tek Singh</t>
        </is>
      </c>
      <c r="B1666" s="14" t="inlineStr">
        <is>
          <t>Punjab</t>
        </is>
      </c>
      <c r="C1666" s="14" t="n">
        <v>2018</v>
      </c>
      <c r="D1666" s="15" t="n">
        <v>149.796104606078</v>
      </c>
      <c r="E1666" s="15" t="n">
        <v>4365.82215463675</v>
      </c>
      <c r="F1666" s="15" t="n">
        <v>251.111207209528</v>
      </c>
      <c r="G1666" s="15" t="n">
        <v>95.1036165209953</v>
      </c>
      <c r="H1666" s="15" t="n">
        <v>38.1545566746061</v>
      </c>
      <c r="I1666" s="16" t="n">
        <v>25.4709939053101</v>
      </c>
      <c r="J1666" s="15" t="n">
        <v>15.302475780409</v>
      </c>
      <c r="K1666" s="15" t="n">
        <v>3084.45573445141</v>
      </c>
      <c r="L1666" s="15" t="n">
        <v>209.53808389058</v>
      </c>
      <c r="M1666" s="15" t="n">
        <v>-59.7419792845018</v>
      </c>
      <c r="N1666" s="17" t="n">
        <v>3.00475228362056</v>
      </c>
      <c r="O1666" s="18" t="n">
        <v>0.09741596386225899</v>
      </c>
    </row>
    <row r="1667" ht="15" customHeight="1" s="12">
      <c r="A1667" s="14" t="inlineStr">
        <is>
          <t>Toba Tek Singh</t>
        </is>
      </c>
      <c r="B1667" s="14" t="inlineStr">
        <is>
          <t>Punjab</t>
        </is>
      </c>
      <c r="C1667" s="14" t="n">
        <v>2019</v>
      </c>
      <c r="D1667" s="15" t="n">
        <v>170.464559510064</v>
      </c>
      <c r="E1667" s="15" t="n">
        <v>4968.20629913252</v>
      </c>
      <c r="F1667" s="15" t="n">
        <v>233.210529327393</v>
      </c>
      <c r="G1667" s="15" t="n">
        <v>112.250408530235</v>
      </c>
      <c r="H1667" s="15" t="n">
        <v>33.9018532182461</v>
      </c>
      <c r="I1667" s="16" t="n">
        <v>19.887918823528</v>
      </c>
      <c r="J1667" s="15" t="n">
        <v>17.2816200215285</v>
      </c>
      <c r="K1667" s="15" t="n">
        <v>3084.45573445141</v>
      </c>
      <c r="L1667" s="15" t="n">
        <v>209.53808389058</v>
      </c>
      <c r="M1667" s="15" t="n">
        <v>-39.0735243805161</v>
      </c>
      <c r="N1667" s="17" t="n">
        <v>3.0851008899517</v>
      </c>
      <c r="O1667" s="18" t="n">
        <v>0.100020916348161</v>
      </c>
    </row>
    <row r="1668" ht="15" customHeight="1" s="12">
      <c r="A1668" s="14" t="inlineStr">
        <is>
          <t>Toba Tek Singh</t>
        </is>
      </c>
      <c r="B1668" s="14" t="inlineStr">
        <is>
          <t>Punjab</t>
        </is>
      </c>
      <c r="C1668" s="14" t="n">
        <v>2020</v>
      </c>
      <c r="D1668" s="15" t="n">
        <v>279.065161560792</v>
      </c>
      <c r="E1668" s="15" t="n">
        <v>8133.38149301886</v>
      </c>
      <c r="F1668" s="15" t="n">
        <v>396.740876448719</v>
      </c>
      <c r="G1668" s="15" t="n">
        <v>153.018932823882</v>
      </c>
      <c r="H1668" s="15" t="n">
        <v>68.1291304332396</v>
      </c>
      <c r="I1668" s="16" t="n">
        <v>24.4133413329697</v>
      </c>
      <c r="J1668" s="15" t="n">
        <v>22.6103336921421</v>
      </c>
      <c r="K1668" s="15" t="n">
        <v>3084.45573445141</v>
      </c>
      <c r="L1668" s="15" t="n">
        <v>209.53808389058</v>
      </c>
      <c r="M1668" s="15" t="n">
        <v>69.5270776702128</v>
      </c>
      <c r="N1668" s="17" t="n">
        <v>3.53765094105033</v>
      </c>
      <c r="O1668" s="18" t="n">
        <v>0.114692874387433</v>
      </c>
    </row>
    <row r="1669" ht="15" customHeight="1" s="12">
      <c r="A1669" s="14" t="inlineStr">
        <is>
          <t>Toba Tek Singh</t>
        </is>
      </c>
      <c r="B1669" s="14" t="inlineStr">
        <is>
          <t>Punjab</t>
        </is>
      </c>
      <c r="C1669" s="14" t="n">
        <v>2021</v>
      </c>
      <c r="D1669" s="15" t="n">
        <v>155.700218400951</v>
      </c>
      <c r="E1669" s="15" t="n">
        <v>4537.89813002301</v>
      </c>
      <c r="F1669" s="15" t="n">
        <v>278.492181062698</v>
      </c>
      <c r="G1669" s="15" t="n">
        <v>91.0752903223038</v>
      </c>
      <c r="H1669" s="15" t="n">
        <v>45.2935123466369</v>
      </c>
      <c r="I1669" s="16" t="n">
        <v>29.0902047613057</v>
      </c>
      <c r="J1669" s="15" t="n">
        <v>21.244617868676</v>
      </c>
      <c r="K1669" s="15" t="n">
        <v>3084.45573445141</v>
      </c>
      <c r="L1669" s="15" t="n">
        <v>209.53808389058</v>
      </c>
      <c r="M1669" s="15" t="n">
        <v>-53.8378654896286</v>
      </c>
      <c r="N1669" s="17" t="n">
        <v>3.27645603354636</v>
      </c>
      <c r="O1669" s="18" t="n">
        <v>0.106224770773995</v>
      </c>
    </row>
    <row r="1670" ht="15" customHeight="1" s="12">
      <c r="A1670" s="14" t="inlineStr">
        <is>
          <t>Toba Tek Singh</t>
        </is>
      </c>
      <c r="B1670" s="14" t="inlineStr">
        <is>
          <t>Punjab</t>
        </is>
      </c>
      <c r="C1670" s="14" t="n">
        <v>2022</v>
      </c>
      <c r="D1670" s="15" t="n">
        <v>232.03501593015</v>
      </c>
      <c r="E1670" s="15" t="n">
        <v>6762.68328781518</v>
      </c>
      <c r="F1670" s="15" t="n">
        <v>326.557710808649</v>
      </c>
      <c r="G1670" s="15" t="n">
        <v>175.722292859575</v>
      </c>
      <c r="H1670" s="15" t="n">
        <v>34.2763623723836</v>
      </c>
      <c r="I1670" s="16" t="n">
        <v>14.7720645674884</v>
      </c>
      <c r="J1670" s="15" t="n">
        <v>22.5637782561895</v>
      </c>
      <c r="K1670" s="15" t="n">
        <v>3084.45573445141</v>
      </c>
      <c r="L1670" s="15" t="n">
        <v>209.53808389058</v>
      </c>
      <c r="M1670" s="15" t="n">
        <v>22.4969320395699</v>
      </c>
      <c r="N1670" s="17" t="n">
        <v>5.10701941425088</v>
      </c>
      <c r="O1670" s="18" t="n">
        <v>0.165572789948279</v>
      </c>
    </row>
    <row r="1671" ht="15" customHeight="1" s="12">
      <c r="A1671" s="14" t="inlineStr">
        <is>
          <t>Toba Tek Singh</t>
        </is>
      </c>
      <c r="B1671" s="14" t="inlineStr">
        <is>
          <t>Punjab</t>
        </is>
      </c>
      <c r="C1671" s="14" t="n">
        <v>2023</v>
      </c>
      <c r="D1671" s="15" t="n">
        <v>171.181356956046</v>
      </c>
      <c r="E1671" s="15" t="n">
        <v>4989.09743096992</v>
      </c>
      <c r="F1671" s="15" t="n">
        <v>256.183685541153</v>
      </c>
      <c r="G1671" s="15" t="n">
        <v>118.697454571724</v>
      </c>
      <c r="H1671" s="15" t="n">
        <v>32.4205930283208</v>
      </c>
      <c r="I1671" s="16" t="n">
        <v>18.9393247049943</v>
      </c>
      <c r="J1671" s="15" t="n">
        <v>13.6476049515608</v>
      </c>
      <c r="K1671" s="15" t="n">
        <v>3084.45573445141</v>
      </c>
      <c r="L1671" s="15" t="n">
        <v>209.53808389058</v>
      </c>
      <c r="M1671" s="15" t="n">
        <v>-38.3567269345342</v>
      </c>
      <c r="N1671" s="17" t="n">
        <v>4.70064863878222</v>
      </c>
      <c r="O1671" s="18" t="n">
        <v>0.15239799314605</v>
      </c>
    </row>
    <row r="1672" ht="15" customHeight="1" s="12">
      <c r="A1672" s="14" t="inlineStr">
        <is>
          <t>Toba Tek Singh</t>
        </is>
      </c>
      <c r="B1672" s="14" t="inlineStr">
        <is>
          <t>Punjab</t>
        </is>
      </c>
      <c r="C1672" s="14" t="n">
        <v>2024</v>
      </c>
      <c r="D1672" s="15" t="n">
        <v>275.630823390895</v>
      </c>
      <c r="E1672" s="15" t="n">
        <v>8033.28737035739</v>
      </c>
      <c r="F1672" s="15" t="n">
        <v>363.124707948417</v>
      </c>
      <c r="G1672" s="15" t="n">
        <v>203.633751295063</v>
      </c>
      <c r="H1672" s="15" t="n">
        <v>38.3468837042152</v>
      </c>
      <c r="I1672" s="16" t="n">
        <v>13.9124076300538</v>
      </c>
      <c r="J1672" s="15" t="n">
        <v>32.830597416577</v>
      </c>
      <c r="K1672" s="15" t="n">
        <v>3084.45573445141</v>
      </c>
      <c r="L1672" s="15" t="n">
        <v>209.53808389058</v>
      </c>
      <c r="M1672" s="15" t="n">
        <v>66.0927395003157</v>
      </c>
      <c r="N1672" s="17" t="n">
        <v>3.11664938617901</v>
      </c>
      <c r="O1672" s="18" t="n">
        <v>0.101043738490652</v>
      </c>
    </row>
    <row r="1673" ht="15" customHeight="1" s="12">
      <c r="A1673" s="14" t="inlineStr">
        <is>
          <t>Toba Tek Singh</t>
        </is>
      </c>
      <c r="B1673" s="14" t="inlineStr">
        <is>
          <t>Punjab</t>
        </is>
      </c>
      <c r="C1673" s="14" t="n">
        <v>2025</v>
      </c>
      <c r="D1673" s="15" t="n">
        <v>285.868538487966</v>
      </c>
      <c r="E1673" s="15" t="n">
        <v>8331.66658055906</v>
      </c>
      <c r="F1673" s="15" t="n">
        <v>414.880916947142</v>
      </c>
      <c r="G1673" s="15" t="n">
        <v>214.773037343293</v>
      </c>
      <c r="H1673" s="15" t="n">
        <v>50.0425391163893</v>
      </c>
      <c r="I1673" s="16" t="n">
        <v>17.5054377725781</v>
      </c>
      <c r="J1673" s="15" t="n">
        <v>25.7054628632939</v>
      </c>
      <c r="K1673" s="15" t="n">
        <v>3084.45573445141</v>
      </c>
      <c r="L1673" s="15" t="n">
        <v>209.53808389058</v>
      </c>
      <c r="M1673" s="15" t="n">
        <v>76.33045459738589</v>
      </c>
      <c r="N1673" s="17" t="n">
        <v>4.44351627466659</v>
      </c>
      <c r="O1673" s="18" t="n">
        <v>0.144061599751144</v>
      </c>
    </row>
    <row r="1674" ht="15" customHeight="1" s="12">
      <c r="A1674" s="14" t="inlineStr">
        <is>
          <t>Tor Ghar</t>
        </is>
      </c>
      <c r="B1674" s="14" t="inlineStr">
        <is>
          <t>Khyber Pakhtunkhwa</t>
        </is>
      </c>
      <c r="C1674" s="14" t="n">
        <v>2015</v>
      </c>
      <c r="D1674" s="15" t="n">
        <v>606.08018449385</v>
      </c>
      <c r="E1674" s="15" t="n">
        <v>2711.91172748033</v>
      </c>
      <c r="F1674" s="15" t="n">
        <v>671.903207302094</v>
      </c>
      <c r="G1674" s="15" t="n">
        <v>503.556892633438</v>
      </c>
      <c r="H1674" s="15" t="n">
        <v>61.964163656375</v>
      </c>
      <c r="I1674" s="16" t="n">
        <v>10.2237567308231</v>
      </c>
      <c r="J1674" s="15" t="n">
        <v>27.2471516213848</v>
      </c>
      <c r="K1674" s="15" t="n">
        <v>454.457624806755</v>
      </c>
      <c r="L1674" s="15" t="n">
        <v>608.341584873543</v>
      </c>
      <c r="M1674" s="15" t="n">
        <v>-2.26140037969276</v>
      </c>
      <c r="N1674" s="17" t="n">
        <v>7.66076893566852</v>
      </c>
      <c r="O1674" s="18" t="n">
        <v>1.68569488495788</v>
      </c>
    </row>
    <row r="1675" ht="15" customHeight="1" s="12">
      <c r="A1675" s="14" t="inlineStr">
        <is>
          <t>Tor Ghar</t>
        </is>
      </c>
      <c r="B1675" s="14" t="inlineStr">
        <is>
          <t>Khyber Pakhtunkhwa</t>
        </is>
      </c>
      <c r="C1675" s="14" t="n">
        <v>2016</v>
      </c>
      <c r="D1675" s="15" t="n">
        <v>578.161263240209</v>
      </c>
      <c r="E1675" s="15" t="n">
        <v>2586.98824061599</v>
      </c>
      <c r="F1675" s="15" t="n">
        <v>637.523838758469</v>
      </c>
      <c r="G1675" s="15" t="n">
        <v>483.915562152863</v>
      </c>
      <c r="H1675" s="15" t="n">
        <v>55.3736155812373</v>
      </c>
      <c r="I1675" s="16" t="n">
        <v>9.57753815447701</v>
      </c>
      <c r="J1675" s="15" t="n">
        <v>27.3628396143734</v>
      </c>
      <c r="K1675" s="15" t="n">
        <v>454.457624806755</v>
      </c>
      <c r="L1675" s="15" t="n">
        <v>608.341584873543</v>
      </c>
      <c r="M1675" s="15" t="n">
        <v>-30.1803216333342</v>
      </c>
      <c r="N1675" s="17" t="n">
        <v>8.58222007436162</v>
      </c>
      <c r="O1675" s="18" t="n">
        <v>1.88845331355393</v>
      </c>
    </row>
    <row r="1676" ht="15" customHeight="1" s="12">
      <c r="A1676" s="14" t="inlineStr">
        <is>
          <t>Tor Ghar</t>
        </is>
      </c>
      <c r="B1676" s="14" t="inlineStr">
        <is>
          <t>Khyber Pakhtunkhwa</t>
        </is>
      </c>
      <c r="C1676" s="14" t="n">
        <v>2017</v>
      </c>
      <c r="D1676" s="15" t="n">
        <v>587.238982327877</v>
      </c>
      <c r="E1676" s="15" t="n">
        <v>2627.60658367101</v>
      </c>
      <c r="F1676" s="15" t="n">
        <v>652.676745891571</v>
      </c>
      <c r="G1676" s="15" t="n">
        <v>477.279711723328</v>
      </c>
      <c r="H1676" s="15" t="n">
        <v>58.7877728314636</v>
      </c>
      <c r="I1676" s="16" t="n">
        <v>10.0108771046538</v>
      </c>
      <c r="J1676" s="15" t="n">
        <v>27.9833479404032</v>
      </c>
      <c r="K1676" s="15" t="n">
        <v>454.457624806755</v>
      </c>
      <c r="L1676" s="15" t="n">
        <v>608.341584873543</v>
      </c>
      <c r="M1676" s="15" t="n">
        <v>-21.1026025456665</v>
      </c>
      <c r="N1676" s="17" t="n">
        <v>7.9396693218032</v>
      </c>
      <c r="O1676" s="18" t="n">
        <v>1.74706482814087</v>
      </c>
    </row>
    <row r="1677" ht="15" customHeight="1" s="12">
      <c r="A1677" s="14" t="inlineStr">
        <is>
          <t>Tor Ghar</t>
        </is>
      </c>
      <c r="B1677" s="14" t="inlineStr">
        <is>
          <t>Khyber Pakhtunkhwa</t>
        </is>
      </c>
      <c r="C1677" s="14" t="n">
        <v>2018</v>
      </c>
      <c r="D1677" s="15" t="n">
        <v>703.196864136262</v>
      </c>
      <c r="E1677" s="15" t="n">
        <v>3146.46126266461</v>
      </c>
      <c r="F1677" s="15" t="n">
        <v>861.126991510391</v>
      </c>
      <c r="G1677" s="15" t="n">
        <v>530.982628107071</v>
      </c>
      <c r="H1677" s="15" t="n">
        <v>108.65346143931</v>
      </c>
      <c r="I1677" s="16" t="n">
        <v>15.4513575046683</v>
      </c>
      <c r="J1677" s="15" t="n">
        <v>36.5337423312883</v>
      </c>
      <c r="K1677" s="15" t="n">
        <v>454.457624806755</v>
      </c>
      <c r="L1677" s="15" t="n">
        <v>608.341584873543</v>
      </c>
      <c r="M1677" s="15" t="n">
        <v>94.8552792627187</v>
      </c>
      <c r="N1677" s="17" t="n">
        <v>9.73805758262632</v>
      </c>
      <c r="O1677" s="18" t="n">
        <v>2.14278670905063</v>
      </c>
    </row>
    <row r="1678" ht="15" customHeight="1" s="12">
      <c r="A1678" s="14" t="inlineStr">
        <is>
          <t>Tor Ghar</t>
        </is>
      </c>
      <c r="B1678" s="14" t="inlineStr">
        <is>
          <t>Khyber Pakhtunkhwa</t>
        </is>
      </c>
      <c r="C1678" s="14" t="n">
        <v>2019</v>
      </c>
      <c r="D1678" s="15" t="n">
        <v>523.87137786914</v>
      </c>
      <c r="E1678" s="15" t="n">
        <v>2344.06761626937</v>
      </c>
      <c r="F1678" s="15" t="n">
        <v>632.832878649584</v>
      </c>
      <c r="G1678" s="15" t="n">
        <v>419.109513342381</v>
      </c>
      <c r="H1678" s="15" t="n">
        <v>71.8548310421542</v>
      </c>
      <c r="I1678" s="16" t="n">
        <v>13.7161208032448</v>
      </c>
      <c r="J1678" s="15" t="n">
        <v>23.1332164767748</v>
      </c>
      <c r="K1678" s="15" t="n">
        <v>454.457624806755</v>
      </c>
      <c r="L1678" s="15" t="n">
        <v>608.341584873543</v>
      </c>
      <c r="M1678" s="15" t="n">
        <v>-84.47020700440351</v>
      </c>
      <c r="N1678" s="17" t="n">
        <v>9.430292571464809</v>
      </c>
      <c r="O1678" s="18" t="n">
        <v>2.07506532110112</v>
      </c>
    </row>
    <row r="1679" ht="15" customHeight="1" s="12">
      <c r="A1679" s="14" t="inlineStr">
        <is>
          <t>Tor Ghar</t>
        </is>
      </c>
      <c r="B1679" s="14" t="inlineStr">
        <is>
          <t>Khyber Pakhtunkhwa</t>
        </is>
      </c>
      <c r="C1679" s="14" t="n">
        <v>2020</v>
      </c>
      <c r="D1679" s="15" t="n">
        <v>594.963154515203</v>
      </c>
      <c r="E1679" s="15" t="n">
        <v>2662.16846785038</v>
      </c>
      <c r="F1679" s="15" t="n">
        <v>642.776965405792</v>
      </c>
      <c r="G1679" s="15" t="n">
        <v>494.112093679607</v>
      </c>
      <c r="H1679" s="15" t="n">
        <v>49.8283589859468</v>
      </c>
      <c r="I1679" s="16" t="n">
        <v>8.37503274073311</v>
      </c>
      <c r="J1679" s="15" t="n">
        <v>27.396143733567</v>
      </c>
      <c r="K1679" s="15" t="n">
        <v>454.457624806755</v>
      </c>
      <c r="L1679" s="15" t="n">
        <v>608.341584873543</v>
      </c>
      <c r="M1679" s="15" t="n">
        <v>-13.3784303583407</v>
      </c>
      <c r="N1679" s="17" t="n">
        <v>9.21054239778654</v>
      </c>
      <c r="O1679" s="18" t="n">
        <v>2.02671093959598</v>
      </c>
    </row>
    <row r="1680" ht="15" customHeight="1" s="12">
      <c r="A1680" s="14" t="inlineStr">
        <is>
          <t>Tor Ghar</t>
        </is>
      </c>
      <c r="B1680" s="14" t="inlineStr">
        <is>
          <t>Khyber Pakhtunkhwa</t>
        </is>
      </c>
      <c r="C1680" s="14" t="n">
        <v>2021</v>
      </c>
      <c r="D1680" s="15" t="n">
        <v>628.0089935192819</v>
      </c>
      <c r="E1680" s="15" t="n">
        <v>2810.03239845295</v>
      </c>
      <c r="F1680" s="15" t="n">
        <v>689.4400453567511</v>
      </c>
      <c r="G1680" s="15" t="n">
        <v>555.848914444447</v>
      </c>
      <c r="H1680" s="15" t="n">
        <v>47.0317644991482</v>
      </c>
      <c r="I1680" s="16" t="n">
        <v>7.48902722484725</v>
      </c>
      <c r="J1680" s="15" t="n">
        <v>29.1752848378615</v>
      </c>
      <c r="K1680" s="15" t="n">
        <v>454.457624806755</v>
      </c>
      <c r="L1680" s="15" t="n">
        <v>608.341584873543</v>
      </c>
      <c r="M1680" s="15" t="n">
        <v>19.6674086457391</v>
      </c>
      <c r="N1680" s="17" t="n">
        <v>9.06077090053304</v>
      </c>
      <c r="O1680" s="18" t="n">
        <v>1.99375484224429</v>
      </c>
    </row>
    <row r="1681" ht="15" customHeight="1" s="12">
      <c r="A1681" s="14" t="inlineStr">
        <is>
          <t>Tor Ghar</t>
        </is>
      </c>
      <c r="B1681" s="14" t="inlineStr">
        <is>
          <t>Khyber Pakhtunkhwa</t>
        </is>
      </c>
      <c r="C1681" s="14" t="n">
        <v>2022</v>
      </c>
      <c r="D1681" s="15" t="n">
        <v>562.0464437877951</v>
      </c>
      <c r="E1681" s="15" t="n">
        <v>2514.88232298774</v>
      </c>
      <c r="F1681" s="15" t="n">
        <v>670.163161754608</v>
      </c>
      <c r="G1681" s="15" t="n">
        <v>467.347894728184</v>
      </c>
      <c r="H1681" s="15" t="n">
        <v>66.8675847991386</v>
      </c>
      <c r="I1681" s="16" t="n">
        <v>11.8971635775326</v>
      </c>
      <c r="J1681" s="15" t="n">
        <v>27.7063978965819</v>
      </c>
      <c r="K1681" s="15" t="n">
        <v>454.457624806755</v>
      </c>
      <c r="L1681" s="15" t="n">
        <v>608.341584873543</v>
      </c>
      <c r="M1681" s="15" t="n">
        <v>-46.2951410857487</v>
      </c>
      <c r="N1681" s="17" t="n">
        <v>10.4665472001577</v>
      </c>
      <c r="O1681" s="18" t="n">
        <v>2.30308539869</v>
      </c>
    </row>
    <row r="1682" ht="15" customHeight="1" s="12">
      <c r="A1682" s="14" t="inlineStr">
        <is>
          <t>Tor Ghar</t>
        </is>
      </c>
      <c r="B1682" s="14" t="inlineStr">
        <is>
          <t>Khyber Pakhtunkhwa</t>
        </is>
      </c>
      <c r="C1682" s="14" t="n">
        <v>2023</v>
      </c>
      <c r="D1682" s="15" t="n">
        <v>636.8561692643229</v>
      </c>
      <c r="E1682" s="15" t="n">
        <v>2849.61917306115</v>
      </c>
      <c r="F1682" s="15" t="n">
        <v>778.114963054657</v>
      </c>
      <c r="G1682" s="15" t="n">
        <v>489.910608768463</v>
      </c>
      <c r="H1682" s="15" t="n">
        <v>88.567639676127</v>
      </c>
      <c r="I1682" s="16" t="n">
        <v>13.90700819911</v>
      </c>
      <c r="J1682" s="15" t="n">
        <v>17.9281332164768</v>
      </c>
      <c r="K1682" s="15" t="n">
        <v>454.457624806755</v>
      </c>
      <c r="L1682" s="15" t="n">
        <v>608.341584873543</v>
      </c>
      <c r="M1682" s="15" t="n">
        <v>28.5145843907797</v>
      </c>
      <c r="N1682" s="17" t="n">
        <v>9.241641673157311</v>
      </c>
      <c r="O1682" s="18" t="n">
        <v>2.0335541024506</v>
      </c>
    </row>
    <row r="1683" ht="15" customHeight="1" s="12">
      <c r="A1683" s="14" t="inlineStr">
        <is>
          <t>Tor Ghar</t>
        </is>
      </c>
      <c r="B1683" s="14" t="inlineStr">
        <is>
          <t>Khyber Pakhtunkhwa</t>
        </is>
      </c>
      <c r="C1683" s="14" t="n">
        <v>2024</v>
      </c>
      <c r="D1683" s="15" t="n">
        <v>581.439988410348</v>
      </c>
      <c r="E1683" s="15" t="n">
        <v>2601.65892853415</v>
      </c>
      <c r="F1683" s="15" t="n">
        <v>705.489685461158</v>
      </c>
      <c r="G1683" s="15" t="n">
        <v>448.769367885776</v>
      </c>
      <c r="H1683" s="15" t="n">
        <v>83.0540969922874</v>
      </c>
      <c r="I1683" s="16" t="n">
        <v>14.2842079402479</v>
      </c>
      <c r="J1683" s="15" t="n">
        <v>33.2287467134093</v>
      </c>
      <c r="K1683" s="15" t="n">
        <v>454.457624806755</v>
      </c>
      <c r="L1683" s="15" t="n">
        <v>608.341584873543</v>
      </c>
      <c r="M1683" s="15" t="n">
        <v>-26.9015964631954</v>
      </c>
      <c r="N1683" s="17" t="n">
        <v>9.883867961376311</v>
      </c>
      <c r="O1683" s="18" t="n">
        <v>2.17487119191347</v>
      </c>
    </row>
    <row r="1684" ht="15" customHeight="1" s="12">
      <c r="A1684" s="14" t="inlineStr">
        <is>
          <t>Tor Ghar</t>
        </is>
      </c>
      <c r="B1684" s="14" t="inlineStr">
        <is>
          <t>Khyber Pakhtunkhwa</t>
        </is>
      </c>
      <c r="C1684" s="14" t="n">
        <v>2025</v>
      </c>
      <c r="D1684" s="15" t="n">
        <v>689.894012044687</v>
      </c>
      <c r="E1684" s="15" t="n">
        <v>3086.93752056074</v>
      </c>
      <c r="F1684" s="15" t="n">
        <v>819.150076776743</v>
      </c>
      <c r="G1684" s="15" t="n">
        <v>526.954283062369</v>
      </c>
      <c r="H1684" s="15" t="n">
        <v>99.63279766253321</v>
      </c>
      <c r="I1684" s="16" t="n">
        <v>14.4417542293554</v>
      </c>
      <c r="J1684" s="15" t="n">
        <v>42.1428571428571</v>
      </c>
      <c r="K1684" s="15" t="n">
        <v>454.457624806755</v>
      </c>
      <c r="L1684" s="15" t="n">
        <v>608.341584873543</v>
      </c>
      <c r="M1684" s="15" t="n">
        <v>81.55242717114371</v>
      </c>
      <c r="N1684" s="17" t="n">
        <v>9.27705494701266</v>
      </c>
      <c r="O1684" s="18" t="n">
        <v>2.04134652839359</v>
      </c>
    </row>
    <row r="1685" ht="15" customHeight="1" s="12">
      <c r="A1685" s="14" t="inlineStr">
        <is>
          <t>Umer Kot</t>
        </is>
      </c>
      <c r="B1685" s="14" t="inlineStr">
        <is>
          <t>Sindh</t>
        </is>
      </c>
      <c r="C1685" s="14" t="n">
        <v>2015</v>
      </c>
      <c r="D1685" s="15" t="n">
        <v>208.765740870544</v>
      </c>
      <c r="E1685" s="15" t="n">
        <v>10269.637072471</v>
      </c>
      <c r="F1685" s="15" t="n">
        <v>288.511996388435</v>
      </c>
      <c r="G1685" s="15" t="n">
        <v>149.002936184406</v>
      </c>
      <c r="H1685" s="15" t="n">
        <v>33.7371275177512</v>
      </c>
      <c r="I1685" s="16" t="n">
        <v>16.1602796402651</v>
      </c>
      <c r="J1685" s="15" t="n">
        <v>16.9553571428571</v>
      </c>
      <c r="K1685" s="15" t="n">
        <v>5500.67777950417</v>
      </c>
      <c r="L1685" s="15" t="n">
        <v>255.52836434143</v>
      </c>
      <c r="M1685" s="15" t="n">
        <v>-46.7626234708855</v>
      </c>
      <c r="N1685" s="17" t="n">
        <v>27.1953358225255</v>
      </c>
      <c r="O1685" s="18" t="n">
        <v>0.494399725136724</v>
      </c>
    </row>
    <row r="1686" ht="15" customHeight="1" s="12">
      <c r="A1686" s="14" t="inlineStr">
        <is>
          <t>Umer Kot</t>
        </is>
      </c>
      <c r="B1686" s="14" t="inlineStr">
        <is>
          <t>Sindh</t>
        </is>
      </c>
      <c r="C1686" s="14" t="n">
        <v>2016</v>
      </c>
      <c r="D1686" s="15" t="n">
        <v>195.70558676908</v>
      </c>
      <c r="E1686" s="15" t="n">
        <v>9627.17992326015</v>
      </c>
      <c r="F1686" s="15" t="n">
        <v>277.99764162302</v>
      </c>
      <c r="G1686" s="15" t="n">
        <v>151.857400417328</v>
      </c>
      <c r="H1686" s="15" t="n">
        <v>35.2699696269251</v>
      </c>
      <c r="I1686" s="16" t="n">
        <v>18.0219533888633</v>
      </c>
      <c r="J1686" s="15" t="n">
        <v>22.6034757653061</v>
      </c>
      <c r="K1686" s="15" t="n">
        <v>5500.67777950417</v>
      </c>
      <c r="L1686" s="15" t="n">
        <v>255.52836434143</v>
      </c>
      <c r="M1686" s="15" t="n">
        <v>-59.82277757235</v>
      </c>
      <c r="N1686" s="17" t="n">
        <v>20.2313517920418</v>
      </c>
      <c r="O1686" s="18" t="n">
        <v>0.367797435207438</v>
      </c>
    </row>
    <row r="1687" ht="15" customHeight="1" s="12">
      <c r="A1687" s="14" t="inlineStr">
        <is>
          <t>Umer Kot</t>
        </is>
      </c>
      <c r="B1687" s="14" t="inlineStr">
        <is>
          <t>Sindh</t>
        </is>
      </c>
      <c r="C1687" s="14" t="n">
        <v>2017</v>
      </c>
      <c r="D1687" s="15" t="n">
        <v>267.220529777639</v>
      </c>
      <c r="E1687" s="15" t="n">
        <v>13145.1542177675</v>
      </c>
      <c r="F1687" s="15" t="n">
        <v>385.295992642641</v>
      </c>
      <c r="G1687" s="15" t="n">
        <v>189.391740769148</v>
      </c>
      <c r="H1687" s="15" t="n">
        <v>41.1010174251339</v>
      </c>
      <c r="I1687" s="16" t="n">
        <v>15.3809355364033</v>
      </c>
      <c r="J1687" s="15" t="n">
        <v>30.0818718112245</v>
      </c>
      <c r="K1687" s="15" t="n">
        <v>5500.67777950417</v>
      </c>
      <c r="L1687" s="15" t="n">
        <v>255.52836434143</v>
      </c>
      <c r="M1687" s="15" t="n">
        <v>11.6921654362093</v>
      </c>
      <c r="N1687" s="17" t="n">
        <v>10.3482848911703</v>
      </c>
      <c r="O1687" s="18" t="n">
        <v>0.188127450943019</v>
      </c>
    </row>
    <row r="1688" ht="15" customHeight="1" s="12">
      <c r="A1688" s="14" t="inlineStr">
        <is>
          <t>Umer Kot</t>
        </is>
      </c>
      <c r="B1688" s="14" t="inlineStr">
        <is>
          <t>Sindh</t>
        </is>
      </c>
      <c r="C1688" s="14" t="n">
        <v>2018</v>
      </c>
      <c r="D1688" s="15" t="n">
        <v>88.2103669417542</v>
      </c>
      <c r="E1688" s="15" t="n">
        <v>4339.25820751908</v>
      </c>
      <c r="F1688" s="15" t="n">
        <v>127.504441261292</v>
      </c>
      <c r="G1688" s="15" t="n">
        <v>64.6415217369795</v>
      </c>
      <c r="H1688" s="15" t="n">
        <v>16.4445655138818</v>
      </c>
      <c r="I1688" s="16" t="n">
        <v>18.6424408876343</v>
      </c>
      <c r="J1688" s="15" t="n">
        <v>12.8403220663265</v>
      </c>
      <c r="K1688" s="15" t="n">
        <v>5500.67777950417</v>
      </c>
      <c r="L1688" s="15" t="n">
        <v>255.52836434143</v>
      </c>
      <c r="M1688" s="15" t="n">
        <v>-167.317997399676</v>
      </c>
      <c r="N1688" s="17" t="n">
        <v>7.95525677106192</v>
      </c>
      <c r="O1688" s="18" t="n">
        <v>0.144623209901581</v>
      </c>
    </row>
    <row r="1689" ht="15" customHeight="1" s="12">
      <c r="A1689" s="14" t="inlineStr">
        <is>
          <t>Umer Kot</t>
        </is>
      </c>
      <c r="B1689" s="14" t="inlineStr">
        <is>
          <t>Sindh</t>
        </is>
      </c>
      <c r="C1689" s="14" t="n">
        <v>2019</v>
      </c>
      <c r="D1689" s="15" t="n">
        <v>276.713816742152</v>
      </c>
      <c r="E1689" s="15" t="n">
        <v>13612.1494792688</v>
      </c>
      <c r="F1689" s="15" t="n">
        <v>401.545538907871</v>
      </c>
      <c r="G1689" s="15" t="n">
        <v>220.498141344637</v>
      </c>
      <c r="H1689" s="15" t="n">
        <v>46.3476744906695</v>
      </c>
      <c r="I1689" s="16" t="n">
        <v>16.7493170512181</v>
      </c>
      <c r="J1689" s="15" t="n">
        <v>24.7303890306122</v>
      </c>
      <c r="K1689" s="15" t="n">
        <v>5500.67777950417</v>
      </c>
      <c r="L1689" s="15" t="n">
        <v>255.52836434143</v>
      </c>
      <c r="M1689" s="15" t="n">
        <v>21.1854524007217</v>
      </c>
      <c r="N1689" s="17" t="n">
        <v>19.1821200052307</v>
      </c>
      <c r="O1689" s="18" t="n">
        <v>0.3487228442412</v>
      </c>
    </row>
    <row r="1690" ht="15" customHeight="1" s="12">
      <c r="A1690" s="14" t="inlineStr">
        <is>
          <t>Umer Kot</t>
        </is>
      </c>
      <c r="B1690" s="14" t="inlineStr">
        <is>
          <t>Sindh</t>
        </is>
      </c>
      <c r="C1690" s="14" t="n">
        <v>2020</v>
      </c>
      <c r="D1690" s="15" t="n">
        <v>334.130355594524</v>
      </c>
      <c r="E1690" s="15" t="n">
        <v>16436.5928650107</v>
      </c>
      <c r="F1690" s="15" t="n">
        <v>463.140979936346</v>
      </c>
      <c r="G1690" s="15" t="n">
        <v>268.410516407341</v>
      </c>
      <c r="H1690" s="15" t="n">
        <v>46.9958520917609</v>
      </c>
      <c r="I1690" s="16" t="n">
        <v>14.0651249743952</v>
      </c>
      <c r="J1690" s="15" t="n">
        <v>32.8315529336735</v>
      </c>
      <c r="K1690" s="15" t="n">
        <v>5500.67777950417</v>
      </c>
      <c r="L1690" s="15" t="n">
        <v>255.52836434143</v>
      </c>
      <c r="M1690" s="15" t="n">
        <v>78.6019912530945</v>
      </c>
      <c r="N1690" s="17" t="n">
        <v>41.4426382544622</v>
      </c>
      <c r="O1690" s="18" t="n">
        <v>0.753409669057144</v>
      </c>
    </row>
    <row r="1691" ht="15" customHeight="1" s="12">
      <c r="A1691" s="14" t="inlineStr">
        <is>
          <t>Umer Kot</t>
        </is>
      </c>
      <c r="B1691" s="14" t="inlineStr">
        <is>
          <t>Sindh</t>
        </is>
      </c>
      <c r="C1691" s="14" t="n">
        <v>2021</v>
      </c>
      <c r="D1691" s="15" t="n">
        <v>217.725640213918</v>
      </c>
      <c r="E1691" s="15" t="n">
        <v>10710.3938464447</v>
      </c>
      <c r="F1691" s="15" t="n">
        <v>347.537060663104</v>
      </c>
      <c r="G1691" s="15" t="n">
        <v>142.899718672037</v>
      </c>
      <c r="H1691" s="15" t="n">
        <v>44.1789366773101</v>
      </c>
      <c r="I1691" s="16" t="n">
        <v>20.291104269531</v>
      </c>
      <c r="J1691" s="15" t="n">
        <v>26.0539700255102</v>
      </c>
      <c r="K1691" s="15" t="n">
        <v>5500.67777950417</v>
      </c>
      <c r="L1691" s="15" t="n">
        <v>255.52836434143</v>
      </c>
      <c r="M1691" s="15" t="n">
        <v>-37.8027241275117</v>
      </c>
      <c r="N1691" s="17" t="n">
        <v>17.2006447686239</v>
      </c>
      <c r="O1691" s="18" t="n">
        <v>0.312700460890736</v>
      </c>
    </row>
    <row r="1692" ht="15" customHeight="1" s="12">
      <c r="A1692" s="14" t="inlineStr">
        <is>
          <t>Umer Kot</t>
        </is>
      </c>
      <c r="B1692" s="14" t="inlineStr">
        <is>
          <t>Sindh</t>
        </is>
      </c>
      <c r="C1692" s="14" t="n">
        <v>2022</v>
      </c>
      <c r="D1692" s="15" t="n">
        <v>426.836691666262</v>
      </c>
      <c r="E1692" s="15" t="n">
        <v>20997.0174912219</v>
      </c>
      <c r="F1692" s="15" t="n">
        <v>535.556613042718</v>
      </c>
      <c r="G1692" s="15" t="n">
        <v>315.873115213463</v>
      </c>
      <c r="H1692" s="15" t="n">
        <v>59.2398313914227</v>
      </c>
      <c r="I1692" s="16" t="n">
        <v>13.878804832866</v>
      </c>
      <c r="J1692" s="15" t="n">
        <v>35.5496651785714</v>
      </c>
      <c r="K1692" s="15" t="n">
        <v>5500.67777950417</v>
      </c>
      <c r="L1692" s="15" t="n">
        <v>255.52836434143</v>
      </c>
      <c r="M1692" s="15" t="n">
        <v>171.308327324832</v>
      </c>
      <c r="N1692" s="17" t="n">
        <v>53.374131209342</v>
      </c>
      <c r="O1692" s="18" t="n">
        <v>0.970319174270067</v>
      </c>
    </row>
    <row r="1693" ht="15" customHeight="1" s="12">
      <c r="A1693" s="14" t="inlineStr">
        <is>
          <t>Umer Kot</t>
        </is>
      </c>
      <c r="B1693" s="14" t="inlineStr">
        <is>
          <t>Sindh</t>
        </is>
      </c>
      <c r="C1693" s="14" t="n">
        <v>2023</v>
      </c>
      <c r="D1693" s="15" t="n">
        <v>234.420266465916</v>
      </c>
      <c r="E1693" s="15" t="n">
        <v>11531.6385197978</v>
      </c>
      <c r="F1693" s="15" t="n">
        <v>312.655794173479</v>
      </c>
      <c r="G1693" s="15" t="n">
        <v>171.77152389288</v>
      </c>
      <c r="H1693" s="15" t="n">
        <v>25.7599671187238</v>
      </c>
      <c r="I1693" s="16" t="n">
        <v>10.9887969615755</v>
      </c>
      <c r="J1693" s="15" t="n">
        <v>18.2665019132653</v>
      </c>
      <c r="K1693" s="15" t="n">
        <v>5500.67777950417</v>
      </c>
      <c r="L1693" s="15" t="n">
        <v>255.52836434143</v>
      </c>
      <c r="M1693" s="15" t="n">
        <v>-21.1080978755141</v>
      </c>
      <c r="N1693" s="17" t="n">
        <v>16.1770716008712</v>
      </c>
      <c r="O1693" s="18" t="n">
        <v>0.294092332787568</v>
      </c>
    </row>
    <row r="1694" ht="15" customHeight="1" s="12">
      <c r="A1694" s="14" t="inlineStr">
        <is>
          <t>Umer Kot</t>
        </is>
      </c>
      <c r="B1694" s="14" t="inlineStr">
        <is>
          <t>Sindh</t>
        </is>
      </c>
      <c r="C1694" s="14" t="n">
        <v>2024</v>
      </c>
      <c r="D1694" s="15" t="n">
        <v>315.419228670946</v>
      </c>
      <c r="E1694" s="15" t="n">
        <v>15516.1521743072</v>
      </c>
      <c r="F1694" s="15" t="n">
        <v>430.006703298517</v>
      </c>
      <c r="G1694" s="15" t="n">
        <v>230.370867770107</v>
      </c>
      <c r="H1694" s="15" t="n">
        <v>51.3359734106655</v>
      </c>
      <c r="I1694" s="16" t="n">
        <v>16.2754736377282</v>
      </c>
      <c r="J1694" s="15" t="n">
        <v>30.7821269132653</v>
      </c>
      <c r="K1694" s="15" t="n">
        <v>5500.67777950417</v>
      </c>
      <c r="L1694" s="15" t="n">
        <v>255.52836434143</v>
      </c>
      <c r="M1694" s="15" t="n">
        <v>59.8908643295158</v>
      </c>
      <c r="N1694" s="17" t="n">
        <v>19.2063222564483</v>
      </c>
      <c r="O1694" s="18" t="n">
        <v>0.349162830951707</v>
      </c>
    </row>
    <row r="1695" ht="15" customHeight="1" s="12">
      <c r="A1695" s="14" t="inlineStr">
        <is>
          <t>Umer Kot</t>
        </is>
      </c>
      <c r="B1695" s="14" t="inlineStr">
        <is>
          <t>Sindh</t>
        </is>
      </c>
      <c r="C1695" s="14" t="n">
        <v>2025</v>
      </c>
      <c r="D1695" s="15" t="n">
        <v>245.663784042994</v>
      </c>
      <c r="E1695" s="15" t="n">
        <v>12084.7314001385</v>
      </c>
      <c r="F1695" s="15" t="n">
        <v>308.485169021179</v>
      </c>
      <c r="G1695" s="15" t="n">
        <v>191.209854723858</v>
      </c>
      <c r="H1695" s="15" t="n">
        <v>27.8969819087509</v>
      </c>
      <c r="I1695" s="16" t="n">
        <v>11.3557568191935</v>
      </c>
      <c r="J1695" s="15" t="n">
        <v>22.4728156887755</v>
      </c>
      <c r="K1695" s="15" t="n">
        <v>5500.67777950417</v>
      </c>
      <c r="L1695" s="15" t="n">
        <v>255.52836434143</v>
      </c>
      <c r="M1695" s="15" t="n">
        <v>-9.86458029843641</v>
      </c>
      <c r="N1695" s="17" t="n">
        <v>10.1665122133956</v>
      </c>
      <c r="O1695" s="18" t="n">
        <v>0.184822900393777</v>
      </c>
    </row>
    <row r="1696" ht="15" customHeight="1" s="12">
      <c r="A1696" s="14" t="inlineStr">
        <is>
          <t>Upper Dir</t>
        </is>
      </c>
      <c r="B1696" s="14" t="inlineStr">
        <is>
          <t>Khyber Pakhtunkhwa</t>
        </is>
      </c>
      <c r="C1696" s="14" t="n">
        <v>2015</v>
      </c>
      <c r="D1696" s="15" t="n">
        <v>414.865871766171</v>
      </c>
      <c r="E1696" s="15" t="n">
        <v>15304.4833557034</v>
      </c>
      <c r="F1696" s="15" t="n">
        <v>829.785907745361</v>
      </c>
      <c r="G1696" s="15" t="n">
        <v>186.204730153084</v>
      </c>
      <c r="H1696" s="15" t="n">
        <v>138.46332597473</v>
      </c>
      <c r="I1696" s="16" t="n">
        <v>33.3754438236296</v>
      </c>
      <c r="J1696" s="15" t="n">
        <v>17.9505687254173</v>
      </c>
      <c r="K1696" s="15" t="n">
        <v>3731.85360404326</v>
      </c>
      <c r="L1696" s="15" t="n">
        <v>353.001124909521</v>
      </c>
      <c r="M1696" s="15" t="n">
        <v>61.8647468566502</v>
      </c>
      <c r="N1696" s="17" t="n">
        <v>0.563723736816406</v>
      </c>
      <c r="O1696" s="18" t="n">
        <v>0.0151057301981418</v>
      </c>
    </row>
    <row r="1697" ht="15" customHeight="1" s="12">
      <c r="A1697" s="14" t="inlineStr">
        <is>
          <t>Upper Dir</t>
        </is>
      </c>
      <c r="B1697" s="14" t="inlineStr">
        <is>
          <t>Khyber Pakhtunkhwa</t>
        </is>
      </c>
      <c r="C1697" s="14" t="n">
        <v>2016</v>
      </c>
      <c r="D1697" s="15" t="n">
        <v>309.991679958656</v>
      </c>
      <c r="E1697" s="15" t="n">
        <v>11435.6538563572</v>
      </c>
      <c r="F1697" s="15" t="n">
        <v>627.587464690208</v>
      </c>
      <c r="G1697" s="15" t="n">
        <v>142.996114253998</v>
      </c>
      <c r="H1697" s="15" t="n">
        <v>95.7223190462114</v>
      </c>
      <c r="I1697" s="16" t="n">
        <v>30.8789961907939</v>
      </c>
      <c r="J1697" s="15" t="n">
        <v>26.4409482300415</v>
      </c>
      <c r="K1697" s="15" t="n">
        <v>3731.85360404326</v>
      </c>
      <c r="L1697" s="15" t="n">
        <v>353.001124909521</v>
      </c>
      <c r="M1697" s="15" t="n">
        <v>-43.0094449508648</v>
      </c>
      <c r="N1697" s="17" t="n">
        <v>0.267663683044434</v>
      </c>
      <c r="O1697" s="18" t="n">
        <v>0.00717240576517886</v>
      </c>
    </row>
    <row r="1698" ht="15" customHeight="1" s="12">
      <c r="A1698" s="14" t="inlineStr">
        <is>
          <t>Upper Dir</t>
        </is>
      </c>
      <c r="B1698" s="14" t="inlineStr">
        <is>
          <t>Khyber Pakhtunkhwa</t>
        </is>
      </c>
      <c r="C1698" s="14" t="n">
        <v>2017</v>
      </c>
      <c r="D1698" s="15" t="n">
        <v>377.323694730883</v>
      </c>
      <c r="E1698" s="15" t="n">
        <v>13919.5450836605</v>
      </c>
      <c r="F1698" s="15" t="n">
        <v>687.922464132309</v>
      </c>
      <c r="G1698" s="15" t="n">
        <v>159.827183246613</v>
      </c>
      <c r="H1698" s="15" t="n">
        <v>131.729326153448</v>
      </c>
      <c r="I1698" s="16" t="n">
        <v>34.9114905830126</v>
      </c>
      <c r="J1698" s="15" t="n">
        <v>24.0577229722547</v>
      </c>
      <c r="K1698" s="15" t="n">
        <v>3731.85360404326</v>
      </c>
      <c r="L1698" s="15" t="n">
        <v>353.001124909521</v>
      </c>
      <c r="M1698" s="15" t="n">
        <v>24.3225698213624</v>
      </c>
      <c r="N1698" s="17" t="n">
        <v>0.12678355670166</v>
      </c>
      <c r="O1698" s="18" t="n">
        <v>0.0033973346801251</v>
      </c>
    </row>
    <row r="1699" ht="15" customHeight="1" s="12">
      <c r="A1699" s="14" t="inlineStr">
        <is>
          <t>Upper Dir</t>
        </is>
      </c>
      <c r="B1699" s="14" t="inlineStr">
        <is>
          <t>Khyber Pakhtunkhwa</t>
        </is>
      </c>
      <c r="C1699" s="14" t="n">
        <v>2018</v>
      </c>
      <c r="D1699" s="15" t="n">
        <v>354.010211955694</v>
      </c>
      <c r="E1699" s="15" t="n">
        <v>13059.5061328126</v>
      </c>
      <c r="F1699" s="15" t="n">
        <v>634.9222984313971</v>
      </c>
      <c r="G1699" s="15" t="n">
        <v>167.245626211166</v>
      </c>
      <c r="H1699" s="15" t="n">
        <v>106.323379887248</v>
      </c>
      <c r="I1699" s="16" t="n">
        <v>30.0339866750947</v>
      </c>
      <c r="J1699" s="15" t="n">
        <v>21.2987137238227</v>
      </c>
      <c r="K1699" s="15" t="n">
        <v>3731.85360404326</v>
      </c>
      <c r="L1699" s="15" t="n">
        <v>353.001124909521</v>
      </c>
      <c r="M1699" s="15" t="n">
        <v>1.00908704617285</v>
      </c>
      <c r="N1699" s="17" t="n">
        <v>0.194858955749512</v>
      </c>
      <c r="O1699" s="18" t="n">
        <v>0.00522150589022015</v>
      </c>
    </row>
    <row r="1700" ht="15" customHeight="1" s="12">
      <c r="A1700" s="14" t="inlineStr">
        <is>
          <t>Upper Dir</t>
        </is>
      </c>
      <c r="B1700" s="14" t="inlineStr">
        <is>
          <t>Khyber Pakhtunkhwa</t>
        </is>
      </c>
      <c r="C1700" s="14" t="n">
        <v>2019</v>
      </c>
      <c r="D1700" s="15" t="n">
        <v>301.749316035036</v>
      </c>
      <c r="E1700" s="15" t="n">
        <v>11131.5914350651</v>
      </c>
      <c r="F1700" s="15" t="n">
        <v>637.133448779583</v>
      </c>
      <c r="G1700" s="15" t="n">
        <v>148.936710784212</v>
      </c>
      <c r="H1700" s="15" t="n">
        <v>90.8200131241809</v>
      </c>
      <c r="I1700" s="16" t="n">
        <v>30.0978356198281</v>
      </c>
      <c r="J1700" s="15" t="n">
        <v>24.1392579993622</v>
      </c>
      <c r="K1700" s="15" t="n">
        <v>3731.85360404326</v>
      </c>
      <c r="L1700" s="15" t="n">
        <v>353.001124909521</v>
      </c>
      <c r="M1700" s="15" t="n">
        <v>-51.2518088744845</v>
      </c>
      <c r="N1700" s="17" t="n">
        <v>0.210227470153809</v>
      </c>
      <c r="O1700" s="18" t="n">
        <v>0.00563332575334785</v>
      </c>
    </row>
    <row r="1701" ht="15" customHeight="1" s="12">
      <c r="A1701" s="14" t="inlineStr">
        <is>
          <t>Upper Dir</t>
        </is>
      </c>
      <c r="B1701" s="14" t="inlineStr">
        <is>
          <t>Khyber Pakhtunkhwa</t>
        </is>
      </c>
      <c r="C1701" s="14" t="n">
        <v>2020</v>
      </c>
      <c r="D1701" s="15" t="n">
        <v>480.371979043587</v>
      </c>
      <c r="E1701" s="15" t="n">
        <v>17721.016497502</v>
      </c>
      <c r="F1701" s="15" t="n">
        <v>913.890473016522</v>
      </c>
      <c r="G1701" s="15" t="n">
        <v>220.909295072313</v>
      </c>
      <c r="H1701" s="15" t="n">
        <v>144.115074187903</v>
      </c>
      <c r="I1701" s="16" t="n">
        <v>30.0007245374375</v>
      </c>
      <c r="J1701" s="15" t="n">
        <v>28.7272244073562</v>
      </c>
      <c r="K1701" s="15" t="n">
        <v>3731.85360404326</v>
      </c>
      <c r="L1701" s="15" t="n">
        <v>353.001124909521</v>
      </c>
      <c r="M1701" s="15" t="n">
        <v>127.370854134066</v>
      </c>
      <c r="N1701" s="17" t="n">
        <v>0.330985555419922</v>
      </c>
      <c r="O1701" s="18" t="n">
        <v>0.00886919988129538</v>
      </c>
    </row>
    <row r="1702" ht="15" customHeight="1" s="12">
      <c r="A1702" s="14" t="inlineStr">
        <is>
          <t>Upper Dir</t>
        </is>
      </c>
      <c r="B1702" s="14" t="inlineStr">
        <is>
          <t>Khyber Pakhtunkhwa</t>
        </is>
      </c>
      <c r="C1702" s="14" t="n">
        <v>2021</v>
      </c>
      <c r="D1702" s="15" t="n">
        <v>323.598700567322</v>
      </c>
      <c r="E1702" s="15" t="n">
        <v>11937.6195146541</v>
      </c>
      <c r="F1702" s="15" t="n">
        <v>585.724381148815</v>
      </c>
      <c r="G1702" s="15" t="n">
        <v>150.460948377848</v>
      </c>
      <c r="H1702" s="15" t="n">
        <v>102.80303845922</v>
      </c>
      <c r="I1702" s="16" t="n">
        <v>31.7686808627442</v>
      </c>
      <c r="J1702" s="15" t="n">
        <v>31.6126288933773</v>
      </c>
      <c r="K1702" s="15" t="n">
        <v>3731.85360404326</v>
      </c>
      <c r="L1702" s="15" t="n">
        <v>353.001124909521</v>
      </c>
      <c r="M1702" s="15" t="n">
        <v>-29.402424342199</v>
      </c>
      <c r="N1702" s="17" t="n">
        <v>0.286312149841309</v>
      </c>
      <c r="O1702" s="18" t="n">
        <v>0.0076721163319779</v>
      </c>
    </row>
    <row r="1703" ht="15" customHeight="1" s="12">
      <c r="A1703" s="14" t="inlineStr">
        <is>
          <t>Upper Dir</t>
        </is>
      </c>
      <c r="B1703" s="14" t="inlineStr">
        <is>
          <t>Khyber Pakhtunkhwa</t>
        </is>
      </c>
      <c r="C1703" s="14" t="n">
        <v>2022</v>
      </c>
      <c r="D1703" s="15" t="n">
        <v>449.422962309102</v>
      </c>
      <c r="E1703" s="15" t="n">
        <v>16579.3012017323</v>
      </c>
      <c r="F1703" s="15" t="n">
        <v>808.686417937279</v>
      </c>
      <c r="G1703" s="15" t="n">
        <v>207.582017540932</v>
      </c>
      <c r="H1703" s="15" t="n">
        <v>148.611700293299</v>
      </c>
      <c r="I1703" s="16" t="n">
        <v>33.0672245872225</v>
      </c>
      <c r="J1703" s="15" t="n">
        <v>31.4669926650367</v>
      </c>
      <c r="K1703" s="15" t="n">
        <v>3731.85360404326</v>
      </c>
      <c r="L1703" s="15" t="n">
        <v>353.001124909521</v>
      </c>
      <c r="M1703" s="15" t="n">
        <v>96.42183739958119</v>
      </c>
      <c r="N1703" s="17" t="n">
        <v>0.170825303344727</v>
      </c>
      <c r="O1703" s="18" t="n">
        <v>0.00457749208488904</v>
      </c>
    </row>
    <row r="1704" ht="15" customHeight="1" s="12">
      <c r="A1704" s="14" t="inlineStr">
        <is>
          <t>Upper Dir</t>
        </is>
      </c>
      <c r="B1704" s="14" t="inlineStr">
        <is>
          <t>Khyber Pakhtunkhwa</t>
        </is>
      </c>
      <c r="C1704" s="14" t="n">
        <v>2023</v>
      </c>
      <c r="D1704" s="15" t="n">
        <v>269.064698561686</v>
      </c>
      <c r="E1704" s="15" t="n">
        <v>9925.84948772461</v>
      </c>
      <c r="F1704" s="15" t="n">
        <v>529.461572289467</v>
      </c>
      <c r="G1704" s="15" t="n">
        <v>119.427354753017</v>
      </c>
      <c r="H1704" s="15" t="n">
        <v>89.3147806821581</v>
      </c>
      <c r="I1704" s="16" t="n">
        <v>33.1945369123486</v>
      </c>
      <c r="J1704" s="15" t="n">
        <v>23.6196449452535</v>
      </c>
      <c r="K1704" s="15" t="n">
        <v>3731.85360404326</v>
      </c>
      <c r="L1704" s="15" t="n">
        <v>353.001124909521</v>
      </c>
      <c r="M1704" s="15" t="n">
        <v>-83.93642634783539</v>
      </c>
      <c r="N1704" s="17" t="n">
        <v>0.195650377746582</v>
      </c>
      <c r="O1704" s="18" t="n">
        <v>0.00524271309931894</v>
      </c>
    </row>
    <row r="1705" ht="15" customHeight="1" s="12">
      <c r="A1705" s="14" t="inlineStr">
        <is>
          <t>Upper Dir</t>
        </is>
      </c>
      <c r="B1705" s="14" t="inlineStr">
        <is>
          <t>Khyber Pakhtunkhwa</t>
        </is>
      </c>
      <c r="C1705" s="14" t="n">
        <v>2024</v>
      </c>
      <c r="D1705" s="15" t="n">
        <v>297.820539340214</v>
      </c>
      <c r="E1705" s="15" t="n">
        <v>10986.6580924447</v>
      </c>
      <c r="F1705" s="15" t="n">
        <v>660.0706049816559</v>
      </c>
      <c r="G1705" s="15" t="n">
        <v>135.898886643314</v>
      </c>
      <c r="H1705" s="15" t="n">
        <v>96.2268656932296</v>
      </c>
      <c r="I1705" s="16" t="n">
        <v>32.3103523707293</v>
      </c>
      <c r="J1705" s="15" t="n">
        <v>22.6848091846497</v>
      </c>
      <c r="K1705" s="15" t="n">
        <v>3731.85360404326</v>
      </c>
      <c r="L1705" s="15" t="n">
        <v>353.001124909521</v>
      </c>
      <c r="M1705" s="15" t="n">
        <v>-55.1805855693066</v>
      </c>
      <c r="N1705" s="17" t="n">
        <v>0.338594942321777</v>
      </c>
      <c r="O1705" s="18" t="n">
        <v>0.00907310356319788</v>
      </c>
    </row>
    <row r="1706" ht="15" customHeight="1" s="12">
      <c r="A1706" s="14" t="inlineStr">
        <is>
          <t>Upper Dir</t>
        </is>
      </c>
      <c r="B1706" s="14" t="inlineStr">
        <is>
          <t>Khyber Pakhtunkhwa</t>
        </is>
      </c>
      <c r="C1706" s="14" t="n">
        <v>2025</v>
      </c>
      <c r="D1706" s="15" t="n">
        <v>304.792719736379</v>
      </c>
      <c r="E1706" s="15" t="n">
        <v>11243.8631943534</v>
      </c>
      <c r="F1706" s="15" t="n">
        <v>538.778470411897</v>
      </c>
      <c r="G1706" s="15" t="n">
        <v>135.314109027386</v>
      </c>
      <c r="H1706" s="15" t="n">
        <v>103.150512143283</v>
      </c>
      <c r="I1706" s="16" t="n">
        <v>33.8428398921405</v>
      </c>
      <c r="J1706" s="15" t="n">
        <v>29.3200807909004</v>
      </c>
      <c r="K1706" s="15" t="n">
        <v>3731.85360404326</v>
      </c>
      <c r="L1706" s="15" t="n">
        <v>353.001124909521</v>
      </c>
      <c r="M1706" s="15" t="n">
        <v>-48.2084051731421</v>
      </c>
      <c r="N1706" s="17" t="n">
        <v>0.215438700012207</v>
      </c>
      <c r="O1706" s="18" t="n">
        <v>0.00577296761531029</v>
      </c>
    </row>
    <row r="1707" ht="15" customHeight="1" s="12">
      <c r="A1707" s="14" t="inlineStr">
        <is>
          <t>Vehari</t>
        </is>
      </c>
      <c r="B1707" s="14" t="inlineStr">
        <is>
          <t>Punjab</t>
        </is>
      </c>
      <c r="C1707" s="14" t="n">
        <v>2015</v>
      </c>
      <c r="D1707" s="15" t="n">
        <v>174.013789898058</v>
      </c>
      <c r="E1707" s="15" t="n">
        <v>7327.68657225628</v>
      </c>
      <c r="F1707" s="15" t="n">
        <v>242.604699969292</v>
      </c>
      <c r="G1707" s="15" t="n">
        <v>144.835355997086</v>
      </c>
      <c r="H1707" s="15" t="n">
        <v>22.2894340984771</v>
      </c>
      <c r="I1707" s="16" t="n">
        <v>12.8090044539199</v>
      </c>
      <c r="J1707" s="15" t="n">
        <v>23.5048426150121</v>
      </c>
      <c r="K1707" s="15" t="n">
        <v>4504.6348444336</v>
      </c>
      <c r="L1707" s="15" t="n">
        <v>164.64290406126</v>
      </c>
      <c r="M1707" s="15" t="n">
        <v>9.37088583679798</v>
      </c>
      <c r="N1707" s="17" t="n">
        <v>3.11538399072098</v>
      </c>
      <c r="O1707" s="18" t="n">
        <v>0.06915952343108719</v>
      </c>
    </row>
    <row r="1708" ht="15" customHeight="1" s="12">
      <c r="A1708" s="14" t="inlineStr">
        <is>
          <t>Vehari</t>
        </is>
      </c>
      <c r="B1708" s="14" t="inlineStr">
        <is>
          <t>Punjab</t>
        </is>
      </c>
      <c r="C1708" s="14" t="n">
        <v>2016</v>
      </c>
      <c r="D1708" s="15" t="n">
        <v>122.785569847418</v>
      </c>
      <c r="E1708" s="15" t="n">
        <v>5170.47627067285</v>
      </c>
      <c r="F1708" s="15" t="n">
        <v>176.322068214417</v>
      </c>
      <c r="G1708" s="15" t="n">
        <v>98.3980903625488</v>
      </c>
      <c r="H1708" s="15" t="n">
        <v>17.873847621349</v>
      </c>
      <c r="I1708" s="16" t="n">
        <v>14.5569610855415</v>
      </c>
      <c r="J1708" s="15" t="n">
        <v>15.9230769230769</v>
      </c>
      <c r="K1708" s="15" t="n">
        <v>4504.6348444336</v>
      </c>
      <c r="L1708" s="15" t="n">
        <v>164.64290406126</v>
      </c>
      <c r="M1708" s="15" t="n">
        <v>-41.8573342138421</v>
      </c>
      <c r="N1708" s="17" t="n">
        <v>4.17745157305596</v>
      </c>
      <c r="O1708" s="18" t="n">
        <v>0.09273674154117199</v>
      </c>
    </row>
    <row r="1709" ht="15" customHeight="1" s="12">
      <c r="A1709" s="14" t="inlineStr">
        <is>
          <t>Vehari</t>
        </is>
      </c>
      <c r="B1709" s="14" t="inlineStr">
        <is>
          <t>Punjab</t>
        </is>
      </c>
      <c r="C1709" s="14" t="n">
        <v>2017</v>
      </c>
      <c r="D1709" s="15" t="n">
        <v>150.696379273264</v>
      </c>
      <c r="E1709" s="15" t="n">
        <v>6345.79498288748</v>
      </c>
      <c r="F1709" s="15" t="n">
        <v>185.00926399231</v>
      </c>
      <c r="G1709" s="15" t="n">
        <v>116.749436616898</v>
      </c>
      <c r="H1709" s="15" t="n">
        <v>13.0929359657847</v>
      </c>
      <c r="I1709" s="16" t="n">
        <v>8.68828835100461</v>
      </c>
      <c r="J1709" s="15" t="n">
        <v>19.7920469361147</v>
      </c>
      <c r="K1709" s="15" t="n">
        <v>4504.6348444336</v>
      </c>
      <c r="L1709" s="15" t="n">
        <v>164.64290406126</v>
      </c>
      <c r="M1709" s="15" t="n">
        <v>-13.9465247879964</v>
      </c>
      <c r="N1709" s="17" t="n">
        <v>1.22924394919697</v>
      </c>
      <c r="O1709" s="18" t="n">
        <v>0.0272884260688955</v>
      </c>
    </row>
    <row r="1710" ht="15" customHeight="1" s="12">
      <c r="A1710" s="14" t="inlineStr">
        <is>
          <t>Vehari</t>
        </is>
      </c>
      <c r="B1710" s="14" t="inlineStr">
        <is>
          <t>Punjab</t>
        </is>
      </c>
      <c r="C1710" s="14" t="n">
        <v>2018</v>
      </c>
      <c r="D1710" s="15" t="n">
        <v>114.625171981027</v>
      </c>
      <c r="E1710" s="15" t="n">
        <v>4826.84351659714</v>
      </c>
      <c r="F1710" s="15" t="n">
        <v>161.616279959679</v>
      </c>
      <c r="G1710" s="15" t="n">
        <v>70.98739656805991</v>
      </c>
      <c r="H1710" s="15" t="n">
        <v>19.5381443096691</v>
      </c>
      <c r="I1710" s="16" t="n">
        <v>17.0452475420522</v>
      </c>
      <c r="J1710" s="15" t="n">
        <v>15.5767368224995</v>
      </c>
      <c r="K1710" s="15" t="n">
        <v>4504.6348444336</v>
      </c>
      <c r="L1710" s="15" t="n">
        <v>164.64290406126</v>
      </c>
      <c r="M1710" s="15" t="n">
        <v>-50.0177320802331</v>
      </c>
      <c r="N1710" s="17" t="n">
        <v>1.09569154346852</v>
      </c>
      <c r="O1710" s="18" t="n">
        <v>0.0243236484489408</v>
      </c>
    </row>
    <row r="1711" ht="15" customHeight="1" s="12">
      <c r="A1711" s="14" t="inlineStr">
        <is>
          <t>Vehari</t>
        </is>
      </c>
      <c r="B1711" s="14" t="inlineStr">
        <is>
          <t>Punjab</t>
        </is>
      </c>
      <c r="C1711" s="14" t="n">
        <v>2019</v>
      </c>
      <c r="D1711" s="15" t="n">
        <v>110.575819984824</v>
      </c>
      <c r="E1711" s="15" t="n">
        <v>4656.32609802759</v>
      </c>
      <c r="F1711" s="15" t="n">
        <v>160.868433833122</v>
      </c>
      <c r="G1711" s="15" t="n">
        <v>88.55986708402629</v>
      </c>
      <c r="H1711" s="15" t="n">
        <v>18.5048003424582</v>
      </c>
      <c r="I1711" s="16" t="n">
        <v>16.7349429061417</v>
      </c>
      <c r="J1711" s="15" t="n">
        <v>15.3208232445521</v>
      </c>
      <c r="K1711" s="15" t="n">
        <v>4504.6348444336</v>
      </c>
      <c r="L1711" s="15" t="n">
        <v>164.64290406126</v>
      </c>
      <c r="M1711" s="15" t="n">
        <v>-54.0670840764368</v>
      </c>
      <c r="N1711" s="17" t="n">
        <v>2.33572602134244</v>
      </c>
      <c r="O1711" s="18" t="n">
        <v>0.0518516173231822</v>
      </c>
    </row>
    <row r="1712" ht="15" customHeight="1" s="12">
      <c r="A1712" s="14" t="inlineStr">
        <is>
          <t>Vehari</t>
        </is>
      </c>
      <c r="B1712" s="14" t="inlineStr">
        <is>
          <t>Punjab</t>
        </is>
      </c>
      <c r="C1712" s="14" t="n">
        <v>2020</v>
      </c>
      <c r="D1712" s="15" t="n">
        <v>146.900557049428</v>
      </c>
      <c r="E1712" s="15" t="n">
        <v>6185.95365332062</v>
      </c>
      <c r="F1712" s="15" t="n">
        <v>202.252993918311</v>
      </c>
      <c r="G1712" s="15" t="n">
        <v>111.434312353649</v>
      </c>
      <c r="H1712" s="15" t="n">
        <v>18.5017140488891</v>
      </c>
      <c r="I1712" s="16" t="n">
        <v>12.5947201430038</v>
      </c>
      <c r="J1712" s="15" t="n">
        <v>17.2552616874651</v>
      </c>
      <c r="K1712" s="15" t="n">
        <v>4504.6348444336</v>
      </c>
      <c r="L1712" s="15" t="n">
        <v>164.64290406126</v>
      </c>
      <c r="M1712" s="15" t="n">
        <v>-17.7423470118323</v>
      </c>
      <c r="N1712" s="17" t="n">
        <v>0.791690735861625</v>
      </c>
      <c r="O1712" s="18" t="n">
        <v>0.0175750257945973</v>
      </c>
    </row>
    <row r="1713" ht="15" customHeight="1" s="12">
      <c r="A1713" s="14" t="inlineStr">
        <is>
          <t>Vehari</t>
        </is>
      </c>
      <c r="B1713" s="14" t="inlineStr">
        <is>
          <t>Punjab</t>
        </is>
      </c>
      <c r="C1713" s="14" t="n">
        <v>2021</v>
      </c>
      <c r="D1713" s="15" t="n">
        <v>96.7573187445674</v>
      </c>
      <c r="E1713" s="15" t="n">
        <v>4074.43172031045</v>
      </c>
      <c r="F1713" s="15" t="n">
        <v>132.52866435051</v>
      </c>
      <c r="G1713" s="15" t="n">
        <v>71.2094540596008</v>
      </c>
      <c r="H1713" s="15" t="n">
        <v>15.7659858850929</v>
      </c>
      <c r="I1713" s="16" t="n">
        <v>16.2943600439301</v>
      </c>
      <c r="J1713" s="15" t="n">
        <v>10.3653380517787</v>
      </c>
      <c r="K1713" s="15" t="n">
        <v>4504.6348444336</v>
      </c>
      <c r="L1713" s="15" t="n">
        <v>164.64290406126</v>
      </c>
      <c r="M1713" s="15" t="n">
        <v>-67.8855853166929</v>
      </c>
      <c r="N1713" s="17" t="n">
        <v>1.10275314731445</v>
      </c>
      <c r="O1713" s="18" t="n">
        <v>0.0244804115183083</v>
      </c>
    </row>
    <row r="1714" ht="15" customHeight="1" s="12">
      <c r="A1714" s="14" t="inlineStr">
        <is>
          <t>Vehari</t>
        </is>
      </c>
      <c r="B1714" s="14" t="inlineStr">
        <is>
          <t>Punjab</t>
        </is>
      </c>
      <c r="C1714" s="14" t="n">
        <v>2022</v>
      </c>
      <c r="D1714" s="15" t="n">
        <v>249.153879082187</v>
      </c>
      <c r="E1714" s="15" t="n">
        <v>10491.8209944491</v>
      </c>
      <c r="F1714" s="15" t="n">
        <v>300.715015649796</v>
      </c>
      <c r="G1714" s="15" t="n">
        <v>198.433591715395</v>
      </c>
      <c r="H1714" s="15" t="n">
        <v>21.6681069024189</v>
      </c>
      <c r="I1714" s="16" t="n">
        <v>8.696676520645839</v>
      </c>
      <c r="J1714" s="15" t="n">
        <v>28.289905010244</v>
      </c>
      <c r="K1714" s="15" t="n">
        <v>4504.6348444336</v>
      </c>
      <c r="L1714" s="15" t="n">
        <v>164.64290406126</v>
      </c>
      <c r="M1714" s="15" t="n">
        <v>84.51097502092691</v>
      </c>
      <c r="N1714" s="17" t="n">
        <v>3.69699059556574</v>
      </c>
      <c r="O1714" s="18" t="n">
        <v>0.0820708164643829</v>
      </c>
    </row>
    <row r="1715" ht="15" customHeight="1" s="12">
      <c r="A1715" s="14" t="inlineStr">
        <is>
          <t>Vehari</t>
        </is>
      </c>
      <c r="B1715" s="14" t="inlineStr">
        <is>
          <t>Punjab</t>
        </is>
      </c>
      <c r="C1715" s="14" t="n">
        <v>2023</v>
      </c>
      <c r="D1715" s="15" t="n">
        <v>163.40742984562</v>
      </c>
      <c r="E1715" s="15" t="n">
        <v>6881.05483012655</v>
      </c>
      <c r="F1715" s="15" t="n">
        <v>226.033382177353</v>
      </c>
      <c r="G1715" s="15" t="n">
        <v>118.720220804215</v>
      </c>
      <c r="H1715" s="15" t="n">
        <v>22.3553425394519</v>
      </c>
      <c r="I1715" s="16" t="n">
        <v>13.6807381161139</v>
      </c>
      <c r="J1715" s="15" t="n">
        <v>17.767926988266</v>
      </c>
      <c r="K1715" s="15" t="n">
        <v>4504.6348444336</v>
      </c>
      <c r="L1715" s="15" t="n">
        <v>164.64290406126</v>
      </c>
      <c r="M1715" s="15" t="n">
        <v>-1.23547421564004</v>
      </c>
      <c r="N1715" s="17" t="n">
        <v>6.23777956240402</v>
      </c>
      <c r="O1715" s="18" t="n">
        <v>0.138474699455652</v>
      </c>
    </row>
    <row r="1716" ht="15" customHeight="1" s="12">
      <c r="A1716" s="14" t="inlineStr">
        <is>
          <t>Vehari</t>
        </is>
      </c>
      <c r="B1716" s="14" t="inlineStr">
        <is>
          <t>Punjab</t>
        </is>
      </c>
      <c r="C1716" s="14" t="n">
        <v>2024</v>
      </c>
      <c r="D1716" s="15" t="n">
        <v>244.045217565655</v>
      </c>
      <c r="E1716" s="15" t="n">
        <v>10276.6962596863</v>
      </c>
      <c r="F1716" s="15" t="n">
        <v>326.670596659184</v>
      </c>
      <c r="G1716" s="15" t="n">
        <v>204.596261614934</v>
      </c>
      <c r="H1716" s="15" t="n">
        <v>24.5089402414396</v>
      </c>
      <c r="I1716" s="16" t="n">
        <v>10.042786531904</v>
      </c>
      <c r="J1716" s="15" t="n">
        <v>28.184857515366</v>
      </c>
      <c r="K1716" s="15" t="n">
        <v>4504.6348444336</v>
      </c>
      <c r="L1716" s="15" t="n">
        <v>164.64290406126</v>
      </c>
      <c r="M1716" s="15" t="n">
        <v>79.402313504395</v>
      </c>
      <c r="N1716" s="17" t="n">
        <v>2.56358952308326</v>
      </c>
      <c r="O1716" s="18" t="n">
        <v>0.0569100406939998</v>
      </c>
    </row>
    <row r="1717" ht="15" customHeight="1" s="12">
      <c r="A1717" s="14" t="inlineStr">
        <is>
          <t>Vehari</t>
        </is>
      </c>
      <c r="B1717" s="14" t="inlineStr">
        <is>
          <t>Punjab</t>
        </is>
      </c>
      <c r="C1717" s="14" t="n">
        <v>2025</v>
      </c>
      <c r="D1717" s="15" t="n">
        <v>238.110811401814</v>
      </c>
      <c r="E1717" s="15" t="n">
        <v>10026.799579736</v>
      </c>
      <c r="F1717" s="15" t="n">
        <v>379.742944099009</v>
      </c>
      <c r="G1717" s="15" t="n">
        <v>146.417861664598</v>
      </c>
      <c r="H1717" s="15" t="n">
        <v>53.076236894008</v>
      </c>
      <c r="I1717" s="16" t="n">
        <v>22.2905615169407</v>
      </c>
      <c r="J1717" s="15" t="n">
        <v>24.872974483144</v>
      </c>
      <c r="K1717" s="15" t="n">
        <v>4504.6348444336</v>
      </c>
      <c r="L1717" s="15" t="n">
        <v>164.64290406126</v>
      </c>
      <c r="M1717" s="15" t="n">
        <v>73.46790734055401</v>
      </c>
      <c r="N1717" s="17" t="n">
        <v>3.19488147419289</v>
      </c>
      <c r="O1717" s="18" t="n">
        <v>0.07092431649905701</v>
      </c>
    </row>
    <row r="1718" ht="15" customHeight="1" s="12">
      <c r="A1718" s="14" t="inlineStr">
        <is>
          <t>Washuk</t>
        </is>
      </c>
      <c r="B1718" s="14" t="inlineStr">
        <is>
          <t>Balochistan</t>
        </is>
      </c>
      <c r="C1718" s="14" t="n">
        <v>2015</v>
      </c>
      <c r="D1718" s="15" t="n">
        <v>3.87155406671862</v>
      </c>
      <c r="E1718" s="15" t="n">
        <v>1382.79765211215</v>
      </c>
      <c r="F1718" s="15" t="n">
        <v>38.7542043924332</v>
      </c>
      <c r="G1718" s="15" t="n">
        <v>0</v>
      </c>
      <c r="H1718" s="15" t="n">
        <v>5.59370518610424</v>
      </c>
      <c r="I1718" s="16" t="n">
        <v>144.482166326693</v>
      </c>
      <c r="J1718" s="15" t="n">
        <v>1.78266979951251</v>
      </c>
      <c r="K1718" s="15" t="n">
        <v>39092.4528516422</v>
      </c>
      <c r="L1718" s="15" t="n">
        <v>21.746234986233</v>
      </c>
      <c r="M1718" s="15" t="n">
        <v>-17.8746809195144</v>
      </c>
      <c r="N1718" s="17" t="n">
        <v>0.415433975952148</v>
      </c>
      <c r="O1718" s="18" t="n">
        <v>0.00106269611049668</v>
      </c>
    </row>
    <row r="1719" ht="15" customHeight="1" s="12">
      <c r="A1719" s="14" t="inlineStr">
        <is>
          <t>Washuk</t>
        </is>
      </c>
      <c r="B1719" s="14" t="inlineStr">
        <is>
          <t>Balochistan</t>
        </is>
      </c>
      <c r="C1719" s="14" t="n">
        <v>2016</v>
      </c>
      <c r="D1719" s="15" t="n">
        <v>16.6241455982388</v>
      </c>
      <c r="E1719" s="15" t="n">
        <v>5937.62326586822</v>
      </c>
      <c r="F1719" s="15" t="n">
        <v>80.7783380746841</v>
      </c>
      <c r="G1719" s="15" t="n">
        <v>0.697784662246704</v>
      </c>
      <c r="H1719" s="15" t="n">
        <v>13.3493467825336</v>
      </c>
      <c r="I1719" s="16" t="n">
        <v>80.3009496256328</v>
      </c>
      <c r="J1719" s="15" t="n">
        <v>6.08255561167352</v>
      </c>
      <c r="K1719" s="15" t="n">
        <v>39092.4528516422</v>
      </c>
      <c r="L1719" s="15" t="n">
        <v>21.746234986233</v>
      </c>
      <c r="M1719" s="15" t="n">
        <v>-5.12208938799417</v>
      </c>
      <c r="N1719" s="17" t="n">
        <v>0.312117666503906</v>
      </c>
      <c r="O1719" s="18" t="n">
        <v>0.000798409011806981</v>
      </c>
    </row>
    <row r="1720" ht="15" customHeight="1" s="12">
      <c r="A1720" s="14" t="inlineStr">
        <is>
          <t>Washuk</t>
        </is>
      </c>
      <c r="B1720" s="14" t="inlineStr">
        <is>
          <t>Balochistan</t>
        </is>
      </c>
      <c r="C1720" s="14" t="n">
        <v>2017</v>
      </c>
      <c r="D1720" s="15" t="n">
        <v>9.48172437833623</v>
      </c>
      <c r="E1720" s="15" t="n">
        <v>3386.57448207885</v>
      </c>
      <c r="F1720" s="15" t="n">
        <v>52.4670052528381</v>
      </c>
      <c r="G1720" s="15" t="n">
        <v>0</v>
      </c>
      <c r="H1720" s="15" t="n">
        <v>9.23903061662571</v>
      </c>
      <c r="I1720" s="16" t="n">
        <v>97.4404048037398</v>
      </c>
      <c r="J1720" s="15" t="n">
        <v>4.10658995586201</v>
      </c>
      <c r="K1720" s="15" t="n">
        <v>39092.4528516422</v>
      </c>
      <c r="L1720" s="15" t="n">
        <v>21.746234986233</v>
      </c>
      <c r="M1720" s="15" t="n">
        <v>-12.2645106078968</v>
      </c>
      <c r="N1720" s="17" t="n">
        <v>0.111079457336426</v>
      </c>
      <c r="O1720" s="18" t="n">
        <v>0.000284145529977303</v>
      </c>
    </row>
    <row r="1721" ht="15" customHeight="1" s="12">
      <c r="A1721" s="14" t="inlineStr">
        <is>
          <t>Washuk</t>
        </is>
      </c>
      <c r="B1721" s="14" t="inlineStr">
        <is>
          <t>Balochistan</t>
        </is>
      </c>
      <c r="C1721" s="14" t="n">
        <v>2018</v>
      </c>
      <c r="D1721" s="15" t="n">
        <v>7.42170765766585</v>
      </c>
      <c r="E1721" s="15" t="n">
        <v>2650.80113743094</v>
      </c>
      <c r="F1721" s="15" t="n">
        <v>45.3840852635913</v>
      </c>
      <c r="G1721" s="15" t="n">
        <v>0.64068990945816</v>
      </c>
      <c r="H1721" s="15" t="n">
        <v>7.8943675750147</v>
      </c>
      <c r="I1721" s="16" t="n">
        <v>106.368614059605</v>
      </c>
      <c r="J1721" s="15" t="n">
        <v>2.92795186543402</v>
      </c>
      <c r="K1721" s="15" t="n">
        <v>39092.4528516422</v>
      </c>
      <c r="L1721" s="15" t="n">
        <v>21.746234986233</v>
      </c>
      <c r="M1721" s="15" t="n">
        <v>-14.3245273285671</v>
      </c>
      <c r="N1721" s="17" t="n">
        <v>0.310508124140721</v>
      </c>
      <c r="O1721" s="18" t="n">
        <v>0.000794291740452088</v>
      </c>
    </row>
    <row r="1722" ht="15" customHeight="1" s="12">
      <c r="A1722" s="14" t="inlineStr">
        <is>
          <t>Washuk</t>
        </is>
      </c>
      <c r="B1722" s="14" t="inlineStr">
        <is>
          <t>Balochistan</t>
        </is>
      </c>
      <c r="C1722" s="14" t="n">
        <v>2019</v>
      </c>
      <c r="D1722" s="15" t="n">
        <v>15.7157958775523</v>
      </c>
      <c r="E1722" s="15" t="n">
        <v>5613.18924288513</v>
      </c>
      <c r="F1722" s="15" t="n">
        <v>104.574198377901</v>
      </c>
      <c r="G1722" s="15" t="n">
        <v>0.333817824721336</v>
      </c>
      <c r="H1722" s="15" t="n">
        <v>17.47790369788</v>
      </c>
      <c r="I1722" s="16" t="n">
        <v>111.212335882045</v>
      </c>
      <c r="J1722" s="15" t="n">
        <v>5.78098992072729</v>
      </c>
      <c r="K1722" s="15" t="n">
        <v>39092.4528516422</v>
      </c>
      <c r="L1722" s="15" t="n">
        <v>21.746234986233</v>
      </c>
      <c r="M1722" s="15" t="n">
        <v>-6.03043910868071</v>
      </c>
      <c r="N1722" s="17" t="n">
        <v>0.430039455688477</v>
      </c>
      <c r="O1722" s="18" t="n">
        <v>0.00110005749017719</v>
      </c>
    </row>
    <row r="1723" ht="15" customHeight="1" s="12">
      <c r="A1723" s="14" t="inlineStr">
        <is>
          <t>Washuk</t>
        </is>
      </c>
      <c r="B1723" s="14" t="inlineStr">
        <is>
          <t>Balochistan</t>
        </is>
      </c>
      <c r="C1723" s="14" t="n">
        <v>2020</v>
      </c>
      <c r="D1723" s="15" t="n">
        <v>27.0999843174726</v>
      </c>
      <c r="E1723" s="15" t="n">
        <v>9679.26420261479</v>
      </c>
      <c r="F1723" s="15" t="n">
        <v>162.32065953058</v>
      </c>
      <c r="G1723" s="15" t="n">
        <v>5.21247762441635</v>
      </c>
      <c r="H1723" s="15" t="n">
        <v>25.242270781413</v>
      </c>
      <c r="I1723" s="16" t="n">
        <v>93.1449645346773</v>
      </c>
      <c r="J1723" s="15" t="n">
        <v>8.67268714728036</v>
      </c>
      <c r="K1723" s="15" t="n">
        <v>39092.4528516422</v>
      </c>
      <c r="L1723" s="15" t="n">
        <v>21.746234986233</v>
      </c>
      <c r="M1723" s="15" t="n">
        <v>5.35374933123962</v>
      </c>
      <c r="N1723" s="17" t="n">
        <v>0.4271078671875</v>
      </c>
      <c r="O1723" s="18" t="n">
        <v>0.00109255837388459</v>
      </c>
    </row>
    <row r="1724" ht="15" customHeight="1" s="12">
      <c r="A1724" s="14" t="inlineStr">
        <is>
          <t>Washuk</t>
        </is>
      </c>
      <c r="B1724" s="14" t="inlineStr">
        <is>
          <t>Balochistan</t>
        </is>
      </c>
      <c r="C1724" s="14" t="n">
        <v>2021</v>
      </c>
      <c r="D1724" s="15" t="n">
        <v>23.9929647846879</v>
      </c>
      <c r="E1724" s="15" t="n">
        <v>8569.53430062667</v>
      </c>
      <c r="F1724" s="15" t="n">
        <v>97.3276522159576</v>
      </c>
      <c r="G1724" s="15" t="n">
        <v>5.53107035160065</v>
      </c>
      <c r="H1724" s="15" t="n">
        <v>15.7853207173316</v>
      </c>
      <c r="I1724" s="16" t="n">
        <v>65.7914553661401</v>
      </c>
      <c r="J1724" s="15" t="n">
        <v>5.43836052614243</v>
      </c>
      <c r="K1724" s="15" t="n">
        <v>39092.4528516422</v>
      </c>
      <c r="L1724" s="15" t="n">
        <v>21.746234986233</v>
      </c>
      <c r="M1724" s="15" t="n">
        <v>2.24672979845486</v>
      </c>
      <c r="N1724" s="17" t="n">
        <v>0.377415682678223</v>
      </c>
      <c r="O1724" s="18" t="n">
        <v>0.000965443852066623</v>
      </c>
    </row>
    <row r="1725" ht="15" customHeight="1" s="12">
      <c r="A1725" s="14" t="inlineStr">
        <is>
          <t>Washuk</t>
        </is>
      </c>
      <c r="B1725" s="14" t="inlineStr">
        <is>
          <t>Balochistan</t>
        </is>
      </c>
      <c r="C1725" s="14" t="n">
        <v>2022</v>
      </c>
      <c r="D1725" s="15" t="n">
        <v>65.7338183565047</v>
      </c>
      <c r="E1725" s="15" t="n">
        <v>23478.0576795048</v>
      </c>
      <c r="F1725" s="15" t="n">
        <v>308.137031614315</v>
      </c>
      <c r="G1725" s="15" t="n">
        <v>16.7623802870512</v>
      </c>
      <c r="H1725" s="15" t="n">
        <v>46.317390552475</v>
      </c>
      <c r="I1725" s="16" t="n">
        <v>70.4620417777567</v>
      </c>
      <c r="J1725" s="15" t="n">
        <v>19.3357451854455</v>
      </c>
      <c r="K1725" s="15" t="n">
        <v>39092.4528516422</v>
      </c>
      <c r="L1725" s="15" t="n">
        <v>21.746234986233</v>
      </c>
      <c r="M1725" s="15" t="n">
        <v>43.9875833702717</v>
      </c>
      <c r="N1725" s="17" t="n">
        <v>1.2850066328125</v>
      </c>
      <c r="O1725" s="18" t="n">
        <v>0.0032870964574394</v>
      </c>
    </row>
    <row r="1726" ht="15" customHeight="1" s="12">
      <c r="A1726" s="14" t="inlineStr">
        <is>
          <t>Washuk</t>
        </is>
      </c>
      <c r="B1726" s="14" t="inlineStr">
        <is>
          <t>Balochistan</t>
        </is>
      </c>
      <c r="C1726" s="14" t="n">
        <v>2023</v>
      </c>
      <c r="D1726" s="15" t="n">
        <v>20.0474229929501</v>
      </c>
      <c r="E1726" s="15" t="n">
        <v>7160.3105543212</v>
      </c>
      <c r="F1726" s="15" t="n">
        <v>86.6220145225525</v>
      </c>
      <c r="G1726" s="15" t="n">
        <v>0</v>
      </c>
      <c r="H1726" s="15" t="n">
        <v>17.9968071803692</v>
      </c>
      <c r="I1726" s="16" t="n">
        <v>89.77117501186071</v>
      </c>
      <c r="J1726" s="15" t="n">
        <v>6.77241485320275</v>
      </c>
      <c r="K1726" s="15" t="n">
        <v>39092.4528516422</v>
      </c>
      <c r="L1726" s="15" t="n">
        <v>21.746234986233</v>
      </c>
      <c r="M1726" s="15" t="n">
        <v>-1.69881199328294</v>
      </c>
      <c r="N1726" s="17" t="n">
        <v>0.457492744750977</v>
      </c>
      <c r="O1726" s="18" t="n">
        <v>0.00117028406093418</v>
      </c>
    </row>
    <row r="1727" ht="15" customHeight="1" s="12">
      <c r="A1727" s="14" t="inlineStr">
        <is>
          <t>Washuk</t>
        </is>
      </c>
      <c r="B1727" s="14" t="inlineStr">
        <is>
          <t>Balochistan</t>
        </is>
      </c>
      <c r="C1727" s="14" t="n">
        <v>2024</v>
      </c>
      <c r="D1727" s="15" t="n">
        <v>26.7058721618298</v>
      </c>
      <c r="E1727" s="15" t="n">
        <v>9538.4997049221</v>
      </c>
      <c r="F1727" s="15" t="n">
        <v>122.59047740887</v>
      </c>
      <c r="G1727" s="15" t="n">
        <v>5.96082913553391</v>
      </c>
      <c r="H1727" s="15" t="n">
        <v>22.2765404568214</v>
      </c>
      <c r="I1727" s="16" t="n">
        <v>83.4143903701481</v>
      </c>
      <c r="J1727" s="15" t="n">
        <v>9.685654054766241</v>
      </c>
      <c r="K1727" s="15" t="n">
        <v>39092.4528516422</v>
      </c>
      <c r="L1727" s="15" t="n">
        <v>21.746234986233</v>
      </c>
      <c r="M1727" s="15" t="n">
        <v>4.9596371755968</v>
      </c>
      <c r="N1727" s="17" t="n">
        <v>0.293626040344238</v>
      </c>
      <c r="O1727" s="18" t="n">
        <v>0.0007511067199046419</v>
      </c>
    </row>
    <row r="1728" ht="15" customHeight="1" s="12">
      <c r="A1728" s="14" t="inlineStr">
        <is>
          <t>Washuk</t>
        </is>
      </c>
      <c r="B1728" s="14" t="inlineStr">
        <is>
          <t>Balochistan</t>
        </is>
      </c>
      <c r="C1728" s="14" t="n">
        <v>2025</v>
      </c>
      <c r="D1728" s="15" t="n">
        <v>22.5135946566061</v>
      </c>
      <c r="E1728" s="15" t="n">
        <v>8041.14970248773</v>
      </c>
      <c r="F1728" s="15" t="n">
        <v>100.830995566922</v>
      </c>
      <c r="G1728" s="15" t="n">
        <v>1.98088175193334</v>
      </c>
      <c r="H1728" s="15" t="n">
        <v>20.0986877961728</v>
      </c>
      <c r="I1728" s="16" t="n">
        <v>89.27356160903101</v>
      </c>
      <c r="J1728" s="15" t="n">
        <v>8.37927929906234</v>
      </c>
      <c r="K1728" s="15" t="n">
        <v>39092.4528516422</v>
      </c>
      <c r="L1728" s="15" t="n">
        <v>21.746234986233</v>
      </c>
      <c r="M1728" s="15" t="n">
        <v>0.767359670373129</v>
      </c>
      <c r="N1728" s="17" t="n">
        <v>0.326840696899414</v>
      </c>
      <c r="O1728" s="18" t="n">
        <v>0.00083607109060102</v>
      </c>
    </row>
    <row r="1729" ht="15" customHeight="1" s="12">
      <c r="A1729" s="14" t="inlineStr">
        <is>
          <t>West Karachi</t>
        </is>
      </c>
      <c r="B1729" s="14" t="inlineStr">
        <is>
          <t>Sindh</t>
        </is>
      </c>
      <c r="C1729" s="14" t="n">
        <v>2015</v>
      </c>
      <c r="D1729" s="15" t="n">
        <v>143.671678069331</v>
      </c>
      <c r="E1729" s="15" t="n">
        <v>311.006926644199</v>
      </c>
      <c r="F1729" s="15" t="n">
        <v>150.843888163567</v>
      </c>
      <c r="G1729" s="15" t="n">
        <v>125.811366975308</v>
      </c>
      <c r="H1729" s="15" t="n">
        <v>8.72053480540565</v>
      </c>
      <c r="I1729" s="16" t="n">
        <v>6.0697660962778</v>
      </c>
      <c r="J1729" s="15" t="n">
        <v>8.79891304347826</v>
      </c>
      <c r="K1729" s="15" t="n">
        <v>242.272534218419</v>
      </c>
      <c r="L1729" s="15" t="n">
        <v>239.566308952874</v>
      </c>
      <c r="M1729" s="15" t="n">
        <v>-95.8946308835432</v>
      </c>
      <c r="N1729" s="17" t="n">
        <v>0.198723912660127</v>
      </c>
      <c r="O1729" s="18" t="n">
        <v>0.0820249448833391</v>
      </c>
    </row>
    <row r="1730" ht="15" customHeight="1" s="12">
      <c r="A1730" s="14" t="inlineStr">
        <is>
          <t>West Karachi</t>
        </is>
      </c>
      <c r="B1730" s="14" t="inlineStr">
        <is>
          <t>Sindh</t>
        </is>
      </c>
      <c r="C1730" s="14" t="n">
        <v>2016</v>
      </c>
      <c r="D1730" s="15" t="n">
        <v>158.737906850767</v>
      </c>
      <c r="E1730" s="15" t="n">
        <v>343.620880712247</v>
      </c>
      <c r="F1730" s="15" t="n">
        <v>170.769127249718</v>
      </c>
      <c r="G1730" s="15" t="n">
        <v>149.620383501053</v>
      </c>
      <c r="H1730" s="15" t="n">
        <v>6.03937691492155</v>
      </c>
      <c r="I1730" s="16" t="n">
        <v>3.80462174079146</v>
      </c>
      <c r="J1730" s="15" t="n">
        <v>14.6811594202899</v>
      </c>
      <c r="K1730" s="15" t="n">
        <v>242.272534218419</v>
      </c>
      <c r="L1730" s="15" t="n">
        <v>239.566308952874</v>
      </c>
      <c r="M1730" s="15" t="n">
        <v>-80.8284021021079</v>
      </c>
      <c r="N1730" s="17" t="n">
        <v>0.34806425134397</v>
      </c>
      <c r="O1730" s="18" t="n">
        <v>0.143666409593989</v>
      </c>
    </row>
    <row r="1731" ht="15" customHeight="1" s="12">
      <c r="A1731" s="14" t="inlineStr">
        <is>
          <t>West Karachi</t>
        </is>
      </c>
      <c r="B1731" s="14" t="inlineStr">
        <is>
          <t>Sindh</t>
        </is>
      </c>
      <c r="C1731" s="14" t="n">
        <v>2017</v>
      </c>
      <c r="D1731" s="15" t="n">
        <v>241.576805766942</v>
      </c>
      <c r="E1731" s="15" t="n">
        <v>522.942732483733</v>
      </c>
      <c r="F1731" s="15" t="n">
        <v>250.203783988953</v>
      </c>
      <c r="G1731" s="15" t="n">
        <v>232.985497236252</v>
      </c>
      <c r="H1731" s="15" t="n">
        <v>5.59575770208274</v>
      </c>
      <c r="I1731" s="16" t="n">
        <v>2.31634725209554</v>
      </c>
      <c r="J1731" s="15" t="n">
        <v>22.3822463768116</v>
      </c>
      <c r="K1731" s="15" t="n">
        <v>242.272534218419</v>
      </c>
      <c r="L1731" s="15" t="n">
        <v>239.566308952874</v>
      </c>
      <c r="M1731" s="15" t="n">
        <v>2.01049681406755</v>
      </c>
      <c r="N1731" s="17" t="n">
        <v>0.44500640662818</v>
      </c>
      <c r="O1731" s="18" t="n">
        <v>0.183680089063248</v>
      </c>
    </row>
    <row r="1732" ht="15" customHeight="1" s="12">
      <c r="A1732" s="14" t="inlineStr">
        <is>
          <t>West Karachi</t>
        </is>
      </c>
      <c r="B1732" s="14" t="inlineStr">
        <is>
          <t>Sindh</t>
        </is>
      </c>
      <c r="C1732" s="14" t="n">
        <v>2018</v>
      </c>
      <c r="D1732" s="15" t="n">
        <v>43.4646851910467</v>
      </c>
      <c r="E1732" s="15" t="n">
        <v>94.08825970767759</v>
      </c>
      <c r="F1732" s="15" t="n">
        <v>45.395237063989</v>
      </c>
      <c r="G1732" s="15" t="n">
        <v>40.8760134582408</v>
      </c>
      <c r="H1732" s="15" t="n">
        <v>1.38596756129709</v>
      </c>
      <c r="I1732" s="16" t="n">
        <v>3.1887210391727</v>
      </c>
      <c r="J1732" s="15" t="n">
        <v>8.40036231884058</v>
      </c>
      <c r="K1732" s="15" t="n">
        <v>242.272534218419</v>
      </c>
      <c r="L1732" s="15" t="n">
        <v>239.566308952874</v>
      </c>
      <c r="M1732" s="15" t="n">
        <v>-196.101623761828</v>
      </c>
      <c r="N1732" s="17" t="n">
        <v>0.0699096197246476</v>
      </c>
      <c r="O1732" s="18" t="n">
        <v>0.0288557759756709</v>
      </c>
    </row>
    <row r="1733" ht="15" customHeight="1" s="12">
      <c r="A1733" s="14" t="inlineStr">
        <is>
          <t>West Karachi</t>
        </is>
      </c>
      <c r="B1733" s="14" t="inlineStr">
        <is>
          <t>Sindh</t>
        </is>
      </c>
      <c r="C1733" s="14" t="n">
        <v>2019</v>
      </c>
      <c r="D1733" s="15" t="n">
        <v>356.315196731686</v>
      </c>
      <c r="E1733" s="15" t="n">
        <v>771.317602336826</v>
      </c>
      <c r="F1733" s="15" t="n">
        <v>372.558542312661</v>
      </c>
      <c r="G1733" s="15" t="n">
        <v>332.650184120284</v>
      </c>
      <c r="H1733" s="15" t="n">
        <v>13.1064015343427</v>
      </c>
      <c r="I1733" s="16" t="n">
        <v>3.67831674162699</v>
      </c>
      <c r="J1733" s="15" t="n">
        <v>21.3641304347826</v>
      </c>
      <c r="K1733" s="15" t="n">
        <v>242.272534218419</v>
      </c>
      <c r="L1733" s="15" t="n">
        <v>239.566308952874</v>
      </c>
      <c r="M1733" s="15" t="n">
        <v>116.748887778812</v>
      </c>
      <c r="N1733" s="17" t="n">
        <v>0.591776522939406</v>
      </c>
      <c r="O1733" s="18" t="n">
        <v>0.244260673149971</v>
      </c>
    </row>
    <row r="1734" ht="15" customHeight="1" s="12">
      <c r="A1734" s="14" t="inlineStr">
        <is>
          <t>West Karachi</t>
        </is>
      </c>
      <c r="B1734" s="14" t="inlineStr">
        <is>
          <t>Sindh</t>
        </is>
      </c>
      <c r="C1734" s="14" t="n">
        <v>2020</v>
      </c>
      <c r="D1734" s="15" t="n">
        <v>393.112979353928</v>
      </c>
      <c r="E1734" s="15" t="n">
        <v>850.973978836737</v>
      </c>
      <c r="F1734" s="15" t="n">
        <v>409.735625084767</v>
      </c>
      <c r="G1734" s="15" t="n">
        <v>369.105435883377</v>
      </c>
      <c r="H1734" s="15" t="n">
        <v>13.6206668784683</v>
      </c>
      <c r="I1734" s="16" t="n">
        <v>3.46482247949523</v>
      </c>
      <c r="J1734" s="15" t="n">
        <v>31.9945652173913</v>
      </c>
      <c r="K1734" s="15" t="n">
        <v>242.272534218419</v>
      </c>
      <c r="L1734" s="15" t="n">
        <v>239.566308952874</v>
      </c>
      <c r="M1734" s="15" t="n">
        <v>153.546670401053</v>
      </c>
      <c r="N1734" s="17" t="n">
        <v>0.178362942857211</v>
      </c>
      <c r="O1734" s="18" t="n">
        <v>0.0736207855474072</v>
      </c>
    </row>
    <row r="1735" ht="15" customHeight="1" s="12">
      <c r="A1735" s="14" t="inlineStr">
        <is>
          <t>West Karachi</t>
        </is>
      </c>
      <c r="B1735" s="14" t="inlineStr">
        <is>
          <t>Sindh</t>
        </is>
      </c>
      <c r="C1735" s="14" t="n">
        <v>2021</v>
      </c>
      <c r="D1735" s="15" t="n">
        <v>158.110927643524</v>
      </c>
      <c r="E1735" s="15" t="n">
        <v>342.263655134217</v>
      </c>
      <c r="F1735" s="15" t="n">
        <v>171.447775006294</v>
      </c>
      <c r="G1735" s="15" t="n">
        <v>150.309235796332</v>
      </c>
      <c r="H1735" s="15" t="n">
        <v>7.30753220754066</v>
      </c>
      <c r="I1735" s="16" t="n">
        <v>4.62177555748466</v>
      </c>
      <c r="J1735" s="15" t="n">
        <v>20.6376811594203</v>
      </c>
      <c r="K1735" s="15" t="n">
        <v>242.272534218419</v>
      </c>
      <c r="L1735" s="15" t="n">
        <v>239.566308952874</v>
      </c>
      <c r="M1735" s="15" t="n">
        <v>-81.45538130935</v>
      </c>
      <c r="N1735" s="17" t="n">
        <v>0.0543743699326459</v>
      </c>
      <c r="O1735" s="18" t="n">
        <v>0.0224434726404542</v>
      </c>
    </row>
    <row r="1736" ht="15" customHeight="1" s="12">
      <c r="A1736" s="14" t="inlineStr">
        <is>
          <t>West Karachi</t>
        </is>
      </c>
      <c r="B1736" s="14" t="inlineStr">
        <is>
          <t>Sindh</t>
        </is>
      </c>
      <c r="C1736" s="14" t="n">
        <v>2022</v>
      </c>
      <c r="D1736" s="15" t="n">
        <v>555.4908796886471</v>
      </c>
      <c r="E1736" s="15" t="n">
        <v>1202.47437485542</v>
      </c>
      <c r="F1736" s="15" t="n">
        <v>578.282254719059</v>
      </c>
      <c r="G1736" s="15" t="n">
        <v>526.527914065984</v>
      </c>
      <c r="H1736" s="15" t="n">
        <v>15.7304453719389</v>
      </c>
      <c r="I1736" s="16" t="n">
        <v>2.83180983650997</v>
      </c>
      <c r="J1736" s="15" t="n">
        <v>35.213768115942</v>
      </c>
      <c r="K1736" s="15" t="n">
        <v>242.272534218419</v>
      </c>
      <c r="L1736" s="15" t="n">
        <v>239.566308952874</v>
      </c>
      <c r="M1736" s="15" t="n">
        <v>315.924570735773</v>
      </c>
      <c r="N1736" s="17" t="n">
        <v>0.287614374735514</v>
      </c>
      <c r="O1736" s="18" t="n">
        <v>0.118715221130356</v>
      </c>
    </row>
    <row r="1737" ht="15" customHeight="1" s="12">
      <c r="A1737" s="14" t="inlineStr">
        <is>
          <t>West Karachi</t>
        </is>
      </c>
      <c r="B1737" s="14" t="inlineStr">
        <is>
          <t>Sindh</t>
        </is>
      </c>
      <c r="C1737" s="14" t="n">
        <v>2023</v>
      </c>
      <c r="D1737" s="15" t="n">
        <v>148.646448604223</v>
      </c>
      <c r="E1737" s="15" t="n">
        <v>321.775841684435</v>
      </c>
      <c r="F1737" s="15" t="n">
        <v>159.500769019127</v>
      </c>
      <c r="G1737" s="15" t="n">
        <v>132.563210427761</v>
      </c>
      <c r="H1737" s="15" t="n">
        <v>9.11013008287968</v>
      </c>
      <c r="I1737" s="16" t="n">
        <v>6.12872367178833</v>
      </c>
      <c r="J1737" s="15" t="n">
        <v>15.9438405797102</v>
      </c>
      <c r="K1737" s="15" t="n">
        <v>242.272534218419</v>
      </c>
      <c r="L1737" s="15" t="n">
        <v>239.566308952874</v>
      </c>
      <c r="M1737" s="15" t="n">
        <v>-90.9198603486517</v>
      </c>
      <c r="N1737" s="17" t="n">
        <v>0.0470961370033413</v>
      </c>
      <c r="O1737" s="18" t="n">
        <v>0.0194393215703444</v>
      </c>
    </row>
    <row r="1738" ht="15" customHeight="1" s="12">
      <c r="A1738" s="14" t="inlineStr">
        <is>
          <t>West Karachi</t>
        </is>
      </c>
      <c r="B1738" s="14" t="inlineStr">
        <is>
          <t>Sindh</t>
        </is>
      </c>
      <c r="C1738" s="14" t="n">
        <v>2024</v>
      </c>
      <c r="D1738" s="15" t="n">
        <v>231.375864214199</v>
      </c>
      <c r="E1738" s="15" t="n">
        <v>500.860694298972</v>
      </c>
      <c r="F1738" s="15" t="n">
        <v>244.575973127037</v>
      </c>
      <c r="G1738" s="15" t="n">
        <v>214.254707032815</v>
      </c>
      <c r="H1738" s="15" t="n">
        <v>8.648467131010189</v>
      </c>
      <c r="I1738" s="16" t="n">
        <v>3.7378432536091</v>
      </c>
      <c r="J1738" s="15" t="n">
        <v>24.3641304347826</v>
      </c>
      <c r="K1738" s="15" t="n">
        <v>242.272534218419</v>
      </c>
      <c r="L1738" s="15" t="n">
        <v>239.566308952874</v>
      </c>
      <c r="M1738" s="15" t="n">
        <v>-8.190444738675181</v>
      </c>
      <c r="N1738" s="17" t="n">
        <v>0.0284202092895507</v>
      </c>
      <c r="O1738" s="18" t="n">
        <v>0.011730677346995</v>
      </c>
    </row>
    <row r="1739" ht="15" customHeight="1" s="12">
      <c r="A1739" s="14" t="inlineStr">
        <is>
          <t>West Karachi</t>
        </is>
      </c>
      <c r="B1739" s="14" t="inlineStr">
        <is>
          <t>Sindh</t>
        </is>
      </c>
      <c r="C1739" s="14" t="n">
        <v>2025</v>
      </c>
      <c r="D1739" s="15" t="n">
        <v>204.726026367324</v>
      </c>
      <c r="E1739" s="15" t="n">
        <v>443.17163354809</v>
      </c>
      <c r="F1739" s="15" t="n">
        <v>216.107020869098</v>
      </c>
      <c r="G1739" s="15" t="n">
        <v>195.360774229592</v>
      </c>
      <c r="H1739" s="15" t="n">
        <v>7.29545477907468</v>
      </c>
      <c r="I1739" s="16" t="n">
        <v>3.56352092038606</v>
      </c>
      <c r="J1739" s="15" t="n">
        <v>17.3985507246377</v>
      </c>
      <c r="K1739" s="15" t="n">
        <v>242.272534218419</v>
      </c>
      <c r="L1739" s="15" t="n">
        <v>239.566308952874</v>
      </c>
      <c r="M1739" s="15" t="n">
        <v>-34.8402825855502</v>
      </c>
      <c r="N1739" s="17" t="n">
        <v>0.0490535017700195</v>
      </c>
      <c r="O1739" s="18" t="n">
        <v>0.0202472401290836</v>
      </c>
    </row>
    <row r="1740" ht="15" customHeight="1" s="12">
      <c r="A1740" s="14" t="inlineStr">
        <is>
          <t>Zhob</t>
        </is>
      </c>
      <c r="B1740" s="14" t="inlineStr">
        <is>
          <t>Balochistan</t>
        </is>
      </c>
      <c r="C1740" s="14" t="n">
        <v>2015</v>
      </c>
      <c r="D1740" s="15" t="n">
        <v>95.3830963765384</v>
      </c>
      <c r="E1740" s="15" t="n">
        <v>10784.6487636406</v>
      </c>
      <c r="F1740" s="15" t="n">
        <v>266.440942585468</v>
      </c>
      <c r="G1740" s="15" t="n">
        <v>20.4083487987518</v>
      </c>
      <c r="H1740" s="15" t="n">
        <v>55.6366781764525</v>
      </c>
      <c r="I1740" s="16" t="n">
        <v>58.3297044130533</v>
      </c>
      <c r="J1740" s="15" t="n">
        <v>12.610640954495</v>
      </c>
      <c r="K1740" s="15" t="n">
        <v>11946.7765991044</v>
      </c>
      <c r="L1740" s="15" t="n">
        <v>104.076912597228</v>
      </c>
      <c r="M1740" s="15" t="n">
        <v>-8.693816220689101</v>
      </c>
      <c r="N1740" s="17" t="n">
        <v>4.58834601298182</v>
      </c>
      <c r="O1740" s="18" t="n">
        <v>0.0384065607565289</v>
      </c>
    </row>
    <row r="1741" ht="15" customHeight="1" s="12">
      <c r="A1741" s="14" t="inlineStr">
        <is>
          <t>Zhob</t>
        </is>
      </c>
      <c r="B1741" s="14" t="inlineStr">
        <is>
          <t>Balochistan</t>
        </is>
      </c>
      <c r="C1741" s="14" t="n">
        <v>2016</v>
      </c>
      <c r="D1741" s="15" t="n">
        <v>86.8684081730394</v>
      </c>
      <c r="E1741" s="15" t="n">
        <v>9821.921350764989</v>
      </c>
      <c r="F1741" s="15" t="n">
        <v>277.555751562119</v>
      </c>
      <c r="G1741" s="15" t="n">
        <v>13.6184978485107</v>
      </c>
      <c r="H1741" s="15" t="n">
        <v>61.080920206557</v>
      </c>
      <c r="I1741" s="16" t="n">
        <v>70.3143081485798</v>
      </c>
      <c r="J1741" s="15" t="n">
        <v>12.1281908990011</v>
      </c>
      <c r="K1741" s="15" t="n">
        <v>11946.7765991044</v>
      </c>
      <c r="L1741" s="15" t="n">
        <v>104.076912597228</v>
      </c>
      <c r="M1741" s="15" t="n">
        <v>-17.2085044241881</v>
      </c>
      <c r="N1741" s="17" t="n">
        <v>1.89862678312509</v>
      </c>
      <c r="O1741" s="18" t="n">
        <v>0.0158923770556438</v>
      </c>
    </row>
    <row r="1742" ht="15" customHeight="1" s="12">
      <c r="A1742" s="14" t="inlineStr">
        <is>
          <t>Zhob</t>
        </is>
      </c>
      <c r="B1742" s="14" t="inlineStr">
        <is>
          <t>Balochistan</t>
        </is>
      </c>
      <c r="C1742" s="14" t="n">
        <v>2017</v>
      </c>
      <c r="D1742" s="15" t="n">
        <v>86.3616209621546</v>
      </c>
      <c r="E1742" s="15" t="n">
        <v>9764.62061012095</v>
      </c>
      <c r="F1742" s="15" t="n">
        <v>237.01643717289</v>
      </c>
      <c r="G1742" s="15" t="n">
        <v>11.092943072319</v>
      </c>
      <c r="H1742" s="15" t="n">
        <v>57.0485299196974</v>
      </c>
      <c r="I1742" s="16" t="n">
        <v>66.0577340769196</v>
      </c>
      <c r="J1742" s="15" t="n">
        <v>14.0990219200888</v>
      </c>
      <c r="K1742" s="15" t="n">
        <v>11946.7765991044</v>
      </c>
      <c r="L1742" s="15" t="n">
        <v>104.076912597228</v>
      </c>
      <c r="M1742" s="15" t="n">
        <v>-17.7152916350729</v>
      </c>
      <c r="N1742" s="17" t="n">
        <v>1.59230975700492</v>
      </c>
      <c r="O1742" s="18" t="n">
        <v>0.0133283630424987</v>
      </c>
    </row>
    <row r="1743" ht="15" customHeight="1" s="12">
      <c r="A1743" s="14" t="inlineStr">
        <is>
          <t>Zhob</t>
        </is>
      </c>
      <c r="B1743" s="14" t="inlineStr">
        <is>
          <t>Balochistan</t>
        </is>
      </c>
      <c r="C1743" s="14" t="n">
        <v>2018</v>
      </c>
      <c r="D1743" s="15" t="n">
        <v>72.1790773336694</v>
      </c>
      <c r="E1743" s="15" t="n">
        <v>8161.04767719355</v>
      </c>
      <c r="F1743" s="15" t="n">
        <v>209.465444982052</v>
      </c>
      <c r="G1743" s="15" t="n">
        <v>9.83828617772088</v>
      </c>
      <c r="H1743" s="15" t="n">
        <v>53.2116293460179</v>
      </c>
      <c r="I1743" s="16" t="n">
        <v>73.7216812844963</v>
      </c>
      <c r="J1743" s="15" t="n">
        <v>12.8051817425083</v>
      </c>
      <c r="K1743" s="15" t="n">
        <v>11946.7765991044</v>
      </c>
      <c r="L1743" s="15" t="n">
        <v>104.076912597228</v>
      </c>
      <c r="M1743" s="15" t="n">
        <v>-31.8978352635581</v>
      </c>
      <c r="N1743" s="17" t="n">
        <v>1.93676439141846</v>
      </c>
      <c r="O1743" s="18" t="n">
        <v>0.0162116063303941</v>
      </c>
    </row>
    <row r="1744" ht="15" customHeight="1" s="12">
      <c r="A1744" s="14" t="inlineStr">
        <is>
          <t>Zhob</t>
        </is>
      </c>
      <c r="B1744" s="14" t="inlineStr">
        <is>
          <t>Balochistan</t>
        </is>
      </c>
      <c r="C1744" s="14" t="n">
        <v>2019</v>
      </c>
      <c r="D1744" s="15" t="n">
        <v>103.152128352606</v>
      </c>
      <c r="E1744" s="15" t="n">
        <v>11663.0673124013</v>
      </c>
      <c r="F1744" s="15" t="n">
        <v>239.707654356957</v>
      </c>
      <c r="G1744" s="15" t="n">
        <v>15.0445082075894</v>
      </c>
      <c r="H1744" s="15" t="n">
        <v>61.4085206364578</v>
      </c>
      <c r="I1744" s="16" t="n">
        <v>59.5319957204802</v>
      </c>
      <c r="J1744" s="15" t="n">
        <v>14.3771503884573</v>
      </c>
      <c r="K1744" s="15" t="n">
        <v>11946.7765991044</v>
      </c>
      <c r="L1744" s="15" t="n">
        <v>104.076912597228</v>
      </c>
      <c r="M1744" s="15" t="n">
        <v>-0.924784244621364</v>
      </c>
      <c r="N1744" s="17" t="n">
        <v>1.70374320659946</v>
      </c>
      <c r="O1744" s="18" t="n">
        <v>0.0142611121290003</v>
      </c>
    </row>
    <row r="1745" ht="15" customHeight="1" s="12">
      <c r="A1745" s="14" t="inlineStr">
        <is>
          <t>Zhob</t>
        </is>
      </c>
      <c r="B1745" s="14" t="inlineStr">
        <is>
          <t>Balochistan</t>
        </is>
      </c>
      <c r="C1745" s="14" t="n">
        <v>2020</v>
      </c>
      <c r="D1745" s="15" t="n">
        <v>68.1050384720422</v>
      </c>
      <c r="E1745" s="15" t="n">
        <v>7700.40968323891</v>
      </c>
      <c r="F1745" s="15" t="n">
        <v>159.479137385264</v>
      </c>
      <c r="G1745" s="15" t="n">
        <v>15.2545702045427</v>
      </c>
      <c r="H1745" s="15" t="n">
        <v>38.8141080941217</v>
      </c>
      <c r="I1745" s="16" t="n">
        <v>56.9915368450387</v>
      </c>
      <c r="J1745" s="15" t="n">
        <v>11.7624167591565</v>
      </c>
      <c r="K1745" s="15" t="n">
        <v>11946.7765991044</v>
      </c>
      <c r="L1745" s="15" t="n">
        <v>104.076912597228</v>
      </c>
      <c r="M1745" s="15" t="n">
        <v>-35.9718741251853</v>
      </c>
      <c r="N1745" s="17" t="n">
        <v>1.11280490789795</v>
      </c>
      <c r="O1745" s="18" t="n">
        <v>0.00931468751145283</v>
      </c>
    </row>
    <row r="1746" ht="15" customHeight="1" s="12">
      <c r="A1746" s="14" t="inlineStr">
        <is>
          <t>Zhob</t>
        </is>
      </c>
      <c r="B1746" s="14" t="inlineStr">
        <is>
          <t>Balochistan</t>
        </is>
      </c>
      <c r="C1746" s="14" t="n">
        <v>2021</v>
      </c>
      <c r="D1746" s="15" t="n">
        <v>87.54742472844571</v>
      </c>
      <c r="E1746" s="15" t="n">
        <v>9898.69548929626</v>
      </c>
      <c r="F1746" s="15" t="n">
        <v>200.7215051651</v>
      </c>
      <c r="G1746" s="15" t="n">
        <v>17.270578622818</v>
      </c>
      <c r="H1746" s="15" t="n">
        <v>47.448936120766</v>
      </c>
      <c r="I1746" s="16" t="n">
        <v>54.1979804293993</v>
      </c>
      <c r="J1746" s="15" t="n">
        <v>11.1773029966704</v>
      </c>
      <c r="K1746" s="15" t="n">
        <v>11946.7765991044</v>
      </c>
      <c r="L1746" s="15" t="n">
        <v>104.076912597228</v>
      </c>
      <c r="M1746" s="15" t="n">
        <v>-16.5294878687818</v>
      </c>
      <c r="N1746" s="17" t="n">
        <v>2.25304000672464</v>
      </c>
      <c r="O1746" s="18" t="n">
        <v>0.0188589783029302</v>
      </c>
    </row>
    <row r="1747" ht="15" customHeight="1" s="12">
      <c r="A1747" s="14" t="inlineStr">
        <is>
          <t>Zhob</t>
        </is>
      </c>
      <c r="B1747" s="14" t="inlineStr">
        <is>
          <t>Balochistan</t>
        </is>
      </c>
      <c r="C1747" s="14" t="n">
        <v>2022</v>
      </c>
      <c r="D1747" s="15" t="n">
        <v>183.780740170181</v>
      </c>
      <c r="E1747" s="15" t="n">
        <v>20779.4756885752</v>
      </c>
      <c r="F1747" s="15" t="n">
        <v>405.202388190384</v>
      </c>
      <c r="G1747" s="15" t="n">
        <v>49.4824463265713</v>
      </c>
      <c r="H1747" s="15" t="n">
        <v>89.74377152882261</v>
      </c>
      <c r="I1747" s="16" t="n">
        <v>48.8319785009679</v>
      </c>
      <c r="J1747" s="15" t="n">
        <v>23.385474472808</v>
      </c>
      <c r="K1747" s="15" t="n">
        <v>11946.7765991044</v>
      </c>
      <c r="L1747" s="15" t="n">
        <v>104.076912597228</v>
      </c>
      <c r="M1747" s="15" t="n">
        <v>79.7038275729538</v>
      </c>
      <c r="N1747" s="17" t="n">
        <v>4.81285939302858</v>
      </c>
      <c r="O1747" s="18" t="n">
        <v>0.0402858407295351</v>
      </c>
    </row>
    <row r="1748" ht="15" customHeight="1" s="12">
      <c r="A1748" s="14" t="inlineStr">
        <is>
          <t>Zhob</t>
        </is>
      </c>
      <c r="B1748" s="14" t="inlineStr">
        <is>
          <t>Balochistan</t>
        </is>
      </c>
      <c r="C1748" s="14" t="n">
        <v>2023</v>
      </c>
      <c r="D1748" s="15" t="n">
        <v>115.780577887516</v>
      </c>
      <c r="E1748" s="15" t="n">
        <v>13090.9240064818</v>
      </c>
      <c r="F1748" s="15" t="n">
        <v>286.429765105248</v>
      </c>
      <c r="G1748" s="15" t="n">
        <v>10.5893511772156</v>
      </c>
      <c r="H1748" s="15" t="n">
        <v>73.9242844377939</v>
      </c>
      <c r="I1748" s="16" t="n">
        <v>63.8486055144873</v>
      </c>
      <c r="J1748" s="15" t="n">
        <v>10.7834003884573</v>
      </c>
      <c r="K1748" s="15" t="n">
        <v>11946.7765991044</v>
      </c>
      <c r="L1748" s="15" t="n">
        <v>104.076912597228</v>
      </c>
      <c r="M1748" s="15" t="n">
        <v>11.7036652902888</v>
      </c>
      <c r="N1748" s="17" t="n">
        <v>1.42857317369337</v>
      </c>
      <c r="O1748" s="18" t="n">
        <v>0.0119578127358677</v>
      </c>
    </row>
    <row r="1749" ht="15" customHeight="1" s="12">
      <c r="A1749" s="14" t="inlineStr">
        <is>
          <t>Zhob</t>
        </is>
      </c>
      <c r="B1749" s="14" t="inlineStr">
        <is>
          <t>Balochistan</t>
        </is>
      </c>
      <c r="C1749" s="14" t="n">
        <v>2024</v>
      </c>
      <c r="D1749" s="15" t="n">
        <v>128.211328704661</v>
      </c>
      <c r="E1749" s="15" t="n">
        <v>14496.4275655404</v>
      </c>
      <c r="F1749" s="15" t="n">
        <v>335.576518565313</v>
      </c>
      <c r="G1749" s="15" t="n">
        <v>28.3066627765074</v>
      </c>
      <c r="H1749" s="15" t="n">
        <v>74.368110250353</v>
      </c>
      <c r="I1749" s="16" t="n">
        <v>58.0043206803217</v>
      </c>
      <c r="J1749" s="15" t="n">
        <v>18.1186182019978</v>
      </c>
      <c r="K1749" s="15" t="n">
        <v>11946.7765991044</v>
      </c>
      <c r="L1749" s="15" t="n">
        <v>104.076912597228</v>
      </c>
      <c r="M1749" s="15" t="n">
        <v>24.1344161074336</v>
      </c>
      <c r="N1749" s="17" t="n">
        <v>1.30366242222685</v>
      </c>
      <c r="O1749" s="18" t="n">
        <v>0.0109122524507956</v>
      </c>
    </row>
    <row r="1750" ht="15" customHeight="1" s="12">
      <c r="A1750" s="14" t="inlineStr">
        <is>
          <t>Zhob</t>
        </is>
      </c>
      <c r="B1750" s="14" t="inlineStr">
        <is>
          <t>Balochistan</t>
        </is>
      </c>
      <c r="C1750" s="14" t="n">
        <v>2025</v>
      </c>
      <c r="D1750" s="15" t="n">
        <v>117.476597408648</v>
      </c>
      <c r="E1750" s="15" t="n">
        <v>13282.6872803378</v>
      </c>
      <c r="F1750" s="15" t="n">
        <v>286.804918728769</v>
      </c>
      <c r="G1750" s="15" t="n">
        <v>20.0253151934594</v>
      </c>
      <c r="H1750" s="15" t="n">
        <v>77.10005468937931</v>
      </c>
      <c r="I1750" s="16" t="n">
        <v>65.6301394406097</v>
      </c>
      <c r="J1750" s="15" t="n">
        <v>17.1690482796892</v>
      </c>
      <c r="K1750" s="15" t="n">
        <v>11946.7765991044</v>
      </c>
      <c r="L1750" s="15" t="n">
        <v>104.076912597228</v>
      </c>
      <c r="M1750" s="15" t="n">
        <v>13.3996848114204</v>
      </c>
      <c r="N1750" s="17" t="n">
        <v>1.9423945423596</v>
      </c>
      <c r="O1750" s="18" t="n">
        <v>0.0162587332762647</v>
      </c>
    </row>
    <row r="1751" ht="15" customHeight="1" s="12">
      <c r="A1751" s="14" t="inlineStr">
        <is>
          <t>Ziarat</t>
        </is>
      </c>
      <c r="B1751" s="14" t="inlineStr">
        <is>
          <t>Balochistan</t>
        </is>
      </c>
      <c r="C1751" s="14" t="n">
        <v>2015</v>
      </c>
      <c r="D1751" s="15" t="n">
        <v>75.7652613665482</v>
      </c>
      <c r="E1751" s="15" t="n">
        <v>2314.25733640802</v>
      </c>
      <c r="F1751" s="15" t="n">
        <v>146.441092252731</v>
      </c>
      <c r="G1751" s="15" t="n">
        <v>16.6476455926895</v>
      </c>
      <c r="H1751" s="15" t="n">
        <v>33.5587380846359</v>
      </c>
      <c r="I1751" s="16" t="n">
        <v>44.2930407410337</v>
      </c>
      <c r="J1751" s="15" t="n">
        <v>8.63063294389524</v>
      </c>
      <c r="K1751" s="15" t="n">
        <v>3274.75436618084</v>
      </c>
      <c r="L1751" s="15" t="n">
        <v>96.307140667198</v>
      </c>
      <c r="M1751" s="15" t="n">
        <v>-20.5418793006498</v>
      </c>
      <c r="N1751" s="17" t="n">
        <v>0.154723606323242</v>
      </c>
      <c r="O1751" s="18" t="n">
        <v>0.00472473929407071</v>
      </c>
    </row>
    <row r="1752" ht="15" customHeight="1" s="12">
      <c r="A1752" s="14" t="inlineStr">
        <is>
          <t>Ziarat</t>
        </is>
      </c>
      <c r="B1752" s="14" t="inlineStr">
        <is>
          <t>Balochistan</t>
        </is>
      </c>
      <c r="C1752" s="14" t="n">
        <v>2016</v>
      </c>
      <c r="D1752" s="15" t="n">
        <v>75.0909082606475</v>
      </c>
      <c r="E1752" s="15" t="n">
        <v>2293.65915467523</v>
      </c>
      <c r="F1752" s="15" t="n">
        <v>145.398595571518</v>
      </c>
      <c r="G1752" s="15" t="n">
        <v>6.48332262039185</v>
      </c>
      <c r="H1752" s="15" t="n">
        <v>31.6204600837766</v>
      </c>
      <c r="I1752" s="16" t="n">
        <v>42.1095720057335</v>
      </c>
      <c r="J1752" s="15" t="n">
        <v>12.9391449480036</v>
      </c>
      <c r="K1752" s="15" t="n">
        <v>3274.75436618084</v>
      </c>
      <c r="L1752" s="15" t="n">
        <v>96.307140667198</v>
      </c>
      <c r="M1752" s="15" t="n">
        <v>-21.2162324065505</v>
      </c>
      <c r="N1752" s="17" t="n">
        <v>0.0541538306884765</v>
      </c>
      <c r="O1752" s="18" t="n">
        <v>0.00165367611225245</v>
      </c>
    </row>
    <row r="1753" ht="15" customHeight="1" s="12">
      <c r="A1753" s="14" t="inlineStr">
        <is>
          <t>Ziarat</t>
        </is>
      </c>
      <c r="B1753" s="14" t="inlineStr">
        <is>
          <t>Balochistan</t>
        </is>
      </c>
      <c r="C1753" s="14" t="n">
        <v>2017</v>
      </c>
      <c r="D1753" s="15" t="n">
        <v>60.7319172747784</v>
      </c>
      <c r="E1753" s="15" t="n">
        <v>1855.06236726764</v>
      </c>
      <c r="F1753" s="15" t="n">
        <v>129.55188202858</v>
      </c>
      <c r="G1753" s="15" t="n">
        <v>9.53263092041016</v>
      </c>
      <c r="H1753" s="15" t="n">
        <v>31.7841252736944</v>
      </c>
      <c r="I1753" s="16" t="n">
        <v>52.335125745971</v>
      </c>
      <c r="J1753" s="15" t="n">
        <v>11.6157401463603</v>
      </c>
      <c r="K1753" s="15" t="n">
        <v>3274.75436618084</v>
      </c>
      <c r="L1753" s="15" t="n">
        <v>96.307140667198</v>
      </c>
      <c r="M1753" s="15" t="n">
        <v>-35.5752233924196</v>
      </c>
      <c r="N1753" s="17" t="n">
        <v>0.06500264929199211</v>
      </c>
      <c r="O1753" s="18" t="n">
        <v>0.00198496259637944</v>
      </c>
    </row>
    <row r="1754" ht="15" customHeight="1" s="12">
      <c r="A1754" s="14" t="inlineStr">
        <is>
          <t>Ziarat</t>
        </is>
      </c>
      <c r="B1754" s="14" t="inlineStr">
        <is>
          <t>Balochistan</t>
        </is>
      </c>
      <c r="C1754" s="14" t="n">
        <v>2018</v>
      </c>
      <c r="D1754" s="15" t="n">
        <v>37.4071676475298</v>
      </c>
      <c r="E1754" s="15" t="n">
        <v>1142.60560316317</v>
      </c>
      <c r="F1754" s="15" t="n">
        <v>85.42209996304339</v>
      </c>
      <c r="G1754" s="15" t="n">
        <v>2.55339143201127</v>
      </c>
      <c r="H1754" s="15" t="n">
        <v>20.956893812282</v>
      </c>
      <c r="I1754" s="16" t="n">
        <v>56.0237385779886</v>
      </c>
      <c r="J1754" s="15" t="n">
        <v>7.84606496340994</v>
      </c>
      <c r="K1754" s="15" t="n">
        <v>3274.75436618084</v>
      </c>
      <c r="L1754" s="15" t="n">
        <v>96.307140667198</v>
      </c>
      <c r="M1754" s="15" t="n">
        <v>-58.8999730196682</v>
      </c>
      <c r="N1754" s="17" t="n">
        <v>0.0487256655273437</v>
      </c>
      <c r="O1754" s="18" t="n">
        <v>0.00148791817885778</v>
      </c>
    </row>
    <row r="1755" ht="15" customHeight="1" s="12">
      <c r="A1755" s="14" t="inlineStr">
        <is>
          <t>Ziarat</t>
        </is>
      </c>
      <c r="B1755" s="14" t="inlineStr">
        <is>
          <t>Balochistan</t>
        </is>
      </c>
      <c r="C1755" s="14" t="n">
        <v>2019</v>
      </c>
      <c r="D1755" s="15" t="n">
        <v>57.7018888782898</v>
      </c>
      <c r="E1755" s="15" t="n">
        <v>1762.50985283529</v>
      </c>
      <c r="F1755" s="15" t="n">
        <v>110.629314243794</v>
      </c>
      <c r="G1755" s="15" t="n">
        <v>16.4401677236892</v>
      </c>
      <c r="H1755" s="15" t="n">
        <v>24.2782554567206</v>
      </c>
      <c r="I1755" s="16" t="n">
        <v>42.0753218459288</v>
      </c>
      <c r="J1755" s="15" t="n">
        <v>11.2088843240467</v>
      </c>
      <c r="K1755" s="15" t="n">
        <v>3274.75436618084</v>
      </c>
      <c r="L1755" s="15" t="n">
        <v>96.307140667198</v>
      </c>
      <c r="M1755" s="15" t="n">
        <v>-38.6052517889082</v>
      </c>
      <c r="N1755" s="17" t="n">
        <v>0.162366326171875</v>
      </c>
      <c r="O1755" s="18" t="n">
        <v>0.00495812228998518</v>
      </c>
    </row>
    <row r="1756" ht="15" customHeight="1" s="12">
      <c r="A1756" s="14" t="inlineStr">
        <is>
          <t>Ziarat</t>
        </is>
      </c>
      <c r="B1756" s="14" t="inlineStr">
        <is>
          <t>Balochistan</t>
        </is>
      </c>
      <c r="C1756" s="14" t="n">
        <v>2020</v>
      </c>
      <c r="D1756" s="15" t="n">
        <v>98.31425906157109</v>
      </c>
      <c r="E1756" s="15" t="n">
        <v>3003.01868168854</v>
      </c>
      <c r="F1756" s="15" t="n">
        <v>211.67981513722</v>
      </c>
      <c r="G1756" s="15" t="n">
        <v>20.5705661699176</v>
      </c>
      <c r="H1756" s="15" t="n">
        <v>46.1790320531061</v>
      </c>
      <c r="I1756" s="16" t="n">
        <v>46.9708387103702</v>
      </c>
      <c r="J1756" s="15" t="n">
        <v>14.1684426755681</v>
      </c>
      <c r="K1756" s="15" t="n">
        <v>3274.75436618084</v>
      </c>
      <c r="L1756" s="15" t="n">
        <v>96.307140667198</v>
      </c>
      <c r="M1756" s="15" t="n">
        <v>2.00711839437307</v>
      </c>
      <c r="N1756" s="17" t="n">
        <v>0.109825524047852</v>
      </c>
      <c r="O1756" s="18" t="n">
        <v>0.00335370265269498</v>
      </c>
    </row>
    <row r="1757" ht="15" customHeight="1" s="12">
      <c r="A1757" s="14" t="inlineStr">
        <is>
          <t>Ziarat</t>
        </is>
      </c>
      <c r="B1757" s="14" t="inlineStr">
        <is>
          <t>Balochistan</t>
        </is>
      </c>
      <c r="C1757" s="14" t="n">
        <v>2021</v>
      </c>
      <c r="D1757" s="15" t="n">
        <v>65.4109160645405</v>
      </c>
      <c r="E1757" s="15" t="n">
        <v>1997.9828440263</v>
      </c>
      <c r="F1757" s="15" t="n">
        <v>132.603757381439</v>
      </c>
      <c r="G1757" s="15" t="n">
        <v>24.6626117229462</v>
      </c>
      <c r="H1757" s="15" t="n">
        <v>27.8046589536629</v>
      </c>
      <c r="I1757" s="16" t="n">
        <v>42.5076739885866</v>
      </c>
      <c r="J1757" s="15" t="n">
        <v>8.613685967389911</v>
      </c>
      <c r="K1757" s="15" t="n">
        <v>3274.75436618084</v>
      </c>
      <c r="L1757" s="15" t="n">
        <v>96.307140667198</v>
      </c>
      <c r="M1757" s="15" t="n">
        <v>-30.8962246026575</v>
      </c>
      <c r="N1757" s="17" t="n">
        <v>0.183634514314779</v>
      </c>
      <c r="O1757" s="18" t="n">
        <v>0.00560758132613596</v>
      </c>
    </row>
    <row r="1758" ht="15" customHeight="1" s="12">
      <c r="A1758" s="14" t="inlineStr">
        <is>
          <t>Ziarat</t>
        </is>
      </c>
      <c r="B1758" s="14" t="inlineStr">
        <is>
          <t>Balochistan</t>
        </is>
      </c>
      <c r="C1758" s="14" t="n">
        <v>2022</v>
      </c>
      <c r="D1758" s="15" t="n">
        <v>232.661162543134</v>
      </c>
      <c r="E1758" s="15" t="n">
        <v>7106.65801979791</v>
      </c>
      <c r="F1758" s="15" t="n">
        <v>382.371104148217</v>
      </c>
      <c r="G1758" s="15" t="n">
        <v>93.7615356519818</v>
      </c>
      <c r="H1758" s="15" t="n">
        <v>69.217651108561</v>
      </c>
      <c r="I1758" s="16" t="n">
        <v>29.7504105764659</v>
      </c>
      <c r="J1758" s="15" t="n">
        <v>29.1934779817692</v>
      </c>
      <c r="K1758" s="15" t="n">
        <v>3274.75436618084</v>
      </c>
      <c r="L1758" s="15" t="n">
        <v>96.307140667198</v>
      </c>
      <c r="M1758" s="15" t="n">
        <v>136.354021875936</v>
      </c>
      <c r="N1758" s="17" t="n">
        <v>0.724308189363606</v>
      </c>
      <c r="O1758" s="18" t="n">
        <v>0.0221179394962782</v>
      </c>
    </row>
    <row r="1759" ht="15" customHeight="1" s="12">
      <c r="A1759" s="14" t="inlineStr">
        <is>
          <t>Ziarat</t>
        </is>
      </c>
      <c r="B1759" s="14" t="inlineStr">
        <is>
          <t>Balochistan</t>
        </is>
      </c>
      <c r="C1759" s="14" t="n">
        <v>2023</v>
      </c>
      <c r="D1759" s="15" t="n">
        <v>66.2486704529386</v>
      </c>
      <c r="E1759" s="15" t="n">
        <v>2023.5721339527</v>
      </c>
      <c r="F1759" s="15" t="n">
        <v>128.039120614529</v>
      </c>
      <c r="G1759" s="15" t="n">
        <v>22.990065574646</v>
      </c>
      <c r="H1759" s="15" t="n">
        <v>26.8554918819053</v>
      </c>
      <c r="I1759" s="16" t="n">
        <v>40.5374050502384</v>
      </c>
      <c r="J1759" s="15" t="n">
        <v>9.35588650661189</v>
      </c>
      <c r="K1759" s="15" t="n">
        <v>3274.75436618084</v>
      </c>
      <c r="L1759" s="15" t="n">
        <v>96.307140667198</v>
      </c>
      <c r="M1759" s="15" t="n">
        <v>-30.0584702142594</v>
      </c>
      <c r="N1759" s="17" t="n">
        <v>0.0556903756103515</v>
      </c>
      <c r="O1759" s="18" t="n">
        <v>0.00170059703364256</v>
      </c>
    </row>
    <row r="1760" ht="15" customHeight="1" s="12">
      <c r="A1760" s="14" t="inlineStr">
        <is>
          <t>Ziarat</t>
        </is>
      </c>
      <c r="B1760" s="14" t="inlineStr">
        <is>
          <t>Balochistan</t>
        </is>
      </c>
      <c r="C1760" s="14" t="n">
        <v>2024</v>
      </c>
      <c r="D1760" s="15" t="n">
        <v>184.955903792196</v>
      </c>
      <c r="E1760" s="15" t="n">
        <v>5649.49621426438</v>
      </c>
      <c r="F1760" s="15" t="n">
        <v>331.75274591893</v>
      </c>
      <c r="G1760" s="15" t="n">
        <v>58.9975690837018</v>
      </c>
      <c r="H1760" s="15" t="n">
        <v>66.1789608971996</v>
      </c>
      <c r="I1760" s="16" t="n">
        <v>35.7809399647787</v>
      </c>
      <c r="J1760" s="15" t="n">
        <v>23.9482603671845</v>
      </c>
      <c r="K1760" s="15" t="n">
        <v>3274.75436618084</v>
      </c>
      <c r="L1760" s="15" t="n">
        <v>96.307140667198</v>
      </c>
      <c r="M1760" s="15" t="n">
        <v>88.6487631249984</v>
      </c>
      <c r="N1760" s="17" t="n">
        <v>0.129592693676758</v>
      </c>
      <c r="O1760" s="18" t="n">
        <v>0.00395732562463592</v>
      </c>
    </row>
    <row r="1761" ht="15" customHeight="1" s="12">
      <c r="A1761" s="14" t="inlineStr">
        <is>
          <t>Ziarat</t>
        </is>
      </c>
      <c r="B1761" s="14" t="inlineStr">
        <is>
          <t>Balochistan</t>
        </is>
      </c>
      <c r="C1761" s="14" t="n">
        <v>2025</v>
      </c>
      <c r="D1761" s="15" t="n">
        <v>105.090491997004</v>
      </c>
      <c r="E1761" s="15" t="n">
        <v>3209.99938103791</v>
      </c>
      <c r="F1761" s="15" t="n">
        <v>191.67234751489</v>
      </c>
      <c r="G1761" s="15" t="n">
        <v>43.7036072088083</v>
      </c>
      <c r="H1761" s="15" t="n">
        <v>35.5581171255755</v>
      </c>
      <c r="I1761" s="16" t="n">
        <v>33.8357128698085</v>
      </c>
      <c r="J1761" s="15" t="n">
        <v>14.9025548850944</v>
      </c>
      <c r="K1761" s="15" t="n">
        <v>3274.75436618084</v>
      </c>
      <c r="L1761" s="15" t="n">
        <v>96.307140667198</v>
      </c>
      <c r="M1761" s="15" t="n">
        <v>8.78335132980631</v>
      </c>
      <c r="N1761" s="17" t="n">
        <v>0.119086387207031</v>
      </c>
      <c r="O1761" s="18" t="n">
        <v>0.00363649831073941</v>
      </c>
    </row>
  </sheetData>
  <autoFilter ref="A1:O176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7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1" min="1" max="1"/>
    <col width="18" customWidth="1" style="11" min="2" max="2"/>
    <col width="7" customWidth="1" style="11" min="3" max="3"/>
    <col width="13" customWidth="1" style="11" min="4" max="4"/>
    <col width="19" customWidth="1" style="11" min="5" max="6"/>
    <col width="9" customWidth="1" style="11" min="7" max="7"/>
    <col width="20" customWidth="1" style="11" min="8" max="8"/>
    <col width="17" customWidth="1" style="11" min="9" max="9"/>
    <col width="13" customWidth="1" style="11" min="10" max="10"/>
  </cols>
  <sheetData>
    <row r="1" ht="23.85" customHeight="1" s="12">
      <c r="A1" s="13" t="inlineStr">
        <is>
          <t>District</t>
        </is>
      </c>
      <c r="B1" s="13" t="inlineStr">
        <is>
          <t>Province</t>
        </is>
      </c>
      <c r="C1" s="13" t="inlineStr">
        <is>
          <t>Year</t>
        </is>
      </c>
      <c r="D1" s="13" t="inlineStr">
        <is>
          <t>Anomaly (mm)</t>
        </is>
      </c>
      <c r="E1" s="13" t="inlineStr">
        <is>
          <t>Anomaly (% of 11-Yr Mean)</t>
        </is>
      </c>
      <c r="F1" s="13" t="inlineStr">
        <is>
          <t>Rainfall Classification</t>
        </is>
      </c>
      <c r="G1" s="13" t="inlineStr">
        <is>
          <t>CV (%)</t>
        </is>
      </c>
      <c r="H1" s="13" t="inlineStr">
        <is>
          <t>Variability Classification</t>
        </is>
      </c>
      <c r="I1" s="13" t="inlineStr">
        <is>
          <t>Flood % of District Area</t>
        </is>
      </c>
      <c r="J1" s="13" t="inlineStr">
        <is>
          <t>Flood Severity</t>
        </is>
      </c>
    </row>
    <row r="2" ht="15" customHeight="1" s="12">
      <c r="A2" s="14">
        <f>'Raw Data'!A2</f>
        <v/>
      </c>
      <c r="B2" s="14">
        <f>'Raw Data'!B2</f>
        <v/>
      </c>
      <c r="C2" s="14">
        <f>'Raw Data'!C2</f>
        <v/>
      </c>
      <c r="D2" s="15">
        <f>'Raw Data'!M2</f>
        <v/>
      </c>
      <c r="E2" s="18">
        <f>'Raw Data'!M2/'Raw Data'!L2*100</f>
        <v/>
      </c>
      <c r="F2" s="14">
        <f>IF(E2&gt;15,"Wet Year",IF(E2&lt;-15,"Dry Year","Normal Year"))</f>
        <v/>
      </c>
      <c r="G2" s="16">
        <f>'Raw Data'!I2</f>
        <v/>
      </c>
      <c r="H2" s="14">
        <f>IF(G2&lt;15,"Low Variability",IF(G2&lt;=35,"Moderate Variability","High Variability"))</f>
        <v/>
      </c>
      <c r="I2" s="18">
        <f>'Raw Data'!O2</f>
        <v/>
      </c>
      <c r="J2" s="14">
        <f>IF(I2=0,"No Flood",IF(I2&lt;=0.5,"Low",IF(I2&lt;=2,"Moderate","High")))</f>
        <v/>
      </c>
    </row>
    <row r="3" ht="15" customHeight="1" s="12">
      <c r="A3" s="14">
        <f>'Raw Data'!A3</f>
        <v/>
      </c>
      <c r="B3" s="14">
        <f>'Raw Data'!B3</f>
        <v/>
      </c>
      <c r="C3" s="14">
        <f>'Raw Data'!C3</f>
        <v/>
      </c>
      <c r="D3" s="15">
        <f>'Raw Data'!M3</f>
        <v/>
      </c>
      <c r="E3" s="18">
        <f>'Raw Data'!M3/'Raw Data'!L3*100</f>
        <v/>
      </c>
      <c r="F3" s="14">
        <f>IF(E3&gt;15,"Wet Year",IF(E3&lt;-15,"Dry Year","Normal Year"))</f>
        <v/>
      </c>
      <c r="G3" s="16">
        <f>'Raw Data'!I3</f>
        <v/>
      </c>
      <c r="H3" s="14">
        <f>IF(G3&lt;15,"Low Variability",IF(G3&lt;=35,"Moderate Variability","High Variability"))</f>
        <v/>
      </c>
      <c r="I3" s="18">
        <f>'Raw Data'!O3</f>
        <v/>
      </c>
      <c r="J3" s="14">
        <f>IF(I3=0,"No Flood",IF(I3&lt;=0.5,"Low",IF(I3&lt;=2,"Moderate","High")))</f>
        <v/>
      </c>
    </row>
    <row r="4" ht="15" customHeight="1" s="12">
      <c r="A4" s="14">
        <f>'Raw Data'!A4</f>
        <v/>
      </c>
      <c r="B4" s="14">
        <f>'Raw Data'!B4</f>
        <v/>
      </c>
      <c r="C4" s="14">
        <f>'Raw Data'!C4</f>
        <v/>
      </c>
      <c r="D4" s="15">
        <f>'Raw Data'!M4</f>
        <v/>
      </c>
      <c r="E4" s="18">
        <f>'Raw Data'!M4/'Raw Data'!L4*100</f>
        <v/>
      </c>
      <c r="F4" s="14">
        <f>IF(E4&gt;15,"Wet Year",IF(E4&lt;-15,"Dry Year","Normal Year"))</f>
        <v/>
      </c>
      <c r="G4" s="16">
        <f>'Raw Data'!I4</f>
        <v/>
      </c>
      <c r="H4" s="14">
        <f>IF(G4&lt;15,"Low Variability",IF(G4&lt;=35,"Moderate Variability","High Variability"))</f>
        <v/>
      </c>
      <c r="I4" s="18">
        <f>'Raw Data'!O4</f>
        <v/>
      </c>
      <c r="J4" s="14">
        <f>IF(I4=0,"No Flood",IF(I4&lt;=0.5,"Low",IF(I4&lt;=2,"Moderate","High")))</f>
        <v/>
      </c>
    </row>
    <row r="5" ht="15" customHeight="1" s="12">
      <c r="A5" s="14">
        <f>'Raw Data'!A5</f>
        <v/>
      </c>
      <c r="B5" s="14">
        <f>'Raw Data'!B5</f>
        <v/>
      </c>
      <c r="C5" s="14">
        <f>'Raw Data'!C5</f>
        <v/>
      </c>
      <c r="D5" s="15">
        <f>'Raw Data'!M5</f>
        <v/>
      </c>
      <c r="E5" s="18">
        <f>'Raw Data'!M5/'Raw Data'!L5*100</f>
        <v/>
      </c>
      <c r="F5" s="14">
        <f>IF(E5&gt;15,"Wet Year",IF(E5&lt;-15,"Dry Year","Normal Year"))</f>
        <v/>
      </c>
      <c r="G5" s="16">
        <f>'Raw Data'!I5</f>
        <v/>
      </c>
      <c r="H5" s="14">
        <f>IF(G5&lt;15,"Low Variability",IF(G5&lt;=35,"Moderate Variability","High Variability"))</f>
        <v/>
      </c>
      <c r="I5" s="18">
        <f>'Raw Data'!O5</f>
        <v/>
      </c>
      <c r="J5" s="14">
        <f>IF(I5=0,"No Flood",IF(I5&lt;=0.5,"Low",IF(I5&lt;=2,"Moderate","High")))</f>
        <v/>
      </c>
    </row>
    <row r="6" ht="15" customHeight="1" s="12">
      <c r="A6" s="14">
        <f>'Raw Data'!A6</f>
        <v/>
      </c>
      <c r="B6" s="14">
        <f>'Raw Data'!B6</f>
        <v/>
      </c>
      <c r="C6" s="14">
        <f>'Raw Data'!C6</f>
        <v/>
      </c>
      <c r="D6" s="15">
        <f>'Raw Data'!M6</f>
        <v/>
      </c>
      <c r="E6" s="18">
        <f>'Raw Data'!M6/'Raw Data'!L6*100</f>
        <v/>
      </c>
      <c r="F6" s="14">
        <f>IF(E6&gt;15,"Wet Year",IF(E6&lt;-15,"Dry Year","Normal Year"))</f>
        <v/>
      </c>
      <c r="G6" s="16">
        <f>'Raw Data'!I6</f>
        <v/>
      </c>
      <c r="H6" s="14">
        <f>IF(G6&lt;15,"Low Variability",IF(G6&lt;=35,"Moderate Variability","High Variability"))</f>
        <v/>
      </c>
      <c r="I6" s="18">
        <f>'Raw Data'!O6</f>
        <v/>
      </c>
      <c r="J6" s="14">
        <f>IF(I6=0,"No Flood",IF(I6&lt;=0.5,"Low",IF(I6&lt;=2,"Moderate","High")))</f>
        <v/>
      </c>
    </row>
    <row r="7" ht="15" customHeight="1" s="12">
      <c r="A7" s="14">
        <f>'Raw Data'!A7</f>
        <v/>
      </c>
      <c r="B7" s="14">
        <f>'Raw Data'!B7</f>
        <v/>
      </c>
      <c r="C7" s="14">
        <f>'Raw Data'!C7</f>
        <v/>
      </c>
      <c r="D7" s="15">
        <f>'Raw Data'!M7</f>
        <v/>
      </c>
      <c r="E7" s="18">
        <f>'Raw Data'!M7/'Raw Data'!L7*100</f>
        <v/>
      </c>
      <c r="F7" s="14">
        <f>IF(E7&gt;15,"Wet Year",IF(E7&lt;-15,"Dry Year","Normal Year"))</f>
        <v/>
      </c>
      <c r="G7" s="16">
        <f>'Raw Data'!I7</f>
        <v/>
      </c>
      <c r="H7" s="14">
        <f>IF(G7&lt;15,"Low Variability",IF(G7&lt;=35,"Moderate Variability","High Variability"))</f>
        <v/>
      </c>
      <c r="I7" s="18">
        <f>'Raw Data'!O7</f>
        <v/>
      </c>
      <c r="J7" s="14">
        <f>IF(I7=0,"No Flood",IF(I7&lt;=0.5,"Low",IF(I7&lt;=2,"Moderate","High")))</f>
        <v/>
      </c>
    </row>
    <row r="8" ht="15" customHeight="1" s="12">
      <c r="A8" s="14">
        <f>'Raw Data'!A8</f>
        <v/>
      </c>
      <c r="B8" s="14">
        <f>'Raw Data'!B8</f>
        <v/>
      </c>
      <c r="C8" s="14">
        <f>'Raw Data'!C8</f>
        <v/>
      </c>
      <c r="D8" s="15">
        <f>'Raw Data'!M8</f>
        <v/>
      </c>
      <c r="E8" s="18">
        <f>'Raw Data'!M8/'Raw Data'!L8*100</f>
        <v/>
      </c>
      <c r="F8" s="14">
        <f>IF(E8&gt;15,"Wet Year",IF(E8&lt;-15,"Dry Year","Normal Year"))</f>
        <v/>
      </c>
      <c r="G8" s="16">
        <f>'Raw Data'!I8</f>
        <v/>
      </c>
      <c r="H8" s="14">
        <f>IF(G8&lt;15,"Low Variability",IF(G8&lt;=35,"Moderate Variability","High Variability"))</f>
        <v/>
      </c>
      <c r="I8" s="18">
        <f>'Raw Data'!O8</f>
        <v/>
      </c>
      <c r="J8" s="14">
        <f>IF(I8=0,"No Flood",IF(I8&lt;=0.5,"Low",IF(I8&lt;=2,"Moderate","High")))</f>
        <v/>
      </c>
    </row>
    <row r="9" ht="15" customHeight="1" s="12">
      <c r="A9" s="14">
        <f>'Raw Data'!A9</f>
        <v/>
      </c>
      <c r="B9" s="14">
        <f>'Raw Data'!B9</f>
        <v/>
      </c>
      <c r="C9" s="14">
        <f>'Raw Data'!C9</f>
        <v/>
      </c>
      <c r="D9" s="15">
        <f>'Raw Data'!M9</f>
        <v/>
      </c>
      <c r="E9" s="18">
        <f>'Raw Data'!M9/'Raw Data'!L9*100</f>
        <v/>
      </c>
      <c r="F9" s="14">
        <f>IF(E9&gt;15,"Wet Year",IF(E9&lt;-15,"Dry Year","Normal Year"))</f>
        <v/>
      </c>
      <c r="G9" s="16">
        <f>'Raw Data'!I9</f>
        <v/>
      </c>
      <c r="H9" s="14">
        <f>IF(G9&lt;15,"Low Variability",IF(G9&lt;=35,"Moderate Variability","High Variability"))</f>
        <v/>
      </c>
      <c r="I9" s="18">
        <f>'Raw Data'!O9</f>
        <v/>
      </c>
      <c r="J9" s="14">
        <f>IF(I9=0,"No Flood",IF(I9&lt;=0.5,"Low",IF(I9&lt;=2,"Moderate","High")))</f>
        <v/>
      </c>
    </row>
    <row r="10" ht="15" customHeight="1" s="12">
      <c r="A10" s="14">
        <f>'Raw Data'!A10</f>
        <v/>
      </c>
      <c r="B10" s="14">
        <f>'Raw Data'!B10</f>
        <v/>
      </c>
      <c r="C10" s="14">
        <f>'Raw Data'!C10</f>
        <v/>
      </c>
      <c r="D10" s="15">
        <f>'Raw Data'!M10</f>
        <v/>
      </c>
      <c r="E10" s="18">
        <f>'Raw Data'!M10/'Raw Data'!L10*100</f>
        <v/>
      </c>
      <c r="F10" s="14">
        <f>IF(E10&gt;15,"Wet Year",IF(E10&lt;-15,"Dry Year","Normal Year"))</f>
        <v/>
      </c>
      <c r="G10" s="16">
        <f>'Raw Data'!I10</f>
        <v/>
      </c>
      <c r="H10" s="14">
        <f>IF(G10&lt;15,"Low Variability",IF(G10&lt;=35,"Moderate Variability","High Variability"))</f>
        <v/>
      </c>
      <c r="I10" s="18">
        <f>'Raw Data'!O10</f>
        <v/>
      </c>
      <c r="J10" s="14">
        <f>IF(I10=0,"No Flood",IF(I10&lt;=0.5,"Low",IF(I10&lt;=2,"Moderate","High")))</f>
        <v/>
      </c>
    </row>
    <row r="11" ht="15" customHeight="1" s="12">
      <c r="A11" s="14">
        <f>'Raw Data'!A11</f>
        <v/>
      </c>
      <c r="B11" s="14">
        <f>'Raw Data'!B11</f>
        <v/>
      </c>
      <c r="C11" s="14">
        <f>'Raw Data'!C11</f>
        <v/>
      </c>
      <c r="D11" s="15">
        <f>'Raw Data'!M11</f>
        <v/>
      </c>
      <c r="E11" s="18">
        <f>'Raw Data'!M11/'Raw Data'!L11*100</f>
        <v/>
      </c>
      <c r="F11" s="14">
        <f>IF(E11&gt;15,"Wet Year",IF(E11&lt;-15,"Dry Year","Normal Year"))</f>
        <v/>
      </c>
      <c r="G11" s="16">
        <f>'Raw Data'!I11</f>
        <v/>
      </c>
      <c r="H11" s="14">
        <f>IF(G11&lt;15,"Low Variability",IF(G11&lt;=35,"Moderate Variability","High Variability"))</f>
        <v/>
      </c>
      <c r="I11" s="18">
        <f>'Raw Data'!O11</f>
        <v/>
      </c>
      <c r="J11" s="14">
        <f>IF(I11=0,"No Flood",IF(I11&lt;=0.5,"Low",IF(I11&lt;=2,"Moderate","High")))</f>
        <v/>
      </c>
    </row>
    <row r="12" ht="15" customHeight="1" s="12">
      <c r="A12" s="14">
        <f>'Raw Data'!A12</f>
        <v/>
      </c>
      <c r="B12" s="14">
        <f>'Raw Data'!B12</f>
        <v/>
      </c>
      <c r="C12" s="14">
        <f>'Raw Data'!C12</f>
        <v/>
      </c>
      <c r="D12" s="15">
        <f>'Raw Data'!M12</f>
        <v/>
      </c>
      <c r="E12" s="18">
        <f>'Raw Data'!M12/'Raw Data'!L12*100</f>
        <v/>
      </c>
      <c r="F12" s="14">
        <f>IF(E12&gt;15,"Wet Year",IF(E12&lt;-15,"Dry Year","Normal Year"))</f>
        <v/>
      </c>
      <c r="G12" s="16">
        <f>'Raw Data'!I12</f>
        <v/>
      </c>
      <c r="H12" s="14">
        <f>IF(G12&lt;15,"Low Variability",IF(G12&lt;=35,"Moderate Variability","High Variability"))</f>
        <v/>
      </c>
      <c r="I12" s="18">
        <f>'Raw Data'!O12</f>
        <v/>
      </c>
      <c r="J12" s="14">
        <f>IF(I12=0,"No Flood",IF(I12&lt;=0.5,"Low",IF(I12&lt;=2,"Moderate","High")))</f>
        <v/>
      </c>
    </row>
    <row r="13" ht="15" customHeight="1" s="12">
      <c r="A13" s="14">
        <f>'Raw Data'!A13</f>
        <v/>
      </c>
      <c r="B13" s="14">
        <f>'Raw Data'!B13</f>
        <v/>
      </c>
      <c r="C13" s="14">
        <f>'Raw Data'!C13</f>
        <v/>
      </c>
      <c r="D13" s="15">
        <f>'Raw Data'!M13</f>
        <v/>
      </c>
      <c r="E13" s="18">
        <f>'Raw Data'!M13/'Raw Data'!L13*100</f>
        <v/>
      </c>
      <c r="F13" s="14">
        <f>IF(E13&gt;15,"Wet Year",IF(E13&lt;-15,"Dry Year","Normal Year"))</f>
        <v/>
      </c>
      <c r="G13" s="16">
        <f>'Raw Data'!I13</f>
        <v/>
      </c>
      <c r="H13" s="14">
        <f>IF(G13&lt;15,"Low Variability",IF(G13&lt;=35,"Moderate Variability","High Variability"))</f>
        <v/>
      </c>
      <c r="I13" s="18">
        <f>'Raw Data'!O13</f>
        <v/>
      </c>
      <c r="J13" s="14">
        <f>IF(I13=0,"No Flood",IF(I13&lt;=0.5,"Low",IF(I13&lt;=2,"Moderate","High")))</f>
        <v/>
      </c>
    </row>
    <row r="14" ht="15" customHeight="1" s="12">
      <c r="A14" s="14">
        <f>'Raw Data'!A14</f>
        <v/>
      </c>
      <c r="B14" s="14">
        <f>'Raw Data'!B14</f>
        <v/>
      </c>
      <c r="C14" s="14">
        <f>'Raw Data'!C14</f>
        <v/>
      </c>
      <c r="D14" s="15">
        <f>'Raw Data'!M14</f>
        <v/>
      </c>
      <c r="E14" s="18">
        <f>'Raw Data'!M14/'Raw Data'!L14*100</f>
        <v/>
      </c>
      <c r="F14" s="14">
        <f>IF(E14&gt;15,"Wet Year",IF(E14&lt;-15,"Dry Year","Normal Year"))</f>
        <v/>
      </c>
      <c r="G14" s="16">
        <f>'Raw Data'!I14</f>
        <v/>
      </c>
      <c r="H14" s="14">
        <f>IF(G14&lt;15,"Low Variability",IF(G14&lt;=35,"Moderate Variability","High Variability"))</f>
        <v/>
      </c>
      <c r="I14" s="18">
        <f>'Raw Data'!O14</f>
        <v/>
      </c>
      <c r="J14" s="14">
        <f>IF(I14=0,"No Flood",IF(I14&lt;=0.5,"Low",IF(I14&lt;=2,"Moderate","High")))</f>
        <v/>
      </c>
    </row>
    <row r="15" ht="15" customHeight="1" s="12">
      <c r="A15" s="14">
        <f>'Raw Data'!A15</f>
        <v/>
      </c>
      <c r="B15" s="14">
        <f>'Raw Data'!B15</f>
        <v/>
      </c>
      <c r="C15" s="14">
        <f>'Raw Data'!C15</f>
        <v/>
      </c>
      <c r="D15" s="15">
        <f>'Raw Data'!M15</f>
        <v/>
      </c>
      <c r="E15" s="18">
        <f>'Raw Data'!M15/'Raw Data'!L15*100</f>
        <v/>
      </c>
      <c r="F15" s="14">
        <f>IF(E15&gt;15,"Wet Year",IF(E15&lt;-15,"Dry Year","Normal Year"))</f>
        <v/>
      </c>
      <c r="G15" s="16">
        <f>'Raw Data'!I15</f>
        <v/>
      </c>
      <c r="H15" s="14">
        <f>IF(G15&lt;15,"Low Variability",IF(G15&lt;=35,"Moderate Variability","High Variability"))</f>
        <v/>
      </c>
      <c r="I15" s="18">
        <f>'Raw Data'!O15</f>
        <v/>
      </c>
      <c r="J15" s="14">
        <f>IF(I15=0,"No Flood",IF(I15&lt;=0.5,"Low",IF(I15&lt;=2,"Moderate","High")))</f>
        <v/>
      </c>
    </row>
    <row r="16" ht="15" customHeight="1" s="12">
      <c r="A16" s="14">
        <f>'Raw Data'!A16</f>
        <v/>
      </c>
      <c r="B16" s="14">
        <f>'Raw Data'!B16</f>
        <v/>
      </c>
      <c r="C16" s="14">
        <f>'Raw Data'!C16</f>
        <v/>
      </c>
      <c r="D16" s="15">
        <f>'Raw Data'!M16</f>
        <v/>
      </c>
      <c r="E16" s="18">
        <f>'Raw Data'!M16/'Raw Data'!L16*100</f>
        <v/>
      </c>
      <c r="F16" s="14">
        <f>IF(E16&gt;15,"Wet Year",IF(E16&lt;-15,"Dry Year","Normal Year"))</f>
        <v/>
      </c>
      <c r="G16" s="16">
        <f>'Raw Data'!I16</f>
        <v/>
      </c>
      <c r="H16" s="14">
        <f>IF(G16&lt;15,"Low Variability",IF(G16&lt;=35,"Moderate Variability","High Variability"))</f>
        <v/>
      </c>
      <c r="I16" s="18">
        <f>'Raw Data'!O16</f>
        <v/>
      </c>
      <c r="J16" s="14">
        <f>IF(I16=0,"No Flood",IF(I16&lt;=0.5,"Low",IF(I16&lt;=2,"Moderate","High")))</f>
        <v/>
      </c>
    </row>
    <row r="17" ht="15" customHeight="1" s="12">
      <c r="A17" s="14">
        <f>'Raw Data'!A17</f>
        <v/>
      </c>
      <c r="B17" s="14">
        <f>'Raw Data'!B17</f>
        <v/>
      </c>
      <c r="C17" s="14">
        <f>'Raw Data'!C17</f>
        <v/>
      </c>
      <c r="D17" s="15">
        <f>'Raw Data'!M17</f>
        <v/>
      </c>
      <c r="E17" s="18">
        <f>'Raw Data'!M17/'Raw Data'!L17*100</f>
        <v/>
      </c>
      <c r="F17" s="14">
        <f>IF(E17&gt;15,"Wet Year",IF(E17&lt;-15,"Dry Year","Normal Year"))</f>
        <v/>
      </c>
      <c r="G17" s="16">
        <f>'Raw Data'!I17</f>
        <v/>
      </c>
      <c r="H17" s="14">
        <f>IF(G17&lt;15,"Low Variability",IF(G17&lt;=35,"Moderate Variability","High Variability"))</f>
        <v/>
      </c>
      <c r="I17" s="18">
        <f>'Raw Data'!O17</f>
        <v/>
      </c>
      <c r="J17" s="14">
        <f>IF(I17=0,"No Flood",IF(I17&lt;=0.5,"Low",IF(I17&lt;=2,"Moderate","High")))</f>
        <v/>
      </c>
    </row>
    <row r="18" ht="15" customHeight="1" s="12">
      <c r="A18" s="14">
        <f>'Raw Data'!A18</f>
        <v/>
      </c>
      <c r="B18" s="14">
        <f>'Raw Data'!B18</f>
        <v/>
      </c>
      <c r="C18" s="14">
        <f>'Raw Data'!C18</f>
        <v/>
      </c>
      <c r="D18" s="15">
        <f>'Raw Data'!M18</f>
        <v/>
      </c>
      <c r="E18" s="18">
        <f>'Raw Data'!M18/'Raw Data'!L18*100</f>
        <v/>
      </c>
      <c r="F18" s="14">
        <f>IF(E18&gt;15,"Wet Year",IF(E18&lt;-15,"Dry Year","Normal Year"))</f>
        <v/>
      </c>
      <c r="G18" s="16">
        <f>'Raw Data'!I18</f>
        <v/>
      </c>
      <c r="H18" s="14">
        <f>IF(G18&lt;15,"Low Variability",IF(G18&lt;=35,"Moderate Variability","High Variability"))</f>
        <v/>
      </c>
      <c r="I18" s="18">
        <f>'Raw Data'!O18</f>
        <v/>
      </c>
      <c r="J18" s="14">
        <f>IF(I18=0,"No Flood",IF(I18&lt;=0.5,"Low",IF(I18&lt;=2,"Moderate","High")))</f>
        <v/>
      </c>
    </row>
    <row r="19" ht="15" customHeight="1" s="12">
      <c r="A19" s="14">
        <f>'Raw Data'!A19</f>
        <v/>
      </c>
      <c r="B19" s="14">
        <f>'Raw Data'!B19</f>
        <v/>
      </c>
      <c r="C19" s="14">
        <f>'Raw Data'!C19</f>
        <v/>
      </c>
      <c r="D19" s="15">
        <f>'Raw Data'!M19</f>
        <v/>
      </c>
      <c r="E19" s="18">
        <f>'Raw Data'!M19/'Raw Data'!L19*100</f>
        <v/>
      </c>
      <c r="F19" s="14">
        <f>IF(E19&gt;15,"Wet Year",IF(E19&lt;-15,"Dry Year","Normal Year"))</f>
        <v/>
      </c>
      <c r="G19" s="16">
        <f>'Raw Data'!I19</f>
        <v/>
      </c>
      <c r="H19" s="14">
        <f>IF(G19&lt;15,"Low Variability",IF(G19&lt;=35,"Moderate Variability","High Variability"))</f>
        <v/>
      </c>
      <c r="I19" s="18">
        <f>'Raw Data'!O19</f>
        <v/>
      </c>
      <c r="J19" s="14">
        <f>IF(I19=0,"No Flood",IF(I19&lt;=0.5,"Low",IF(I19&lt;=2,"Moderate","High")))</f>
        <v/>
      </c>
    </row>
    <row r="20" ht="15" customHeight="1" s="12">
      <c r="A20" s="14">
        <f>'Raw Data'!A20</f>
        <v/>
      </c>
      <c r="B20" s="14">
        <f>'Raw Data'!B20</f>
        <v/>
      </c>
      <c r="C20" s="14">
        <f>'Raw Data'!C20</f>
        <v/>
      </c>
      <c r="D20" s="15">
        <f>'Raw Data'!M20</f>
        <v/>
      </c>
      <c r="E20" s="18">
        <f>'Raw Data'!M20/'Raw Data'!L20*100</f>
        <v/>
      </c>
      <c r="F20" s="14">
        <f>IF(E20&gt;15,"Wet Year",IF(E20&lt;-15,"Dry Year","Normal Year"))</f>
        <v/>
      </c>
      <c r="G20" s="16">
        <f>'Raw Data'!I20</f>
        <v/>
      </c>
      <c r="H20" s="14">
        <f>IF(G20&lt;15,"Low Variability",IF(G20&lt;=35,"Moderate Variability","High Variability"))</f>
        <v/>
      </c>
      <c r="I20" s="18">
        <f>'Raw Data'!O20</f>
        <v/>
      </c>
      <c r="J20" s="14">
        <f>IF(I20=0,"No Flood",IF(I20&lt;=0.5,"Low",IF(I20&lt;=2,"Moderate","High")))</f>
        <v/>
      </c>
    </row>
    <row r="21" ht="15" customHeight="1" s="12">
      <c r="A21" s="14">
        <f>'Raw Data'!A21</f>
        <v/>
      </c>
      <c r="B21" s="14">
        <f>'Raw Data'!B21</f>
        <v/>
      </c>
      <c r="C21" s="14">
        <f>'Raw Data'!C21</f>
        <v/>
      </c>
      <c r="D21" s="15">
        <f>'Raw Data'!M21</f>
        <v/>
      </c>
      <c r="E21" s="18">
        <f>'Raw Data'!M21/'Raw Data'!L21*100</f>
        <v/>
      </c>
      <c r="F21" s="14">
        <f>IF(E21&gt;15,"Wet Year",IF(E21&lt;-15,"Dry Year","Normal Year"))</f>
        <v/>
      </c>
      <c r="G21" s="16">
        <f>'Raw Data'!I21</f>
        <v/>
      </c>
      <c r="H21" s="14">
        <f>IF(G21&lt;15,"Low Variability",IF(G21&lt;=35,"Moderate Variability","High Variability"))</f>
        <v/>
      </c>
      <c r="I21" s="18">
        <f>'Raw Data'!O21</f>
        <v/>
      </c>
      <c r="J21" s="14">
        <f>IF(I21=0,"No Flood",IF(I21&lt;=0.5,"Low",IF(I21&lt;=2,"Moderate","High")))</f>
        <v/>
      </c>
    </row>
    <row r="22" ht="15" customHeight="1" s="12">
      <c r="A22" s="14">
        <f>'Raw Data'!A22</f>
        <v/>
      </c>
      <c r="B22" s="14">
        <f>'Raw Data'!B22</f>
        <v/>
      </c>
      <c r="C22" s="14">
        <f>'Raw Data'!C22</f>
        <v/>
      </c>
      <c r="D22" s="15">
        <f>'Raw Data'!M22</f>
        <v/>
      </c>
      <c r="E22" s="18">
        <f>'Raw Data'!M22/'Raw Data'!L22*100</f>
        <v/>
      </c>
      <c r="F22" s="14">
        <f>IF(E22&gt;15,"Wet Year",IF(E22&lt;-15,"Dry Year","Normal Year"))</f>
        <v/>
      </c>
      <c r="G22" s="16">
        <f>'Raw Data'!I22</f>
        <v/>
      </c>
      <c r="H22" s="14">
        <f>IF(G22&lt;15,"Low Variability",IF(G22&lt;=35,"Moderate Variability","High Variability"))</f>
        <v/>
      </c>
      <c r="I22" s="18">
        <f>'Raw Data'!O22</f>
        <v/>
      </c>
      <c r="J22" s="14">
        <f>IF(I22=0,"No Flood",IF(I22&lt;=0.5,"Low",IF(I22&lt;=2,"Moderate","High")))</f>
        <v/>
      </c>
    </row>
    <row r="23" ht="15" customHeight="1" s="12">
      <c r="A23" s="14">
        <f>'Raw Data'!A23</f>
        <v/>
      </c>
      <c r="B23" s="14">
        <f>'Raw Data'!B23</f>
        <v/>
      </c>
      <c r="C23" s="14">
        <f>'Raw Data'!C23</f>
        <v/>
      </c>
      <c r="D23" s="15">
        <f>'Raw Data'!M23</f>
        <v/>
      </c>
      <c r="E23" s="18">
        <f>'Raw Data'!M23/'Raw Data'!L23*100</f>
        <v/>
      </c>
      <c r="F23" s="14">
        <f>IF(E23&gt;15,"Wet Year",IF(E23&lt;-15,"Dry Year","Normal Year"))</f>
        <v/>
      </c>
      <c r="G23" s="16">
        <f>'Raw Data'!I23</f>
        <v/>
      </c>
      <c r="H23" s="14">
        <f>IF(G23&lt;15,"Low Variability",IF(G23&lt;=35,"Moderate Variability","High Variability"))</f>
        <v/>
      </c>
      <c r="I23" s="18">
        <f>'Raw Data'!O23</f>
        <v/>
      </c>
      <c r="J23" s="14">
        <f>IF(I23=0,"No Flood",IF(I23&lt;=0.5,"Low",IF(I23&lt;=2,"Moderate","High")))</f>
        <v/>
      </c>
    </row>
    <row r="24" ht="15" customHeight="1" s="12">
      <c r="A24" s="14">
        <f>'Raw Data'!A24</f>
        <v/>
      </c>
      <c r="B24" s="14">
        <f>'Raw Data'!B24</f>
        <v/>
      </c>
      <c r="C24" s="14">
        <f>'Raw Data'!C24</f>
        <v/>
      </c>
      <c r="D24" s="15">
        <f>'Raw Data'!M24</f>
        <v/>
      </c>
      <c r="E24" s="18">
        <f>'Raw Data'!M24/'Raw Data'!L24*100</f>
        <v/>
      </c>
      <c r="F24" s="14">
        <f>IF(E24&gt;15,"Wet Year",IF(E24&lt;-15,"Dry Year","Normal Year"))</f>
        <v/>
      </c>
      <c r="G24" s="16">
        <f>'Raw Data'!I24</f>
        <v/>
      </c>
      <c r="H24" s="14">
        <f>IF(G24&lt;15,"Low Variability",IF(G24&lt;=35,"Moderate Variability","High Variability"))</f>
        <v/>
      </c>
      <c r="I24" s="18">
        <f>'Raw Data'!O24</f>
        <v/>
      </c>
      <c r="J24" s="14">
        <f>IF(I24=0,"No Flood",IF(I24&lt;=0.5,"Low",IF(I24&lt;=2,"Moderate","High")))</f>
        <v/>
      </c>
    </row>
    <row r="25" ht="15" customHeight="1" s="12">
      <c r="A25" s="14">
        <f>'Raw Data'!A25</f>
        <v/>
      </c>
      <c r="B25" s="14">
        <f>'Raw Data'!B25</f>
        <v/>
      </c>
      <c r="C25" s="14">
        <f>'Raw Data'!C25</f>
        <v/>
      </c>
      <c r="D25" s="15">
        <f>'Raw Data'!M25</f>
        <v/>
      </c>
      <c r="E25" s="18">
        <f>'Raw Data'!M25/'Raw Data'!L25*100</f>
        <v/>
      </c>
      <c r="F25" s="14">
        <f>IF(E25&gt;15,"Wet Year",IF(E25&lt;-15,"Dry Year","Normal Year"))</f>
        <v/>
      </c>
      <c r="G25" s="16">
        <f>'Raw Data'!I25</f>
        <v/>
      </c>
      <c r="H25" s="14">
        <f>IF(G25&lt;15,"Low Variability",IF(G25&lt;=35,"Moderate Variability","High Variability"))</f>
        <v/>
      </c>
      <c r="I25" s="18">
        <f>'Raw Data'!O25</f>
        <v/>
      </c>
      <c r="J25" s="14">
        <f>IF(I25=0,"No Flood",IF(I25&lt;=0.5,"Low",IF(I25&lt;=2,"Moderate","High")))</f>
        <v/>
      </c>
    </row>
    <row r="26" ht="15" customHeight="1" s="12">
      <c r="A26" s="14">
        <f>'Raw Data'!A26</f>
        <v/>
      </c>
      <c r="B26" s="14">
        <f>'Raw Data'!B26</f>
        <v/>
      </c>
      <c r="C26" s="14">
        <f>'Raw Data'!C26</f>
        <v/>
      </c>
      <c r="D26" s="15">
        <f>'Raw Data'!M26</f>
        <v/>
      </c>
      <c r="E26" s="18">
        <f>'Raw Data'!M26/'Raw Data'!L26*100</f>
        <v/>
      </c>
      <c r="F26" s="14">
        <f>IF(E26&gt;15,"Wet Year",IF(E26&lt;-15,"Dry Year","Normal Year"))</f>
        <v/>
      </c>
      <c r="G26" s="16">
        <f>'Raw Data'!I26</f>
        <v/>
      </c>
      <c r="H26" s="14">
        <f>IF(G26&lt;15,"Low Variability",IF(G26&lt;=35,"Moderate Variability","High Variability"))</f>
        <v/>
      </c>
      <c r="I26" s="18">
        <f>'Raw Data'!O26</f>
        <v/>
      </c>
      <c r="J26" s="14">
        <f>IF(I26=0,"No Flood",IF(I26&lt;=0.5,"Low",IF(I26&lt;=2,"Moderate","High")))</f>
        <v/>
      </c>
    </row>
    <row r="27" ht="15" customHeight="1" s="12">
      <c r="A27" s="14">
        <f>'Raw Data'!A27</f>
        <v/>
      </c>
      <c r="B27" s="14">
        <f>'Raw Data'!B27</f>
        <v/>
      </c>
      <c r="C27" s="14">
        <f>'Raw Data'!C27</f>
        <v/>
      </c>
      <c r="D27" s="15">
        <f>'Raw Data'!M27</f>
        <v/>
      </c>
      <c r="E27" s="18">
        <f>'Raw Data'!M27/'Raw Data'!L27*100</f>
        <v/>
      </c>
      <c r="F27" s="14">
        <f>IF(E27&gt;15,"Wet Year",IF(E27&lt;-15,"Dry Year","Normal Year"))</f>
        <v/>
      </c>
      <c r="G27" s="16">
        <f>'Raw Data'!I27</f>
        <v/>
      </c>
      <c r="H27" s="14">
        <f>IF(G27&lt;15,"Low Variability",IF(G27&lt;=35,"Moderate Variability","High Variability"))</f>
        <v/>
      </c>
      <c r="I27" s="18">
        <f>'Raw Data'!O27</f>
        <v/>
      </c>
      <c r="J27" s="14">
        <f>IF(I27=0,"No Flood",IF(I27&lt;=0.5,"Low",IF(I27&lt;=2,"Moderate","High")))</f>
        <v/>
      </c>
    </row>
    <row r="28" ht="15" customHeight="1" s="12">
      <c r="A28" s="14">
        <f>'Raw Data'!A28</f>
        <v/>
      </c>
      <c r="B28" s="14">
        <f>'Raw Data'!B28</f>
        <v/>
      </c>
      <c r="C28" s="14">
        <f>'Raw Data'!C28</f>
        <v/>
      </c>
      <c r="D28" s="15">
        <f>'Raw Data'!M28</f>
        <v/>
      </c>
      <c r="E28" s="18">
        <f>'Raw Data'!M28/'Raw Data'!L28*100</f>
        <v/>
      </c>
      <c r="F28" s="14">
        <f>IF(E28&gt;15,"Wet Year",IF(E28&lt;-15,"Dry Year","Normal Year"))</f>
        <v/>
      </c>
      <c r="G28" s="16">
        <f>'Raw Data'!I28</f>
        <v/>
      </c>
      <c r="H28" s="14">
        <f>IF(G28&lt;15,"Low Variability",IF(G28&lt;=35,"Moderate Variability","High Variability"))</f>
        <v/>
      </c>
      <c r="I28" s="18">
        <f>'Raw Data'!O28</f>
        <v/>
      </c>
      <c r="J28" s="14">
        <f>IF(I28=0,"No Flood",IF(I28&lt;=0.5,"Low",IF(I28&lt;=2,"Moderate","High")))</f>
        <v/>
      </c>
    </row>
    <row r="29" ht="15" customHeight="1" s="12">
      <c r="A29" s="14">
        <f>'Raw Data'!A29</f>
        <v/>
      </c>
      <c r="B29" s="14">
        <f>'Raw Data'!B29</f>
        <v/>
      </c>
      <c r="C29" s="14">
        <f>'Raw Data'!C29</f>
        <v/>
      </c>
      <c r="D29" s="15">
        <f>'Raw Data'!M29</f>
        <v/>
      </c>
      <c r="E29" s="18">
        <f>'Raw Data'!M29/'Raw Data'!L29*100</f>
        <v/>
      </c>
      <c r="F29" s="14">
        <f>IF(E29&gt;15,"Wet Year",IF(E29&lt;-15,"Dry Year","Normal Year"))</f>
        <v/>
      </c>
      <c r="G29" s="16">
        <f>'Raw Data'!I29</f>
        <v/>
      </c>
      <c r="H29" s="14">
        <f>IF(G29&lt;15,"Low Variability",IF(G29&lt;=35,"Moderate Variability","High Variability"))</f>
        <v/>
      </c>
      <c r="I29" s="18">
        <f>'Raw Data'!O29</f>
        <v/>
      </c>
      <c r="J29" s="14">
        <f>IF(I29=0,"No Flood",IF(I29&lt;=0.5,"Low",IF(I29&lt;=2,"Moderate","High")))</f>
        <v/>
      </c>
    </row>
    <row r="30" ht="15" customHeight="1" s="12">
      <c r="A30" s="14">
        <f>'Raw Data'!A30</f>
        <v/>
      </c>
      <c r="B30" s="14">
        <f>'Raw Data'!B30</f>
        <v/>
      </c>
      <c r="C30" s="14">
        <f>'Raw Data'!C30</f>
        <v/>
      </c>
      <c r="D30" s="15">
        <f>'Raw Data'!M30</f>
        <v/>
      </c>
      <c r="E30" s="18">
        <f>'Raw Data'!M30/'Raw Data'!L30*100</f>
        <v/>
      </c>
      <c r="F30" s="14">
        <f>IF(E30&gt;15,"Wet Year",IF(E30&lt;-15,"Dry Year","Normal Year"))</f>
        <v/>
      </c>
      <c r="G30" s="16">
        <f>'Raw Data'!I30</f>
        <v/>
      </c>
      <c r="H30" s="14">
        <f>IF(G30&lt;15,"Low Variability",IF(G30&lt;=35,"Moderate Variability","High Variability"))</f>
        <v/>
      </c>
      <c r="I30" s="18">
        <f>'Raw Data'!O30</f>
        <v/>
      </c>
      <c r="J30" s="14">
        <f>IF(I30=0,"No Flood",IF(I30&lt;=0.5,"Low",IF(I30&lt;=2,"Moderate","High")))</f>
        <v/>
      </c>
    </row>
    <row r="31" ht="15" customHeight="1" s="12">
      <c r="A31" s="14">
        <f>'Raw Data'!A31</f>
        <v/>
      </c>
      <c r="B31" s="14">
        <f>'Raw Data'!B31</f>
        <v/>
      </c>
      <c r="C31" s="14">
        <f>'Raw Data'!C31</f>
        <v/>
      </c>
      <c r="D31" s="15">
        <f>'Raw Data'!M31</f>
        <v/>
      </c>
      <c r="E31" s="18">
        <f>'Raw Data'!M31/'Raw Data'!L31*100</f>
        <v/>
      </c>
      <c r="F31" s="14">
        <f>IF(E31&gt;15,"Wet Year",IF(E31&lt;-15,"Dry Year","Normal Year"))</f>
        <v/>
      </c>
      <c r="G31" s="16">
        <f>'Raw Data'!I31</f>
        <v/>
      </c>
      <c r="H31" s="14">
        <f>IF(G31&lt;15,"Low Variability",IF(G31&lt;=35,"Moderate Variability","High Variability"))</f>
        <v/>
      </c>
      <c r="I31" s="18">
        <f>'Raw Data'!O31</f>
        <v/>
      </c>
      <c r="J31" s="14">
        <f>IF(I31=0,"No Flood",IF(I31&lt;=0.5,"Low",IF(I31&lt;=2,"Moderate","High")))</f>
        <v/>
      </c>
    </row>
    <row r="32" ht="15" customHeight="1" s="12">
      <c r="A32" s="14">
        <f>'Raw Data'!A32</f>
        <v/>
      </c>
      <c r="B32" s="14">
        <f>'Raw Data'!B32</f>
        <v/>
      </c>
      <c r="C32" s="14">
        <f>'Raw Data'!C32</f>
        <v/>
      </c>
      <c r="D32" s="15">
        <f>'Raw Data'!M32</f>
        <v/>
      </c>
      <c r="E32" s="18">
        <f>'Raw Data'!M32/'Raw Data'!L32*100</f>
        <v/>
      </c>
      <c r="F32" s="14">
        <f>IF(E32&gt;15,"Wet Year",IF(E32&lt;-15,"Dry Year","Normal Year"))</f>
        <v/>
      </c>
      <c r="G32" s="16">
        <f>'Raw Data'!I32</f>
        <v/>
      </c>
      <c r="H32" s="14">
        <f>IF(G32&lt;15,"Low Variability",IF(G32&lt;=35,"Moderate Variability","High Variability"))</f>
        <v/>
      </c>
      <c r="I32" s="18">
        <f>'Raw Data'!O32</f>
        <v/>
      </c>
      <c r="J32" s="14">
        <f>IF(I32=0,"No Flood",IF(I32&lt;=0.5,"Low",IF(I32&lt;=2,"Moderate","High")))</f>
        <v/>
      </c>
    </row>
    <row r="33" ht="15" customHeight="1" s="12">
      <c r="A33" s="14">
        <f>'Raw Data'!A33</f>
        <v/>
      </c>
      <c r="B33" s="14">
        <f>'Raw Data'!B33</f>
        <v/>
      </c>
      <c r="C33" s="14">
        <f>'Raw Data'!C33</f>
        <v/>
      </c>
      <c r="D33" s="15">
        <f>'Raw Data'!M33</f>
        <v/>
      </c>
      <c r="E33" s="18">
        <f>'Raw Data'!M33/'Raw Data'!L33*100</f>
        <v/>
      </c>
      <c r="F33" s="14">
        <f>IF(E33&gt;15,"Wet Year",IF(E33&lt;-15,"Dry Year","Normal Year"))</f>
        <v/>
      </c>
      <c r="G33" s="16">
        <f>'Raw Data'!I33</f>
        <v/>
      </c>
      <c r="H33" s="14">
        <f>IF(G33&lt;15,"Low Variability",IF(G33&lt;=35,"Moderate Variability","High Variability"))</f>
        <v/>
      </c>
      <c r="I33" s="18">
        <f>'Raw Data'!O33</f>
        <v/>
      </c>
      <c r="J33" s="14">
        <f>IF(I33=0,"No Flood",IF(I33&lt;=0.5,"Low",IF(I33&lt;=2,"Moderate","High")))</f>
        <v/>
      </c>
    </row>
    <row r="34" ht="15" customHeight="1" s="12">
      <c r="A34" s="14">
        <f>'Raw Data'!A34</f>
        <v/>
      </c>
      <c r="B34" s="14">
        <f>'Raw Data'!B34</f>
        <v/>
      </c>
      <c r="C34" s="14">
        <f>'Raw Data'!C34</f>
        <v/>
      </c>
      <c r="D34" s="15">
        <f>'Raw Data'!M34</f>
        <v/>
      </c>
      <c r="E34" s="18">
        <f>'Raw Data'!M34/'Raw Data'!L34*100</f>
        <v/>
      </c>
      <c r="F34" s="14">
        <f>IF(E34&gt;15,"Wet Year",IF(E34&lt;-15,"Dry Year","Normal Year"))</f>
        <v/>
      </c>
      <c r="G34" s="16">
        <f>'Raw Data'!I34</f>
        <v/>
      </c>
      <c r="H34" s="14">
        <f>IF(G34&lt;15,"Low Variability",IF(G34&lt;=35,"Moderate Variability","High Variability"))</f>
        <v/>
      </c>
      <c r="I34" s="18">
        <f>'Raw Data'!O34</f>
        <v/>
      </c>
      <c r="J34" s="14">
        <f>IF(I34=0,"No Flood",IF(I34&lt;=0.5,"Low",IF(I34&lt;=2,"Moderate","High")))</f>
        <v/>
      </c>
    </row>
    <row r="35" ht="15" customHeight="1" s="12">
      <c r="A35" s="14">
        <f>'Raw Data'!A35</f>
        <v/>
      </c>
      <c r="B35" s="14">
        <f>'Raw Data'!B35</f>
        <v/>
      </c>
      <c r="C35" s="14">
        <f>'Raw Data'!C35</f>
        <v/>
      </c>
      <c r="D35" s="15">
        <f>'Raw Data'!M35</f>
        <v/>
      </c>
      <c r="E35" s="18">
        <f>'Raw Data'!M35/'Raw Data'!L35*100</f>
        <v/>
      </c>
      <c r="F35" s="14">
        <f>IF(E35&gt;15,"Wet Year",IF(E35&lt;-15,"Dry Year","Normal Year"))</f>
        <v/>
      </c>
      <c r="G35" s="16">
        <f>'Raw Data'!I35</f>
        <v/>
      </c>
      <c r="H35" s="14">
        <f>IF(G35&lt;15,"Low Variability",IF(G35&lt;=35,"Moderate Variability","High Variability"))</f>
        <v/>
      </c>
      <c r="I35" s="18">
        <f>'Raw Data'!O35</f>
        <v/>
      </c>
      <c r="J35" s="14">
        <f>IF(I35=0,"No Flood",IF(I35&lt;=0.5,"Low",IF(I35&lt;=2,"Moderate","High")))</f>
        <v/>
      </c>
    </row>
    <row r="36" ht="15" customHeight="1" s="12">
      <c r="A36" s="14">
        <f>'Raw Data'!A36</f>
        <v/>
      </c>
      <c r="B36" s="14">
        <f>'Raw Data'!B36</f>
        <v/>
      </c>
      <c r="C36" s="14">
        <f>'Raw Data'!C36</f>
        <v/>
      </c>
      <c r="D36" s="15">
        <f>'Raw Data'!M36</f>
        <v/>
      </c>
      <c r="E36" s="18">
        <f>'Raw Data'!M36/'Raw Data'!L36*100</f>
        <v/>
      </c>
      <c r="F36" s="14">
        <f>IF(E36&gt;15,"Wet Year",IF(E36&lt;-15,"Dry Year","Normal Year"))</f>
        <v/>
      </c>
      <c r="G36" s="16">
        <f>'Raw Data'!I36</f>
        <v/>
      </c>
      <c r="H36" s="14">
        <f>IF(G36&lt;15,"Low Variability",IF(G36&lt;=35,"Moderate Variability","High Variability"))</f>
        <v/>
      </c>
      <c r="I36" s="18">
        <f>'Raw Data'!O36</f>
        <v/>
      </c>
      <c r="J36" s="14">
        <f>IF(I36=0,"No Flood",IF(I36&lt;=0.5,"Low",IF(I36&lt;=2,"Moderate","High")))</f>
        <v/>
      </c>
    </row>
    <row r="37" ht="15" customHeight="1" s="12">
      <c r="A37" s="14">
        <f>'Raw Data'!A37</f>
        <v/>
      </c>
      <c r="B37" s="14">
        <f>'Raw Data'!B37</f>
        <v/>
      </c>
      <c r="C37" s="14">
        <f>'Raw Data'!C37</f>
        <v/>
      </c>
      <c r="D37" s="15">
        <f>'Raw Data'!M37</f>
        <v/>
      </c>
      <c r="E37" s="18">
        <f>'Raw Data'!M37/'Raw Data'!L37*100</f>
        <v/>
      </c>
      <c r="F37" s="14">
        <f>IF(E37&gt;15,"Wet Year",IF(E37&lt;-15,"Dry Year","Normal Year"))</f>
        <v/>
      </c>
      <c r="G37" s="16">
        <f>'Raw Data'!I37</f>
        <v/>
      </c>
      <c r="H37" s="14">
        <f>IF(G37&lt;15,"Low Variability",IF(G37&lt;=35,"Moderate Variability","High Variability"))</f>
        <v/>
      </c>
      <c r="I37" s="18">
        <f>'Raw Data'!O37</f>
        <v/>
      </c>
      <c r="J37" s="14">
        <f>IF(I37=0,"No Flood",IF(I37&lt;=0.5,"Low",IF(I37&lt;=2,"Moderate","High")))</f>
        <v/>
      </c>
    </row>
    <row r="38" ht="15" customHeight="1" s="12">
      <c r="A38" s="14">
        <f>'Raw Data'!A38</f>
        <v/>
      </c>
      <c r="B38" s="14">
        <f>'Raw Data'!B38</f>
        <v/>
      </c>
      <c r="C38" s="14">
        <f>'Raw Data'!C38</f>
        <v/>
      </c>
      <c r="D38" s="15">
        <f>'Raw Data'!M38</f>
        <v/>
      </c>
      <c r="E38" s="18">
        <f>'Raw Data'!M38/'Raw Data'!L38*100</f>
        <v/>
      </c>
      <c r="F38" s="14">
        <f>IF(E38&gt;15,"Wet Year",IF(E38&lt;-15,"Dry Year","Normal Year"))</f>
        <v/>
      </c>
      <c r="G38" s="16">
        <f>'Raw Data'!I38</f>
        <v/>
      </c>
      <c r="H38" s="14">
        <f>IF(G38&lt;15,"Low Variability",IF(G38&lt;=35,"Moderate Variability","High Variability"))</f>
        <v/>
      </c>
      <c r="I38" s="18">
        <f>'Raw Data'!O38</f>
        <v/>
      </c>
      <c r="J38" s="14">
        <f>IF(I38=0,"No Flood",IF(I38&lt;=0.5,"Low",IF(I38&lt;=2,"Moderate","High")))</f>
        <v/>
      </c>
    </row>
    <row r="39" ht="15" customHeight="1" s="12">
      <c r="A39" s="14">
        <f>'Raw Data'!A39</f>
        <v/>
      </c>
      <c r="B39" s="14">
        <f>'Raw Data'!B39</f>
        <v/>
      </c>
      <c r="C39" s="14">
        <f>'Raw Data'!C39</f>
        <v/>
      </c>
      <c r="D39" s="15">
        <f>'Raw Data'!M39</f>
        <v/>
      </c>
      <c r="E39" s="18">
        <f>'Raw Data'!M39/'Raw Data'!L39*100</f>
        <v/>
      </c>
      <c r="F39" s="14">
        <f>IF(E39&gt;15,"Wet Year",IF(E39&lt;-15,"Dry Year","Normal Year"))</f>
        <v/>
      </c>
      <c r="G39" s="16">
        <f>'Raw Data'!I39</f>
        <v/>
      </c>
      <c r="H39" s="14">
        <f>IF(G39&lt;15,"Low Variability",IF(G39&lt;=35,"Moderate Variability","High Variability"))</f>
        <v/>
      </c>
      <c r="I39" s="18">
        <f>'Raw Data'!O39</f>
        <v/>
      </c>
      <c r="J39" s="14">
        <f>IF(I39=0,"No Flood",IF(I39&lt;=0.5,"Low",IF(I39&lt;=2,"Moderate","High")))</f>
        <v/>
      </c>
    </row>
    <row r="40" ht="15" customHeight="1" s="12">
      <c r="A40" s="14">
        <f>'Raw Data'!A40</f>
        <v/>
      </c>
      <c r="B40" s="14">
        <f>'Raw Data'!B40</f>
        <v/>
      </c>
      <c r="C40" s="14">
        <f>'Raw Data'!C40</f>
        <v/>
      </c>
      <c r="D40" s="15">
        <f>'Raw Data'!M40</f>
        <v/>
      </c>
      <c r="E40" s="18">
        <f>'Raw Data'!M40/'Raw Data'!L40*100</f>
        <v/>
      </c>
      <c r="F40" s="14">
        <f>IF(E40&gt;15,"Wet Year",IF(E40&lt;-15,"Dry Year","Normal Year"))</f>
        <v/>
      </c>
      <c r="G40" s="16">
        <f>'Raw Data'!I40</f>
        <v/>
      </c>
      <c r="H40" s="14">
        <f>IF(G40&lt;15,"Low Variability",IF(G40&lt;=35,"Moderate Variability","High Variability"))</f>
        <v/>
      </c>
      <c r="I40" s="18">
        <f>'Raw Data'!O40</f>
        <v/>
      </c>
      <c r="J40" s="14">
        <f>IF(I40=0,"No Flood",IF(I40&lt;=0.5,"Low",IF(I40&lt;=2,"Moderate","High")))</f>
        <v/>
      </c>
    </row>
    <row r="41" ht="15" customHeight="1" s="12">
      <c r="A41" s="14">
        <f>'Raw Data'!A41</f>
        <v/>
      </c>
      <c r="B41" s="14">
        <f>'Raw Data'!B41</f>
        <v/>
      </c>
      <c r="C41" s="14">
        <f>'Raw Data'!C41</f>
        <v/>
      </c>
      <c r="D41" s="15">
        <f>'Raw Data'!M41</f>
        <v/>
      </c>
      <c r="E41" s="18">
        <f>'Raw Data'!M41/'Raw Data'!L41*100</f>
        <v/>
      </c>
      <c r="F41" s="14">
        <f>IF(E41&gt;15,"Wet Year",IF(E41&lt;-15,"Dry Year","Normal Year"))</f>
        <v/>
      </c>
      <c r="G41" s="16">
        <f>'Raw Data'!I41</f>
        <v/>
      </c>
      <c r="H41" s="14">
        <f>IF(G41&lt;15,"Low Variability",IF(G41&lt;=35,"Moderate Variability","High Variability"))</f>
        <v/>
      </c>
      <c r="I41" s="18">
        <f>'Raw Data'!O41</f>
        <v/>
      </c>
      <c r="J41" s="14">
        <f>IF(I41=0,"No Flood",IF(I41&lt;=0.5,"Low",IF(I41&lt;=2,"Moderate","High")))</f>
        <v/>
      </c>
    </row>
    <row r="42" ht="15" customHeight="1" s="12">
      <c r="A42" s="14">
        <f>'Raw Data'!A42</f>
        <v/>
      </c>
      <c r="B42" s="14">
        <f>'Raw Data'!B42</f>
        <v/>
      </c>
      <c r="C42" s="14">
        <f>'Raw Data'!C42</f>
        <v/>
      </c>
      <c r="D42" s="15">
        <f>'Raw Data'!M42</f>
        <v/>
      </c>
      <c r="E42" s="18">
        <f>'Raw Data'!M42/'Raw Data'!L42*100</f>
        <v/>
      </c>
      <c r="F42" s="14">
        <f>IF(E42&gt;15,"Wet Year",IF(E42&lt;-15,"Dry Year","Normal Year"))</f>
        <v/>
      </c>
      <c r="G42" s="16">
        <f>'Raw Data'!I42</f>
        <v/>
      </c>
      <c r="H42" s="14">
        <f>IF(G42&lt;15,"Low Variability",IF(G42&lt;=35,"Moderate Variability","High Variability"))</f>
        <v/>
      </c>
      <c r="I42" s="18">
        <f>'Raw Data'!O42</f>
        <v/>
      </c>
      <c r="J42" s="14">
        <f>IF(I42=0,"No Flood",IF(I42&lt;=0.5,"Low",IF(I42&lt;=2,"Moderate","High")))</f>
        <v/>
      </c>
    </row>
    <row r="43" ht="15" customHeight="1" s="12">
      <c r="A43" s="14">
        <f>'Raw Data'!A43</f>
        <v/>
      </c>
      <c r="B43" s="14">
        <f>'Raw Data'!B43</f>
        <v/>
      </c>
      <c r="C43" s="14">
        <f>'Raw Data'!C43</f>
        <v/>
      </c>
      <c r="D43" s="15">
        <f>'Raw Data'!M43</f>
        <v/>
      </c>
      <c r="E43" s="18">
        <f>'Raw Data'!M43/'Raw Data'!L43*100</f>
        <v/>
      </c>
      <c r="F43" s="14">
        <f>IF(E43&gt;15,"Wet Year",IF(E43&lt;-15,"Dry Year","Normal Year"))</f>
        <v/>
      </c>
      <c r="G43" s="16">
        <f>'Raw Data'!I43</f>
        <v/>
      </c>
      <c r="H43" s="14">
        <f>IF(G43&lt;15,"Low Variability",IF(G43&lt;=35,"Moderate Variability","High Variability"))</f>
        <v/>
      </c>
      <c r="I43" s="18">
        <f>'Raw Data'!O43</f>
        <v/>
      </c>
      <c r="J43" s="14">
        <f>IF(I43=0,"No Flood",IF(I43&lt;=0.5,"Low",IF(I43&lt;=2,"Moderate","High")))</f>
        <v/>
      </c>
    </row>
    <row r="44" ht="15" customHeight="1" s="12">
      <c r="A44" s="14">
        <f>'Raw Data'!A44</f>
        <v/>
      </c>
      <c r="B44" s="14">
        <f>'Raw Data'!B44</f>
        <v/>
      </c>
      <c r="C44" s="14">
        <f>'Raw Data'!C44</f>
        <v/>
      </c>
      <c r="D44" s="15">
        <f>'Raw Data'!M44</f>
        <v/>
      </c>
      <c r="E44" s="18">
        <f>'Raw Data'!M44/'Raw Data'!L44*100</f>
        <v/>
      </c>
      <c r="F44" s="14">
        <f>IF(E44&gt;15,"Wet Year",IF(E44&lt;-15,"Dry Year","Normal Year"))</f>
        <v/>
      </c>
      <c r="G44" s="16">
        <f>'Raw Data'!I44</f>
        <v/>
      </c>
      <c r="H44" s="14">
        <f>IF(G44&lt;15,"Low Variability",IF(G44&lt;=35,"Moderate Variability","High Variability"))</f>
        <v/>
      </c>
      <c r="I44" s="18">
        <f>'Raw Data'!O44</f>
        <v/>
      </c>
      <c r="J44" s="14">
        <f>IF(I44=0,"No Flood",IF(I44&lt;=0.5,"Low",IF(I44&lt;=2,"Moderate","High")))</f>
        <v/>
      </c>
    </row>
    <row r="45" ht="15" customHeight="1" s="12">
      <c r="A45" s="14">
        <f>'Raw Data'!A45</f>
        <v/>
      </c>
      <c r="B45" s="14">
        <f>'Raw Data'!B45</f>
        <v/>
      </c>
      <c r="C45" s="14">
        <f>'Raw Data'!C45</f>
        <v/>
      </c>
      <c r="D45" s="15">
        <f>'Raw Data'!M45</f>
        <v/>
      </c>
      <c r="E45" s="18">
        <f>'Raw Data'!M45/'Raw Data'!L45*100</f>
        <v/>
      </c>
      <c r="F45" s="14">
        <f>IF(E45&gt;15,"Wet Year",IF(E45&lt;-15,"Dry Year","Normal Year"))</f>
        <v/>
      </c>
      <c r="G45" s="16">
        <f>'Raw Data'!I45</f>
        <v/>
      </c>
      <c r="H45" s="14">
        <f>IF(G45&lt;15,"Low Variability",IF(G45&lt;=35,"Moderate Variability","High Variability"))</f>
        <v/>
      </c>
      <c r="I45" s="18">
        <f>'Raw Data'!O45</f>
        <v/>
      </c>
      <c r="J45" s="14">
        <f>IF(I45=0,"No Flood",IF(I45&lt;=0.5,"Low",IF(I45&lt;=2,"Moderate","High")))</f>
        <v/>
      </c>
    </row>
    <row r="46" ht="15" customHeight="1" s="12">
      <c r="A46" s="14">
        <f>'Raw Data'!A46</f>
        <v/>
      </c>
      <c r="B46" s="14">
        <f>'Raw Data'!B46</f>
        <v/>
      </c>
      <c r="C46" s="14">
        <f>'Raw Data'!C46</f>
        <v/>
      </c>
      <c r="D46" s="15">
        <f>'Raw Data'!M46</f>
        <v/>
      </c>
      <c r="E46" s="18">
        <f>'Raw Data'!M46/'Raw Data'!L46*100</f>
        <v/>
      </c>
      <c r="F46" s="14">
        <f>IF(E46&gt;15,"Wet Year",IF(E46&lt;-15,"Dry Year","Normal Year"))</f>
        <v/>
      </c>
      <c r="G46" s="16">
        <f>'Raw Data'!I46</f>
        <v/>
      </c>
      <c r="H46" s="14">
        <f>IF(G46&lt;15,"Low Variability",IF(G46&lt;=35,"Moderate Variability","High Variability"))</f>
        <v/>
      </c>
      <c r="I46" s="18">
        <f>'Raw Data'!O46</f>
        <v/>
      </c>
      <c r="J46" s="14">
        <f>IF(I46=0,"No Flood",IF(I46&lt;=0.5,"Low",IF(I46&lt;=2,"Moderate","High")))</f>
        <v/>
      </c>
    </row>
    <row r="47" ht="15" customHeight="1" s="12">
      <c r="A47" s="14">
        <f>'Raw Data'!A47</f>
        <v/>
      </c>
      <c r="B47" s="14">
        <f>'Raw Data'!B47</f>
        <v/>
      </c>
      <c r="C47" s="14">
        <f>'Raw Data'!C47</f>
        <v/>
      </c>
      <c r="D47" s="15">
        <f>'Raw Data'!M47</f>
        <v/>
      </c>
      <c r="E47" s="18">
        <f>'Raw Data'!M47/'Raw Data'!L47*100</f>
        <v/>
      </c>
      <c r="F47" s="14">
        <f>IF(E47&gt;15,"Wet Year",IF(E47&lt;-15,"Dry Year","Normal Year"))</f>
        <v/>
      </c>
      <c r="G47" s="16">
        <f>'Raw Data'!I47</f>
        <v/>
      </c>
      <c r="H47" s="14">
        <f>IF(G47&lt;15,"Low Variability",IF(G47&lt;=35,"Moderate Variability","High Variability"))</f>
        <v/>
      </c>
      <c r="I47" s="18">
        <f>'Raw Data'!O47</f>
        <v/>
      </c>
      <c r="J47" s="14">
        <f>IF(I47=0,"No Flood",IF(I47&lt;=0.5,"Low",IF(I47&lt;=2,"Moderate","High")))</f>
        <v/>
      </c>
    </row>
    <row r="48" ht="15" customHeight="1" s="12">
      <c r="A48" s="14">
        <f>'Raw Data'!A48</f>
        <v/>
      </c>
      <c r="B48" s="14">
        <f>'Raw Data'!B48</f>
        <v/>
      </c>
      <c r="C48" s="14">
        <f>'Raw Data'!C48</f>
        <v/>
      </c>
      <c r="D48" s="15">
        <f>'Raw Data'!M48</f>
        <v/>
      </c>
      <c r="E48" s="18">
        <f>'Raw Data'!M48/'Raw Data'!L48*100</f>
        <v/>
      </c>
      <c r="F48" s="14">
        <f>IF(E48&gt;15,"Wet Year",IF(E48&lt;-15,"Dry Year","Normal Year"))</f>
        <v/>
      </c>
      <c r="G48" s="16">
        <f>'Raw Data'!I48</f>
        <v/>
      </c>
      <c r="H48" s="14">
        <f>IF(G48&lt;15,"Low Variability",IF(G48&lt;=35,"Moderate Variability","High Variability"))</f>
        <v/>
      </c>
      <c r="I48" s="18">
        <f>'Raw Data'!O48</f>
        <v/>
      </c>
      <c r="J48" s="14">
        <f>IF(I48=0,"No Flood",IF(I48&lt;=0.5,"Low",IF(I48&lt;=2,"Moderate","High")))</f>
        <v/>
      </c>
    </row>
    <row r="49" ht="15" customHeight="1" s="12">
      <c r="A49" s="14">
        <f>'Raw Data'!A49</f>
        <v/>
      </c>
      <c r="B49" s="14">
        <f>'Raw Data'!B49</f>
        <v/>
      </c>
      <c r="C49" s="14">
        <f>'Raw Data'!C49</f>
        <v/>
      </c>
      <c r="D49" s="15">
        <f>'Raw Data'!M49</f>
        <v/>
      </c>
      <c r="E49" s="18">
        <f>'Raw Data'!M49/'Raw Data'!L49*100</f>
        <v/>
      </c>
      <c r="F49" s="14">
        <f>IF(E49&gt;15,"Wet Year",IF(E49&lt;-15,"Dry Year","Normal Year"))</f>
        <v/>
      </c>
      <c r="G49" s="16">
        <f>'Raw Data'!I49</f>
        <v/>
      </c>
      <c r="H49" s="14">
        <f>IF(G49&lt;15,"Low Variability",IF(G49&lt;=35,"Moderate Variability","High Variability"))</f>
        <v/>
      </c>
      <c r="I49" s="18">
        <f>'Raw Data'!O49</f>
        <v/>
      </c>
      <c r="J49" s="14">
        <f>IF(I49=0,"No Flood",IF(I49&lt;=0.5,"Low",IF(I49&lt;=2,"Moderate","High")))</f>
        <v/>
      </c>
    </row>
    <row r="50" ht="15" customHeight="1" s="12">
      <c r="A50" s="14">
        <f>'Raw Data'!A50</f>
        <v/>
      </c>
      <c r="B50" s="14">
        <f>'Raw Data'!B50</f>
        <v/>
      </c>
      <c r="C50" s="14">
        <f>'Raw Data'!C50</f>
        <v/>
      </c>
      <c r="D50" s="15">
        <f>'Raw Data'!M50</f>
        <v/>
      </c>
      <c r="E50" s="18">
        <f>'Raw Data'!M50/'Raw Data'!L50*100</f>
        <v/>
      </c>
      <c r="F50" s="14">
        <f>IF(E50&gt;15,"Wet Year",IF(E50&lt;-15,"Dry Year","Normal Year"))</f>
        <v/>
      </c>
      <c r="G50" s="16">
        <f>'Raw Data'!I50</f>
        <v/>
      </c>
      <c r="H50" s="14">
        <f>IF(G50&lt;15,"Low Variability",IF(G50&lt;=35,"Moderate Variability","High Variability"))</f>
        <v/>
      </c>
      <c r="I50" s="18">
        <f>'Raw Data'!O50</f>
        <v/>
      </c>
      <c r="J50" s="14">
        <f>IF(I50=0,"No Flood",IF(I50&lt;=0.5,"Low",IF(I50&lt;=2,"Moderate","High")))</f>
        <v/>
      </c>
    </row>
    <row r="51" ht="15" customHeight="1" s="12">
      <c r="A51" s="14">
        <f>'Raw Data'!A51</f>
        <v/>
      </c>
      <c r="B51" s="14">
        <f>'Raw Data'!B51</f>
        <v/>
      </c>
      <c r="C51" s="14">
        <f>'Raw Data'!C51</f>
        <v/>
      </c>
      <c r="D51" s="15">
        <f>'Raw Data'!M51</f>
        <v/>
      </c>
      <c r="E51" s="18">
        <f>'Raw Data'!M51/'Raw Data'!L51*100</f>
        <v/>
      </c>
      <c r="F51" s="14">
        <f>IF(E51&gt;15,"Wet Year",IF(E51&lt;-15,"Dry Year","Normal Year"))</f>
        <v/>
      </c>
      <c r="G51" s="16">
        <f>'Raw Data'!I51</f>
        <v/>
      </c>
      <c r="H51" s="14">
        <f>IF(G51&lt;15,"Low Variability",IF(G51&lt;=35,"Moderate Variability","High Variability"))</f>
        <v/>
      </c>
      <c r="I51" s="18">
        <f>'Raw Data'!O51</f>
        <v/>
      </c>
      <c r="J51" s="14">
        <f>IF(I51=0,"No Flood",IF(I51&lt;=0.5,"Low",IF(I51&lt;=2,"Moderate","High")))</f>
        <v/>
      </c>
    </row>
    <row r="52" ht="15" customHeight="1" s="12">
      <c r="A52" s="14">
        <f>'Raw Data'!A52</f>
        <v/>
      </c>
      <c r="B52" s="14">
        <f>'Raw Data'!B52</f>
        <v/>
      </c>
      <c r="C52" s="14">
        <f>'Raw Data'!C52</f>
        <v/>
      </c>
      <c r="D52" s="15">
        <f>'Raw Data'!M52</f>
        <v/>
      </c>
      <c r="E52" s="18">
        <f>'Raw Data'!M52/'Raw Data'!L52*100</f>
        <v/>
      </c>
      <c r="F52" s="14">
        <f>IF(E52&gt;15,"Wet Year",IF(E52&lt;-15,"Dry Year","Normal Year"))</f>
        <v/>
      </c>
      <c r="G52" s="16">
        <f>'Raw Data'!I52</f>
        <v/>
      </c>
      <c r="H52" s="14">
        <f>IF(G52&lt;15,"Low Variability",IF(G52&lt;=35,"Moderate Variability","High Variability"))</f>
        <v/>
      </c>
      <c r="I52" s="18">
        <f>'Raw Data'!O52</f>
        <v/>
      </c>
      <c r="J52" s="14">
        <f>IF(I52=0,"No Flood",IF(I52&lt;=0.5,"Low",IF(I52&lt;=2,"Moderate","High")))</f>
        <v/>
      </c>
    </row>
    <row r="53" ht="15" customHeight="1" s="12">
      <c r="A53" s="14">
        <f>'Raw Data'!A53</f>
        <v/>
      </c>
      <c r="B53" s="14">
        <f>'Raw Data'!B53</f>
        <v/>
      </c>
      <c r="C53" s="14">
        <f>'Raw Data'!C53</f>
        <v/>
      </c>
      <c r="D53" s="15">
        <f>'Raw Data'!M53</f>
        <v/>
      </c>
      <c r="E53" s="18">
        <f>'Raw Data'!M53/'Raw Data'!L53*100</f>
        <v/>
      </c>
      <c r="F53" s="14">
        <f>IF(E53&gt;15,"Wet Year",IF(E53&lt;-15,"Dry Year","Normal Year"))</f>
        <v/>
      </c>
      <c r="G53" s="16">
        <f>'Raw Data'!I53</f>
        <v/>
      </c>
      <c r="H53" s="14">
        <f>IF(G53&lt;15,"Low Variability",IF(G53&lt;=35,"Moderate Variability","High Variability"))</f>
        <v/>
      </c>
      <c r="I53" s="18">
        <f>'Raw Data'!O53</f>
        <v/>
      </c>
      <c r="J53" s="14">
        <f>IF(I53=0,"No Flood",IF(I53&lt;=0.5,"Low",IF(I53&lt;=2,"Moderate","High")))</f>
        <v/>
      </c>
    </row>
    <row r="54" ht="15" customHeight="1" s="12">
      <c r="A54" s="14">
        <f>'Raw Data'!A54</f>
        <v/>
      </c>
      <c r="B54" s="14">
        <f>'Raw Data'!B54</f>
        <v/>
      </c>
      <c r="C54" s="14">
        <f>'Raw Data'!C54</f>
        <v/>
      </c>
      <c r="D54" s="15">
        <f>'Raw Data'!M54</f>
        <v/>
      </c>
      <c r="E54" s="18">
        <f>'Raw Data'!M54/'Raw Data'!L54*100</f>
        <v/>
      </c>
      <c r="F54" s="14">
        <f>IF(E54&gt;15,"Wet Year",IF(E54&lt;-15,"Dry Year","Normal Year"))</f>
        <v/>
      </c>
      <c r="G54" s="16">
        <f>'Raw Data'!I54</f>
        <v/>
      </c>
      <c r="H54" s="14">
        <f>IF(G54&lt;15,"Low Variability",IF(G54&lt;=35,"Moderate Variability","High Variability"))</f>
        <v/>
      </c>
      <c r="I54" s="18">
        <f>'Raw Data'!O54</f>
        <v/>
      </c>
      <c r="J54" s="14">
        <f>IF(I54=0,"No Flood",IF(I54&lt;=0.5,"Low",IF(I54&lt;=2,"Moderate","High")))</f>
        <v/>
      </c>
    </row>
    <row r="55" ht="15" customHeight="1" s="12">
      <c r="A55" s="14">
        <f>'Raw Data'!A55</f>
        <v/>
      </c>
      <c r="B55" s="14">
        <f>'Raw Data'!B55</f>
        <v/>
      </c>
      <c r="C55" s="14">
        <f>'Raw Data'!C55</f>
        <v/>
      </c>
      <c r="D55" s="15">
        <f>'Raw Data'!M55</f>
        <v/>
      </c>
      <c r="E55" s="18">
        <f>'Raw Data'!M55/'Raw Data'!L55*100</f>
        <v/>
      </c>
      <c r="F55" s="14">
        <f>IF(E55&gt;15,"Wet Year",IF(E55&lt;-15,"Dry Year","Normal Year"))</f>
        <v/>
      </c>
      <c r="G55" s="16">
        <f>'Raw Data'!I55</f>
        <v/>
      </c>
      <c r="H55" s="14">
        <f>IF(G55&lt;15,"Low Variability",IF(G55&lt;=35,"Moderate Variability","High Variability"))</f>
        <v/>
      </c>
      <c r="I55" s="18">
        <f>'Raw Data'!O55</f>
        <v/>
      </c>
      <c r="J55" s="14">
        <f>IF(I55=0,"No Flood",IF(I55&lt;=0.5,"Low",IF(I55&lt;=2,"Moderate","High")))</f>
        <v/>
      </c>
    </row>
    <row r="56" ht="15" customHeight="1" s="12">
      <c r="A56" s="14">
        <f>'Raw Data'!A56</f>
        <v/>
      </c>
      <c r="B56" s="14">
        <f>'Raw Data'!B56</f>
        <v/>
      </c>
      <c r="C56" s="14">
        <f>'Raw Data'!C56</f>
        <v/>
      </c>
      <c r="D56" s="15">
        <f>'Raw Data'!M56</f>
        <v/>
      </c>
      <c r="E56" s="18">
        <f>'Raw Data'!M56/'Raw Data'!L56*100</f>
        <v/>
      </c>
      <c r="F56" s="14">
        <f>IF(E56&gt;15,"Wet Year",IF(E56&lt;-15,"Dry Year","Normal Year"))</f>
        <v/>
      </c>
      <c r="G56" s="16">
        <f>'Raw Data'!I56</f>
        <v/>
      </c>
      <c r="H56" s="14">
        <f>IF(G56&lt;15,"Low Variability",IF(G56&lt;=35,"Moderate Variability","High Variability"))</f>
        <v/>
      </c>
      <c r="I56" s="18">
        <f>'Raw Data'!O56</f>
        <v/>
      </c>
      <c r="J56" s="14">
        <f>IF(I56=0,"No Flood",IF(I56&lt;=0.5,"Low",IF(I56&lt;=2,"Moderate","High")))</f>
        <v/>
      </c>
    </row>
    <row r="57" ht="15" customHeight="1" s="12">
      <c r="A57" s="14">
        <f>'Raw Data'!A57</f>
        <v/>
      </c>
      <c r="B57" s="14">
        <f>'Raw Data'!B57</f>
        <v/>
      </c>
      <c r="C57" s="14">
        <f>'Raw Data'!C57</f>
        <v/>
      </c>
      <c r="D57" s="15">
        <f>'Raw Data'!M57</f>
        <v/>
      </c>
      <c r="E57" s="18">
        <f>'Raw Data'!M57/'Raw Data'!L57*100</f>
        <v/>
      </c>
      <c r="F57" s="14">
        <f>IF(E57&gt;15,"Wet Year",IF(E57&lt;-15,"Dry Year","Normal Year"))</f>
        <v/>
      </c>
      <c r="G57" s="16">
        <f>'Raw Data'!I57</f>
        <v/>
      </c>
      <c r="H57" s="14">
        <f>IF(G57&lt;15,"Low Variability",IF(G57&lt;=35,"Moderate Variability","High Variability"))</f>
        <v/>
      </c>
      <c r="I57" s="18">
        <f>'Raw Data'!O57</f>
        <v/>
      </c>
      <c r="J57" s="14">
        <f>IF(I57=0,"No Flood",IF(I57&lt;=0.5,"Low",IF(I57&lt;=2,"Moderate","High")))</f>
        <v/>
      </c>
    </row>
    <row r="58" ht="15" customHeight="1" s="12">
      <c r="A58" s="14">
        <f>'Raw Data'!A58</f>
        <v/>
      </c>
      <c r="B58" s="14">
        <f>'Raw Data'!B58</f>
        <v/>
      </c>
      <c r="C58" s="14">
        <f>'Raw Data'!C58</f>
        <v/>
      </c>
      <c r="D58" s="15">
        <f>'Raw Data'!M58</f>
        <v/>
      </c>
      <c r="E58" s="18">
        <f>'Raw Data'!M58/'Raw Data'!L58*100</f>
        <v/>
      </c>
      <c r="F58" s="14">
        <f>IF(E58&gt;15,"Wet Year",IF(E58&lt;-15,"Dry Year","Normal Year"))</f>
        <v/>
      </c>
      <c r="G58" s="16">
        <f>'Raw Data'!I58</f>
        <v/>
      </c>
      <c r="H58" s="14">
        <f>IF(G58&lt;15,"Low Variability",IF(G58&lt;=35,"Moderate Variability","High Variability"))</f>
        <v/>
      </c>
      <c r="I58" s="18">
        <f>'Raw Data'!O58</f>
        <v/>
      </c>
      <c r="J58" s="14">
        <f>IF(I58=0,"No Flood",IF(I58&lt;=0.5,"Low",IF(I58&lt;=2,"Moderate","High")))</f>
        <v/>
      </c>
    </row>
    <row r="59" ht="15" customHeight="1" s="12">
      <c r="A59" s="14">
        <f>'Raw Data'!A59</f>
        <v/>
      </c>
      <c r="B59" s="14">
        <f>'Raw Data'!B59</f>
        <v/>
      </c>
      <c r="C59" s="14">
        <f>'Raw Data'!C59</f>
        <v/>
      </c>
      <c r="D59" s="15">
        <f>'Raw Data'!M59</f>
        <v/>
      </c>
      <c r="E59" s="18">
        <f>'Raw Data'!M59/'Raw Data'!L59*100</f>
        <v/>
      </c>
      <c r="F59" s="14">
        <f>IF(E59&gt;15,"Wet Year",IF(E59&lt;-15,"Dry Year","Normal Year"))</f>
        <v/>
      </c>
      <c r="G59" s="16">
        <f>'Raw Data'!I59</f>
        <v/>
      </c>
      <c r="H59" s="14">
        <f>IF(G59&lt;15,"Low Variability",IF(G59&lt;=35,"Moderate Variability","High Variability"))</f>
        <v/>
      </c>
      <c r="I59" s="18">
        <f>'Raw Data'!O59</f>
        <v/>
      </c>
      <c r="J59" s="14">
        <f>IF(I59=0,"No Flood",IF(I59&lt;=0.5,"Low",IF(I59&lt;=2,"Moderate","High")))</f>
        <v/>
      </c>
    </row>
    <row r="60" ht="15" customHeight="1" s="12">
      <c r="A60" s="14">
        <f>'Raw Data'!A60</f>
        <v/>
      </c>
      <c r="B60" s="14">
        <f>'Raw Data'!B60</f>
        <v/>
      </c>
      <c r="C60" s="14">
        <f>'Raw Data'!C60</f>
        <v/>
      </c>
      <c r="D60" s="15">
        <f>'Raw Data'!M60</f>
        <v/>
      </c>
      <c r="E60" s="18">
        <f>'Raw Data'!M60/'Raw Data'!L60*100</f>
        <v/>
      </c>
      <c r="F60" s="14">
        <f>IF(E60&gt;15,"Wet Year",IF(E60&lt;-15,"Dry Year","Normal Year"))</f>
        <v/>
      </c>
      <c r="G60" s="16">
        <f>'Raw Data'!I60</f>
        <v/>
      </c>
      <c r="H60" s="14">
        <f>IF(G60&lt;15,"Low Variability",IF(G60&lt;=35,"Moderate Variability","High Variability"))</f>
        <v/>
      </c>
      <c r="I60" s="18">
        <f>'Raw Data'!O60</f>
        <v/>
      </c>
      <c r="J60" s="14">
        <f>IF(I60=0,"No Flood",IF(I60&lt;=0.5,"Low",IF(I60&lt;=2,"Moderate","High")))</f>
        <v/>
      </c>
    </row>
    <row r="61" ht="15" customHeight="1" s="12">
      <c r="A61" s="14">
        <f>'Raw Data'!A61</f>
        <v/>
      </c>
      <c r="B61" s="14">
        <f>'Raw Data'!B61</f>
        <v/>
      </c>
      <c r="C61" s="14">
        <f>'Raw Data'!C61</f>
        <v/>
      </c>
      <c r="D61" s="15">
        <f>'Raw Data'!M61</f>
        <v/>
      </c>
      <c r="E61" s="18">
        <f>'Raw Data'!M61/'Raw Data'!L61*100</f>
        <v/>
      </c>
      <c r="F61" s="14">
        <f>IF(E61&gt;15,"Wet Year",IF(E61&lt;-15,"Dry Year","Normal Year"))</f>
        <v/>
      </c>
      <c r="G61" s="16">
        <f>'Raw Data'!I61</f>
        <v/>
      </c>
      <c r="H61" s="14">
        <f>IF(G61&lt;15,"Low Variability",IF(G61&lt;=35,"Moderate Variability","High Variability"))</f>
        <v/>
      </c>
      <c r="I61" s="18">
        <f>'Raw Data'!O61</f>
        <v/>
      </c>
      <c r="J61" s="14">
        <f>IF(I61=0,"No Flood",IF(I61&lt;=0.5,"Low",IF(I61&lt;=2,"Moderate","High")))</f>
        <v/>
      </c>
    </row>
    <row r="62" ht="15" customHeight="1" s="12">
      <c r="A62" s="14">
        <f>'Raw Data'!A62</f>
        <v/>
      </c>
      <c r="B62" s="14">
        <f>'Raw Data'!B62</f>
        <v/>
      </c>
      <c r="C62" s="14">
        <f>'Raw Data'!C62</f>
        <v/>
      </c>
      <c r="D62" s="15">
        <f>'Raw Data'!M62</f>
        <v/>
      </c>
      <c r="E62" s="18">
        <f>'Raw Data'!M62/'Raw Data'!L62*100</f>
        <v/>
      </c>
      <c r="F62" s="14">
        <f>IF(E62&gt;15,"Wet Year",IF(E62&lt;-15,"Dry Year","Normal Year"))</f>
        <v/>
      </c>
      <c r="G62" s="16">
        <f>'Raw Data'!I62</f>
        <v/>
      </c>
      <c r="H62" s="14">
        <f>IF(G62&lt;15,"Low Variability",IF(G62&lt;=35,"Moderate Variability","High Variability"))</f>
        <v/>
      </c>
      <c r="I62" s="18">
        <f>'Raw Data'!O62</f>
        <v/>
      </c>
      <c r="J62" s="14">
        <f>IF(I62=0,"No Flood",IF(I62&lt;=0.5,"Low",IF(I62&lt;=2,"Moderate","High")))</f>
        <v/>
      </c>
    </row>
    <row r="63" ht="15" customHeight="1" s="12">
      <c r="A63" s="14">
        <f>'Raw Data'!A63</f>
        <v/>
      </c>
      <c r="B63" s="14">
        <f>'Raw Data'!B63</f>
        <v/>
      </c>
      <c r="C63" s="14">
        <f>'Raw Data'!C63</f>
        <v/>
      </c>
      <c r="D63" s="15">
        <f>'Raw Data'!M63</f>
        <v/>
      </c>
      <c r="E63" s="18">
        <f>'Raw Data'!M63/'Raw Data'!L63*100</f>
        <v/>
      </c>
      <c r="F63" s="14">
        <f>IF(E63&gt;15,"Wet Year",IF(E63&lt;-15,"Dry Year","Normal Year"))</f>
        <v/>
      </c>
      <c r="G63" s="16">
        <f>'Raw Data'!I63</f>
        <v/>
      </c>
      <c r="H63" s="14">
        <f>IF(G63&lt;15,"Low Variability",IF(G63&lt;=35,"Moderate Variability","High Variability"))</f>
        <v/>
      </c>
      <c r="I63" s="18">
        <f>'Raw Data'!O63</f>
        <v/>
      </c>
      <c r="J63" s="14">
        <f>IF(I63=0,"No Flood",IF(I63&lt;=0.5,"Low",IF(I63&lt;=2,"Moderate","High")))</f>
        <v/>
      </c>
    </row>
    <row r="64" ht="15" customHeight="1" s="12">
      <c r="A64" s="14">
        <f>'Raw Data'!A64</f>
        <v/>
      </c>
      <c r="B64" s="14">
        <f>'Raw Data'!B64</f>
        <v/>
      </c>
      <c r="C64" s="14">
        <f>'Raw Data'!C64</f>
        <v/>
      </c>
      <c r="D64" s="15">
        <f>'Raw Data'!M64</f>
        <v/>
      </c>
      <c r="E64" s="18">
        <f>'Raw Data'!M64/'Raw Data'!L64*100</f>
        <v/>
      </c>
      <c r="F64" s="14">
        <f>IF(E64&gt;15,"Wet Year",IF(E64&lt;-15,"Dry Year","Normal Year"))</f>
        <v/>
      </c>
      <c r="G64" s="16">
        <f>'Raw Data'!I64</f>
        <v/>
      </c>
      <c r="H64" s="14">
        <f>IF(G64&lt;15,"Low Variability",IF(G64&lt;=35,"Moderate Variability","High Variability"))</f>
        <v/>
      </c>
      <c r="I64" s="18">
        <f>'Raw Data'!O64</f>
        <v/>
      </c>
      <c r="J64" s="14">
        <f>IF(I64=0,"No Flood",IF(I64&lt;=0.5,"Low",IF(I64&lt;=2,"Moderate","High")))</f>
        <v/>
      </c>
    </row>
    <row r="65" ht="15" customHeight="1" s="12">
      <c r="A65" s="14">
        <f>'Raw Data'!A65</f>
        <v/>
      </c>
      <c r="B65" s="14">
        <f>'Raw Data'!B65</f>
        <v/>
      </c>
      <c r="C65" s="14">
        <f>'Raw Data'!C65</f>
        <v/>
      </c>
      <c r="D65" s="15">
        <f>'Raw Data'!M65</f>
        <v/>
      </c>
      <c r="E65" s="18">
        <f>'Raw Data'!M65/'Raw Data'!L65*100</f>
        <v/>
      </c>
      <c r="F65" s="14">
        <f>IF(E65&gt;15,"Wet Year",IF(E65&lt;-15,"Dry Year","Normal Year"))</f>
        <v/>
      </c>
      <c r="G65" s="16">
        <f>'Raw Data'!I65</f>
        <v/>
      </c>
      <c r="H65" s="14">
        <f>IF(G65&lt;15,"Low Variability",IF(G65&lt;=35,"Moderate Variability","High Variability"))</f>
        <v/>
      </c>
      <c r="I65" s="18">
        <f>'Raw Data'!O65</f>
        <v/>
      </c>
      <c r="J65" s="14">
        <f>IF(I65=0,"No Flood",IF(I65&lt;=0.5,"Low",IF(I65&lt;=2,"Moderate","High")))</f>
        <v/>
      </c>
    </row>
    <row r="66" ht="15" customHeight="1" s="12">
      <c r="A66" s="14">
        <f>'Raw Data'!A66</f>
        <v/>
      </c>
      <c r="B66" s="14">
        <f>'Raw Data'!B66</f>
        <v/>
      </c>
      <c r="C66" s="14">
        <f>'Raw Data'!C66</f>
        <v/>
      </c>
      <c r="D66" s="15">
        <f>'Raw Data'!M66</f>
        <v/>
      </c>
      <c r="E66" s="18">
        <f>'Raw Data'!M66/'Raw Data'!L66*100</f>
        <v/>
      </c>
      <c r="F66" s="14">
        <f>IF(E66&gt;15,"Wet Year",IF(E66&lt;-15,"Dry Year","Normal Year"))</f>
        <v/>
      </c>
      <c r="G66" s="16">
        <f>'Raw Data'!I66</f>
        <v/>
      </c>
      <c r="H66" s="14">
        <f>IF(G66&lt;15,"Low Variability",IF(G66&lt;=35,"Moderate Variability","High Variability"))</f>
        <v/>
      </c>
      <c r="I66" s="18">
        <f>'Raw Data'!O66</f>
        <v/>
      </c>
      <c r="J66" s="14">
        <f>IF(I66=0,"No Flood",IF(I66&lt;=0.5,"Low",IF(I66&lt;=2,"Moderate","High")))</f>
        <v/>
      </c>
    </row>
    <row r="67" ht="15" customHeight="1" s="12">
      <c r="A67" s="14">
        <f>'Raw Data'!A67</f>
        <v/>
      </c>
      <c r="B67" s="14">
        <f>'Raw Data'!B67</f>
        <v/>
      </c>
      <c r="C67" s="14">
        <f>'Raw Data'!C67</f>
        <v/>
      </c>
      <c r="D67" s="15">
        <f>'Raw Data'!M67</f>
        <v/>
      </c>
      <c r="E67" s="18">
        <f>'Raw Data'!M67/'Raw Data'!L67*100</f>
        <v/>
      </c>
      <c r="F67" s="14">
        <f>IF(E67&gt;15,"Wet Year",IF(E67&lt;-15,"Dry Year","Normal Year"))</f>
        <v/>
      </c>
      <c r="G67" s="16">
        <f>'Raw Data'!I67</f>
        <v/>
      </c>
      <c r="H67" s="14">
        <f>IF(G67&lt;15,"Low Variability",IF(G67&lt;=35,"Moderate Variability","High Variability"))</f>
        <v/>
      </c>
      <c r="I67" s="18">
        <f>'Raw Data'!O67</f>
        <v/>
      </c>
      <c r="J67" s="14">
        <f>IF(I67=0,"No Flood",IF(I67&lt;=0.5,"Low",IF(I67&lt;=2,"Moderate","High")))</f>
        <v/>
      </c>
    </row>
    <row r="68" ht="15" customHeight="1" s="12">
      <c r="A68" s="14">
        <f>'Raw Data'!A68</f>
        <v/>
      </c>
      <c r="B68" s="14">
        <f>'Raw Data'!B68</f>
        <v/>
      </c>
      <c r="C68" s="14">
        <f>'Raw Data'!C68</f>
        <v/>
      </c>
      <c r="D68" s="15">
        <f>'Raw Data'!M68</f>
        <v/>
      </c>
      <c r="E68" s="18">
        <f>'Raw Data'!M68/'Raw Data'!L68*100</f>
        <v/>
      </c>
      <c r="F68" s="14">
        <f>IF(E68&gt;15,"Wet Year",IF(E68&lt;-15,"Dry Year","Normal Year"))</f>
        <v/>
      </c>
      <c r="G68" s="16">
        <f>'Raw Data'!I68</f>
        <v/>
      </c>
      <c r="H68" s="14">
        <f>IF(G68&lt;15,"Low Variability",IF(G68&lt;=35,"Moderate Variability","High Variability"))</f>
        <v/>
      </c>
      <c r="I68" s="18">
        <f>'Raw Data'!O68</f>
        <v/>
      </c>
      <c r="J68" s="14">
        <f>IF(I68=0,"No Flood",IF(I68&lt;=0.5,"Low",IF(I68&lt;=2,"Moderate","High")))</f>
        <v/>
      </c>
    </row>
    <row r="69" ht="15" customHeight="1" s="12">
      <c r="A69" s="14">
        <f>'Raw Data'!A69</f>
        <v/>
      </c>
      <c r="B69" s="14">
        <f>'Raw Data'!B69</f>
        <v/>
      </c>
      <c r="C69" s="14">
        <f>'Raw Data'!C69</f>
        <v/>
      </c>
      <c r="D69" s="15">
        <f>'Raw Data'!M69</f>
        <v/>
      </c>
      <c r="E69" s="18">
        <f>'Raw Data'!M69/'Raw Data'!L69*100</f>
        <v/>
      </c>
      <c r="F69" s="14">
        <f>IF(E69&gt;15,"Wet Year",IF(E69&lt;-15,"Dry Year","Normal Year"))</f>
        <v/>
      </c>
      <c r="G69" s="16">
        <f>'Raw Data'!I69</f>
        <v/>
      </c>
      <c r="H69" s="14">
        <f>IF(G69&lt;15,"Low Variability",IF(G69&lt;=35,"Moderate Variability","High Variability"))</f>
        <v/>
      </c>
      <c r="I69" s="18">
        <f>'Raw Data'!O69</f>
        <v/>
      </c>
      <c r="J69" s="14">
        <f>IF(I69=0,"No Flood",IF(I69&lt;=0.5,"Low",IF(I69&lt;=2,"Moderate","High")))</f>
        <v/>
      </c>
    </row>
    <row r="70" ht="15" customHeight="1" s="12">
      <c r="A70" s="14">
        <f>'Raw Data'!A70</f>
        <v/>
      </c>
      <c r="B70" s="14">
        <f>'Raw Data'!B70</f>
        <v/>
      </c>
      <c r="C70" s="14">
        <f>'Raw Data'!C70</f>
        <v/>
      </c>
      <c r="D70" s="15">
        <f>'Raw Data'!M70</f>
        <v/>
      </c>
      <c r="E70" s="18">
        <f>'Raw Data'!M70/'Raw Data'!L70*100</f>
        <v/>
      </c>
      <c r="F70" s="14">
        <f>IF(E70&gt;15,"Wet Year",IF(E70&lt;-15,"Dry Year","Normal Year"))</f>
        <v/>
      </c>
      <c r="G70" s="16">
        <f>'Raw Data'!I70</f>
        <v/>
      </c>
      <c r="H70" s="14">
        <f>IF(G70&lt;15,"Low Variability",IF(G70&lt;=35,"Moderate Variability","High Variability"))</f>
        <v/>
      </c>
      <c r="I70" s="18">
        <f>'Raw Data'!O70</f>
        <v/>
      </c>
      <c r="J70" s="14">
        <f>IF(I70=0,"No Flood",IF(I70&lt;=0.5,"Low",IF(I70&lt;=2,"Moderate","High")))</f>
        <v/>
      </c>
    </row>
    <row r="71" ht="15" customHeight="1" s="12">
      <c r="A71" s="14">
        <f>'Raw Data'!A71</f>
        <v/>
      </c>
      <c r="B71" s="14">
        <f>'Raw Data'!B71</f>
        <v/>
      </c>
      <c r="C71" s="14">
        <f>'Raw Data'!C71</f>
        <v/>
      </c>
      <c r="D71" s="15">
        <f>'Raw Data'!M71</f>
        <v/>
      </c>
      <c r="E71" s="18">
        <f>'Raw Data'!M71/'Raw Data'!L71*100</f>
        <v/>
      </c>
      <c r="F71" s="14">
        <f>IF(E71&gt;15,"Wet Year",IF(E71&lt;-15,"Dry Year","Normal Year"))</f>
        <v/>
      </c>
      <c r="G71" s="16">
        <f>'Raw Data'!I71</f>
        <v/>
      </c>
      <c r="H71" s="14">
        <f>IF(G71&lt;15,"Low Variability",IF(G71&lt;=35,"Moderate Variability","High Variability"))</f>
        <v/>
      </c>
      <c r="I71" s="18">
        <f>'Raw Data'!O71</f>
        <v/>
      </c>
      <c r="J71" s="14">
        <f>IF(I71=0,"No Flood",IF(I71&lt;=0.5,"Low",IF(I71&lt;=2,"Moderate","High")))</f>
        <v/>
      </c>
    </row>
    <row r="72" ht="15" customHeight="1" s="12">
      <c r="A72" s="14">
        <f>'Raw Data'!A72</f>
        <v/>
      </c>
      <c r="B72" s="14">
        <f>'Raw Data'!B72</f>
        <v/>
      </c>
      <c r="C72" s="14">
        <f>'Raw Data'!C72</f>
        <v/>
      </c>
      <c r="D72" s="15">
        <f>'Raw Data'!M72</f>
        <v/>
      </c>
      <c r="E72" s="18">
        <f>'Raw Data'!M72/'Raw Data'!L72*100</f>
        <v/>
      </c>
      <c r="F72" s="14">
        <f>IF(E72&gt;15,"Wet Year",IF(E72&lt;-15,"Dry Year","Normal Year"))</f>
        <v/>
      </c>
      <c r="G72" s="16">
        <f>'Raw Data'!I72</f>
        <v/>
      </c>
      <c r="H72" s="14">
        <f>IF(G72&lt;15,"Low Variability",IF(G72&lt;=35,"Moderate Variability","High Variability"))</f>
        <v/>
      </c>
      <c r="I72" s="18">
        <f>'Raw Data'!O72</f>
        <v/>
      </c>
      <c r="J72" s="14">
        <f>IF(I72=0,"No Flood",IF(I72&lt;=0.5,"Low",IF(I72&lt;=2,"Moderate","High")))</f>
        <v/>
      </c>
    </row>
    <row r="73" ht="15" customHeight="1" s="12">
      <c r="A73" s="14">
        <f>'Raw Data'!A73</f>
        <v/>
      </c>
      <c r="B73" s="14">
        <f>'Raw Data'!B73</f>
        <v/>
      </c>
      <c r="C73" s="14">
        <f>'Raw Data'!C73</f>
        <v/>
      </c>
      <c r="D73" s="15">
        <f>'Raw Data'!M73</f>
        <v/>
      </c>
      <c r="E73" s="18">
        <f>'Raw Data'!M73/'Raw Data'!L73*100</f>
        <v/>
      </c>
      <c r="F73" s="14">
        <f>IF(E73&gt;15,"Wet Year",IF(E73&lt;-15,"Dry Year","Normal Year"))</f>
        <v/>
      </c>
      <c r="G73" s="16">
        <f>'Raw Data'!I73</f>
        <v/>
      </c>
      <c r="H73" s="14">
        <f>IF(G73&lt;15,"Low Variability",IF(G73&lt;=35,"Moderate Variability","High Variability"))</f>
        <v/>
      </c>
      <c r="I73" s="18">
        <f>'Raw Data'!O73</f>
        <v/>
      </c>
      <c r="J73" s="14">
        <f>IF(I73=0,"No Flood",IF(I73&lt;=0.5,"Low",IF(I73&lt;=2,"Moderate","High")))</f>
        <v/>
      </c>
    </row>
    <row r="74" ht="15" customHeight="1" s="12">
      <c r="A74" s="14">
        <f>'Raw Data'!A74</f>
        <v/>
      </c>
      <c r="B74" s="14">
        <f>'Raw Data'!B74</f>
        <v/>
      </c>
      <c r="C74" s="14">
        <f>'Raw Data'!C74</f>
        <v/>
      </c>
      <c r="D74" s="15">
        <f>'Raw Data'!M74</f>
        <v/>
      </c>
      <c r="E74" s="18">
        <f>'Raw Data'!M74/'Raw Data'!L74*100</f>
        <v/>
      </c>
      <c r="F74" s="14">
        <f>IF(E74&gt;15,"Wet Year",IF(E74&lt;-15,"Dry Year","Normal Year"))</f>
        <v/>
      </c>
      <c r="G74" s="16">
        <f>'Raw Data'!I74</f>
        <v/>
      </c>
      <c r="H74" s="14">
        <f>IF(G74&lt;15,"Low Variability",IF(G74&lt;=35,"Moderate Variability","High Variability"))</f>
        <v/>
      </c>
      <c r="I74" s="18">
        <f>'Raw Data'!O74</f>
        <v/>
      </c>
      <c r="J74" s="14">
        <f>IF(I74=0,"No Flood",IF(I74&lt;=0.5,"Low",IF(I74&lt;=2,"Moderate","High")))</f>
        <v/>
      </c>
    </row>
    <row r="75" ht="15" customHeight="1" s="12">
      <c r="A75" s="14">
        <f>'Raw Data'!A75</f>
        <v/>
      </c>
      <c r="B75" s="14">
        <f>'Raw Data'!B75</f>
        <v/>
      </c>
      <c r="C75" s="14">
        <f>'Raw Data'!C75</f>
        <v/>
      </c>
      <c r="D75" s="15">
        <f>'Raw Data'!M75</f>
        <v/>
      </c>
      <c r="E75" s="18">
        <f>'Raw Data'!M75/'Raw Data'!L75*100</f>
        <v/>
      </c>
      <c r="F75" s="14">
        <f>IF(E75&gt;15,"Wet Year",IF(E75&lt;-15,"Dry Year","Normal Year"))</f>
        <v/>
      </c>
      <c r="G75" s="16">
        <f>'Raw Data'!I75</f>
        <v/>
      </c>
      <c r="H75" s="14">
        <f>IF(G75&lt;15,"Low Variability",IF(G75&lt;=35,"Moderate Variability","High Variability"))</f>
        <v/>
      </c>
      <c r="I75" s="18">
        <f>'Raw Data'!O75</f>
        <v/>
      </c>
      <c r="J75" s="14">
        <f>IF(I75=0,"No Flood",IF(I75&lt;=0.5,"Low",IF(I75&lt;=2,"Moderate","High")))</f>
        <v/>
      </c>
    </row>
    <row r="76" ht="15" customHeight="1" s="12">
      <c r="A76" s="14">
        <f>'Raw Data'!A76</f>
        <v/>
      </c>
      <c r="B76" s="14">
        <f>'Raw Data'!B76</f>
        <v/>
      </c>
      <c r="C76" s="14">
        <f>'Raw Data'!C76</f>
        <v/>
      </c>
      <c r="D76" s="15">
        <f>'Raw Data'!M76</f>
        <v/>
      </c>
      <c r="E76" s="18">
        <f>'Raw Data'!M76/'Raw Data'!L76*100</f>
        <v/>
      </c>
      <c r="F76" s="14">
        <f>IF(E76&gt;15,"Wet Year",IF(E76&lt;-15,"Dry Year","Normal Year"))</f>
        <v/>
      </c>
      <c r="G76" s="16">
        <f>'Raw Data'!I76</f>
        <v/>
      </c>
      <c r="H76" s="14">
        <f>IF(G76&lt;15,"Low Variability",IF(G76&lt;=35,"Moderate Variability","High Variability"))</f>
        <v/>
      </c>
      <c r="I76" s="18">
        <f>'Raw Data'!O76</f>
        <v/>
      </c>
      <c r="J76" s="14">
        <f>IF(I76=0,"No Flood",IF(I76&lt;=0.5,"Low",IF(I76&lt;=2,"Moderate","High")))</f>
        <v/>
      </c>
    </row>
    <row r="77" ht="15" customHeight="1" s="12">
      <c r="A77" s="14">
        <f>'Raw Data'!A77</f>
        <v/>
      </c>
      <c r="B77" s="14">
        <f>'Raw Data'!B77</f>
        <v/>
      </c>
      <c r="C77" s="14">
        <f>'Raw Data'!C77</f>
        <v/>
      </c>
      <c r="D77" s="15">
        <f>'Raw Data'!M77</f>
        <v/>
      </c>
      <c r="E77" s="18">
        <f>'Raw Data'!M77/'Raw Data'!L77*100</f>
        <v/>
      </c>
      <c r="F77" s="14">
        <f>IF(E77&gt;15,"Wet Year",IF(E77&lt;-15,"Dry Year","Normal Year"))</f>
        <v/>
      </c>
      <c r="G77" s="16">
        <f>'Raw Data'!I77</f>
        <v/>
      </c>
      <c r="H77" s="14">
        <f>IF(G77&lt;15,"Low Variability",IF(G77&lt;=35,"Moderate Variability","High Variability"))</f>
        <v/>
      </c>
      <c r="I77" s="18">
        <f>'Raw Data'!O77</f>
        <v/>
      </c>
      <c r="J77" s="14">
        <f>IF(I77=0,"No Flood",IF(I77&lt;=0.5,"Low",IF(I77&lt;=2,"Moderate","High")))</f>
        <v/>
      </c>
    </row>
    <row r="78" ht="15" customHeight="1" s="12">
      <c r="A78" s="14">
        <f>'Raw Data'!A78</f>
        <v/>
      </c>
      <c r="B78" s="14">
        <f>'Raw Data'!B78</f>
        <v/>
      </c>
      <c r="C78" s="14">
        <f>'Raw Data'!C78</f>
        <v/>
      </c>
      <c r="D78" s="15">
        <f>'Raw Data'!M78</f>
        <v/>
      </c>
      <c r="E78" s="18">
        <f>'Raw Data'!M78/'Raw Data'!L78*100</f>
        <v/>
      </c>
      <c r="F78" s="14">
        <f>IF(E78&gt;15,"Wet Year",IF(E78&lt;-15,"Dry Year","Normal Year"))</f>
        <v/>
      </c>
      <c r="G78" s="16">
        <f>'Raw Data'!I78</f>
        <v/>
      </c>
      <c r="H78" s="14">
        <f>IF(G78&lt;15,"Low Variability",IF(G78&lt;=35,"Moderate Variability","High Variability"))</f>
        <v/>
      </c>
      <c r="I78" s="18">
        <f>'Raw Data'!O78</f>
        <v/>
      </c>
      <c r="J78" s="14">
        <f>IF(I78=0,"No Flood",IF(I78&lt;=0.5,"Low",IF(I78&lt;=2,"Moderate","High")))</f>
        <v/>
      </c>
    </row>
    <row r="79" ht="15" customHeight="1" s="12">
      <c r="A79" s="14">
        <f>'Raw Data'!A79</f>
        <v/>
      </c>
      <c r="B79" s="14">
        <f>'Raw Data'!B79</f>
        <v/>
      </c>
      <c r="C79" s="14">
        <f>'Raw Data'!C79</f>
        <v/>
      </c>
      <c r="D79" s="15">
        <f>'Raw Data'!M79</f>
        <v/>
      </c>
      <c r="E79" s="18">
        <f>'Raw Data'!M79/'Raw Data'!L79*100</f>
        <v/>
      </c>
      <c r="F79" s="14">
        <f>IF(E79&gt;15,"Wet Year",IF(E79&lt;-15,"Dry Year","Normal Year"))</f>
        <v/>
      </c>
      <c r="G79" s="16">
        <f>'Raw Data'!I79</f>
        <v/>
      </c>
      <c r="H79" s="14">
        <f>IF(G79&lt;15,"Low Variability",IF(G79&lt;=35,"Moderate Variability","High Variability"))</f>
        <v/>
      </c>
      <c r="I79" s="18">
        <f>'Raw Data'!O79</f>
        <v/>
      </c>
      <c r="J79" s="14">
        <f>IF(I79=0,"No Flood",IF(I79&lt;=0.5,"Low",IF(I79&lt;=2,"Moderate","High")))</f>
        <v/>
      </c>
    </row>
    <row r="80" ht="15" customHeight="1" s="12">
      <c r="A80" s="14">
        <f>'Raw Data'!A80</f>
        <v/>
      </c>
      <c r="B80" s="14">
        <f>'Raw Data'!B80</f>
        <v/>
      </c>
      <c r="C80" s="14">
        <f>'Raw Data'!C80</f>
        <v/>
      </c>
      <c r="D80" s="15">
        <f>'Raw Data'!M80</f>
        <v/>
      </c>
      <c r="E80" s="18">
        <f>'Raw Data'!M80/'Raw Data'!L80*100</f>
        <v/>
      </c>
      <c r="F80" s="14">
        <f>IF(E80&gt;15,"Wet Year",IF(E80&lt;-15,"Dry Year","Normal Year"))</f>
        <v/>
      </c>
      <c r="G80" s="16">
        <f>'Raw Data'!I80</f>
        <v/>
      </c>
      <c r="H80" s="14">
        <f>IF(G80&lt;15,"Low Variability",IF(G80&lt;=35,"Moderate Variability","High Variability"))</f>
        <v/>
      </c>
      <c r="I80" s="18">
        <f>'Raw Data'!O80</f>
        <v/>
      </c>
      <c r="J80" s="14">
        <f>IF(I80=0,"No Flood",IF(I80&lt;=0.5,"Low",IF(I80&lt;=2,"Moderate","High")))</f>
        <v/>
      </c>
    </row>
    <row r="81" ht="15" customHeight="1" s="12">
      <c r="A81" s="14">
        <f>'Raw Data'!A81</f>
        <v/>
      </c>
      <c r="B81" s="14">
        <f>'Raw Data'!B81</f>
        <v/>
      </c>
      <c r="C81" s="14">
        <f>'Raw Data'!C81</f>
        <v/>
      </c>
      <c r="D81" s="15">
        <f>'Raw Data'!M81</f>
        <v/>
      </c>
      <c r="E81" s="18">
        <f>'Raw Data'!M81/'Raw Data'!L81*100</f>
        <v/>
      </c>
      <c r="F81" s="14">
        <f>IF(E81&gt;15,"Wet Year",IF(E81&lt;-15,"Dry Year","Normal Year"))</f>
        <v/>
      </c>
      <c r="G81" s="16">
        <f>'Raw Data'!I81</f>
        <v/>
      </c>
      <c r="H81" s="14">
        <f>IF(G81&lt;15,"Low Variability",IF(G81&lt;=35,"Moderate Variability","High Variability"))</f>
        <v/>
      </c>
      <c r="I81" s="18">
        <f>'Raw Data'!O81</f>
        <v/>
      </c>
      <c r="J81" s="14">
        <f>IF(I81=0,"No Flood",IF(I81&lt;=0.5,"Low",IF(I81&lt;=2,"Moderate","High")))</f>
        <v/>
      </c>
    </row>
    <row r="82" ht="15" customHeight="1" s="12">
      <c r="A82" s="14">
        <f>'Raw Data'!A82</f>
        <v/>
      </c>
      <c r="B82" s="14">
        <f>'Raw Data'!B82</f>
        <v/>
      </c>
      <c r="C82" s="14">
        <f>'Raw Data'!C82</f>
        <v/>
      </c>
      <c r="D82" s="15">
        <f>'Raw Data'!M82</f>
        <v/>
      </c>
      <c r="E82" s="18">
        <f>'Raw Data'!M82/'Raw Data'!L82*100</f>
        <v/>
      </c>
      <c r="F82" s="14">
        <f>IF(E82&gt;15,"Wet Year",IF(E82&lt;-15,"Dry Year","Normal Year"))</f>
        <v/>
      </c>
      <c r="G82" s="16">
        <f>'Raw Data'!I82</f>
        <v/>
      </c>
      <c r="H82" s="14">
        <f>IF(G82&lt;15,"Low Variability",IF(G82&lt;=35,"Moderate Variability","High Variability"))</f>
        <v/>
      </c>
      <c r="I82" s="18">
        <f>'Raw Data'!O82</f>
        <v/>
      </c>
      <c r="J82" s="14">
        <f>IF(I82=0,"No Flood",IF(I82&lt;=0.5,"Low",IF(I82&lt;=2,"Moderate","High")))</f>
        <v/>
      </c>
    </row>
    <row r="83" ht="15" customHeight="1" s="12">
      <c r="A83" s="14">
        <f>'Raw Data'!A83</f>
        <v/>
      </c>
      <c r="B83" s="14">
        <f>'Raw Data'!B83</f>
        <v/>
      </c>
      <c r="C83" s="14">
        <f>'Raw Data'!C83</f>
        <v/>
      </c>
      <c r="D83" s="15">
        <f>'Raw Data'!M83</f>
        <v/>
      </c>
      <c r="E83" s="18">
        <f>'Raw Data'!M83/'Raw Data'!L83*100</f>
        <v/>
      </c>
      <c r="F83" s="14">
        <f>IF(E83&gt;15,"Wet Year",IF(E83&lt;-15,"Dry Year","Normal Year"))</f>
        <v/>
      </c>
      <c r="G83" s="16">
        <f>'Raw Data'!I83</f>
        <v/>
      </c>
      <c r="H83" s="14">
        <f>IF(G83&lt;15,"Low Variability",IF(G83&lt;=35,"Moderate Variability","High Variability"))</f>
        <v/>
      </c>
      <c r="I83" s="18">
        <f>'Raw Data'!O83</f>
        <v/>
      </c>
      <c r="J83" s="14">
        <f>IF(I83=0,"No Flood",IF(I83&lt;=0.5,"Low",IF(I83&lt;=2,"Moderate","High")))</f>
        <v/>
      </c>
    </row>
    <row r="84" ht="15" customHeight="1" s="12">
      <c r="A84" s="14">
        <f>'Raw Data'!A84</f>
        <v/>
      </c>
      <c r="B84" s="14">
        <f>'Raw Data'!B84</f>
        <v/>
      </c>
      <c r="C84" s="14">
        <f>'Raw Data'!C84</f>
        <v/>
      </c>
      <c r="D84" s="15">
        <f>'Raw Data'!M84</f>
        <v/>
      </c>
      <c r="E84" s="18">
        <f>'Raw Data'!M84/'Raw Data'!L84*100</f>
        <v/>
      </c>
      <c r="F84" s="14">
        <f>IF(E84&gt;15,"Wet Year",IF(E84&lt;-15,"Dry Year","Normal Year"))</f>
        <v/>
      </c>
      <c r="G84" s="16">
        <f>'Raw Data'!I84</f>
        <v/>
      </c>
      <c r="H84" s="14">
        <f>IF(G84&lt;15,"Low Variability",IF(G84&lt;=35,"Moderate Variability","High Variability"))</f>
        <v/>
      </c>
      <c r="I84" s="18">
        <f>'Raw Data'!O84</f>
        <v/>
      </c>
      <c r="J84" s="14">
        <f>IF(I84=0,"No Flood",IF(I84&lt;=0.5,"Low",IF(I84&lt;=2,"Moderate","High")))</f>
        <v/>
      </c>
    </row>
    <row r="85" ht="15" customHeight="1" s="12">
      <c r="A85" s="14">
        <f>'Raw Data'!A85</f>
        <v/>
      </c>
      <c r="B85" s="14">
        <f>'Raw Data'!B85</f>
        <v/>
      </c>
      <c r="C85" s="14">
        <f>'Raw Data'!C85</f>
        <v/>
      </c>
      <c r="D85" s="15">
        <f>'Raw Data'!M85</f>
        <v/>
      </c>
      <c r="E85" s="18">
        <f>'Raw Data'!M85/'Raw Data'!L85*100</f>
        <v/>
      </c>
      <c r="F85" s="14">
        <f>IF(E85&gt;15,"Wet Year",IF(E85&lt;-15,"Dry Year","Normal Year"))</f>
        <v/>
      </c>
      <c r="G85" s="16">
        <f>'Raw Data'!I85</f>
        <v/>
      </c>
      <c r="H85" s="14">
        <f>IF(G85&lt;15,"Low Variability",IF(G85&lt;=35,"Moderate Variability","High Variability"))</f>
        <v/>
      </c>
      <c r="I85" s="18">
        <f>'Raw Data'!O85</f>
        <v/>
      </c>
      <c r="J85" s="14">
        <f>IF(I85=0,"No Flood",IF(I85&lt;=0.5,"Low",IF(I85&lt;=2,"Moderate","High")))</f>
        <v/>
      </c>
    </row>
    <row r="86" ht="15" customHeight="1" s="12">
      <c r="A86" s="14">
        <f>'Raw Data'!A86</f>
        <v/>
      </c>
      <c r="B86" s="14">
        <f>'Raw Data'!B86</f>
        <v/>
      </c>
      <c r="C86" s="14">
        <f>'Raw Data'!C86</f>
        <v/>
      </c>
      <c r="D86" s="15">
        <f>'Raw Data'!M86</f>
        <v/>
      </c>
      <c r="E86" s="18">
        <f>'Raw Data'!M86/'Raw Data'!L86*100</f>
        <v/>
      </c>
      <c r="F86" s="14">
        <f>IF(E86&gt;15,"Wet Year",IF(E86&lt;-15,"Dry Year","Normal Year"))</f>
        <v/>
      </c>
      <c r="G86" s="16">
        <f>'Raw Data'!I86</f>
        <v/>
      </c>
      <c r="H86" s="14">
        <f>IF(G86&lt;15,"Low Variability",IF(G86&lt;=35,"Moderate Variability","High Variability"))</f>
        <v/>
      </c>
      <c r="I86" s="18">
        <f>'Raw Data'!O86</f>
        <v/>
      </c>
      <c r="J86" s="14">
        <f>IF(I86=0,"No Flood",IF(I86&lt;=0.5,"Low",IF(I86&lt;=2,"Moderate","High")))</f>
        <v/>
      </c>
    </row>
    <row r="87" ht="15" customHeight="1" s="12">
      <c r="A87" s="14">
        <f>'Raw Data'!A87</f>
        <v/>
      </c>
      <c r="B87" s="14">
        <f>'Raw Data'!B87</f>
        <v/>
      </c>
      <c r="C87" s="14">
        <f>'Raw Data'!C87</f>
        <v/>
      </c>
      <c r="D87" s="15">
        <f>'Raw Data'!M87</f>
        <v/>
      </c>
      <c r="E87" s="18">
        <f>'Raw Data'!M87/'Raw Data'!L87*100</f>
        <v/>
      </c>
      <c r="F87" s="14">
        <f>IF(E87&gt;15,"Wet Year",IF(E87&lt;-15,"Dry Year","Normal Year"))</f>
        <v/>
      </c>
      <c r="G87" s="16">
        <f>'Raw Data'!I87</f>
        <v/>
      </c>
      <c r="H87" s="14">
        <f>IF(G87&lt;15,"Low Variability",IF(G87&lt;=35,"Moderate Variability","High Variability"))</f>
        <v/>
      </c>
      <c r="I87" s="18">
        <f>'Raw Data'!O87</f>
        <v/>
      </c>
      <c r="J87" s="14">
        <f>IF(I87=0,"No Flood",IF(I87&lt;=0.5,"Low",IF(I87&lt;=2,"Moderate","High")))</f>
        <v/>
      </c>
    </row>
    <row r="88" ht="15" customHeight="1" s="12">
      <c r="A88" s="14">
        <f>'Raw Data'!A88</f>
        <v/>
      </c>
      <c r="B88" s="14">
        <f>'Raw Data'!B88</f>
        <v/>
      </c>
      <c r="C88" s="14">
        <f>'Raw Data'!C88</f>
        <v/>
      </c>
      <c r="D88" s="15">
        <f>'Raw Data'!M88</f>
        <v/>
      </c>
      <c r="E88" s="18">
        <f>'Raw Data'!M88/'Raw Data'!L88*100</f>
        <v/>
      </c>
      <c r="F88" s="14">
        <f>IF(E88&gt;15,"Wet Year",IF(E88&lt;-15,"Dry Year","Normal Year"))</f>
        <v/>
      </c>
      <c r="G88" s="16">
        <f>'Raw Data'!I88</f>
        <v/>
      </c>
      <c r="H88" s="14">
        <f>IF(G88&lt;15,"Low Variability",IF(G88&lt;=35,"Moderate Variability","High Variability"))</f>
        <v/>
      </c>
      <c r="I88" s="18">
        <f>'Raw Data'!O88</f>
        <v/>
      </c>
      <c r="J88" s="14">
        <f>IF(I88=0,"No Flood",IF(I88&lt;=0.5,"Low",IF(I88&lt;=2,"Moderate","High")))</f>
        <v/>
      </c>
    </row>
    <row r="89" ht="15" customHeight="1" s="12">
      <c r="A89" s="14">
        <f>'Raw Data'!A89</f>
        <v/>
      </c>
      <c r="B89" s="14">
        <f>'Raw Data'!B89</f>
        <v/>
      </c>
      <c r="C89" s="14">
        <f>'Raw Data'!C89</f>
        <v/>
      </c>
      <c r="D89" s="15">
        <f>'Raw Data'!M89</f>
        <v/>
      </c>
      <c r="E89" s="18">
        <f>'Raw Data'!M89/'Raw Data'!L89*100</f>
        <v/>
      </c>
      <c r="F89" s="14">
        <f>IF(E89&gt;15,"Wet Year",IF(E89&lt;-15,"Dry Year","Normal Year"))</f>
        <v/>
      </c>
      <c r="G89" s="16">
        <f>'Raw Data'!I89</f>
        <v/>
      </c>
      <c r="H89" s="14">
        <f>IF(G89&lt;15,"Low Variability",IF(G89&lt;=35,"Moderate Variability","High Variability"))</f>
        <v/>
      </c>
      <c r="I89" s="18">
        <f>'Raw Data'!O89</f>
        <v/>
      </c>
      <c r="J89" s="14">
        <f>IF(I89=0,"No Flood",IF(I89&lt;=0.5,"Low",IF(I89&lt;=2,"Moderate","High")))</f>
        <v/>
      </c>
    </row>
    <row r="90" ht="15" customHeight="1" s="12">
      <c r="A90" s="14">
        <f>'Raw Data'!A90</f>
        <v/>
      </c>
      <c r="B90" s="14">
        <f>'Raw Data'!B90</f>
        <v/>
      </c>
      <c r="C90" s="14">
        <f>'Raw Data'!C90</f>
        <v/>
      </c>
      <c r="D90" s="15">
        <f>'Raw Data'!M90</f>
        <v/>
      </c>
      <c r="E90" s="18">
        <f>'Raw Data'!M90/'Raw Data'!L90*100</f>
        <v/>
      </c>
      <c r="F90" s="14">
        <f>IF(E90&gt;15,"Wet Year",IF(E90&lt;-15,"Dry Year","Normal Year"))</f>
        <v/>
      </c>
      <c r="G90" s="16">
        <f>'Raw Data'!I90</f>
        <v/>
      </c>
      <c r="H90" s="14">
        <f>IF(G90&lt;15,"Low Variability",IF(G90&lt;=35,"Moderate Variability","High Variability"))</f>
        <v/>
      </c>
      <c r="I90" s="18">
        <f>'Raw Data'!O90</f>
        <v/>
      </c>
      <c r="J90" s="14">
        <f>IF(I90=0,"No Flood",IF(I90&lt;=0.5,"Low",IF(I90&lt;=2,"Moderate","High")))</f>
        <v/>
      </c>
    </row>
    <row r="91" ht="15" customHeight="1" s="12">
      <c r="A91" s="14">
        <f>'Raw Data'!A91</f>
        <v/>
      </c>
      <c r="B91" s="14">
        <f>'Raw Data'!B91</f>
        <v/>
      </c>
      <c r="C91" s="14">
        <f>'Raw Data'!C91</f>
        <v/>
      </c>
      <c r="D91" s="15">
        <f>'Raw Data'!M91</f>
        <v/>
      </c>
      <c r="E91" s="18">
        <f>'Raw Data'!M91/'Raw Data'!L91*100</f>
        <v/>
      </c>
      <c r="F91" s="14">
        <f>IF(E91&gt;15,"Wet Year",IF(E91&lt;-15,"Dry Year","Normal Year"))</f>
        <v/>
      </c>
      <c r="G91" s="16">
        <f>'Raw Data'!I91</f>
        <v/>
      </c>
      <c r="H91" s="14">
        <f>IF(G91&lt;15,"Low Variability",IF(G91&lt;=35,"Moderate Variability","High Variability"))</f>
        <v/>
      </c>
      <c r="I91" s="18">
        <f>'Raw Data'!O91</f>
        <v/>
      </c>
      <c r="J91" s="14">
        <f>IF(I91=0,"No Flood",IF(I91&lt;=0.5,"Low",IF(I91&lt;=2,"Moderate","High")))</f>
        <v/>
      </c>
    </row>
    <row r="92" ht="15" customHeight="1" s="12">
      <c r="A92" s="14">
        <f>'Raw Data'!A92</f>
        <v/>
      </c>
      <c r="B92" s="14">
        <f>'Raw Data'!B92</f>
        <v/>
      </c>
      <c r="C92" s="14">
        <f>'Raw Data'!C92</f>
        <v/>
      </c>
      <c r="D92" s="15">
        <f>'Raw Data'!M92</f>
        <v/>
      </c>
      <c r="E92" s="18">
        <f>'Raw Data'!M92/'Raw Data'!L92*100</f>
        <v/>
      </c>
      <c r="F92" s="14">
        <f>IF(E92&gt;15,"Wet Year",IF(E92&lt;-15,"Dry Year","Normal Year"))</f>
        <v/>
      </c>
      <c r="G92" s="16">
        <f>'Raw Data'!I92</f>
        <v/>
      </c>
      <c r="H92" s="14">
        <f>IF(G92&lt;15,"Low Variability",IF(G92&lt;=35,"Moderate Variability","High Variability"))</f>
        <v/>
      </c>
      <c r="I92" s="18">
        <f>'Raw Data'!O92</f>
        <v/>
      </c>
      <c r="J92" s="14">
        <f>IF(I92=0,"No Flood",IF(I92&lt;=0.5,"Low",IF(I92&lt;=2,"Moderate","High")))</f>
        <v/>
      </c>
    </row>
    <row r="93" ht="15" customHeight="1" s="12">
      <c r="A93" s="14">
        <f>'Raw Data'!A93</f>
        <v/>
      </c>
      <c r="B93" s="14">
        <f>'Raw Data'!B93</f>
        <v/>
      </c>
      <c r="C93" s="14">
        <f>'Raw Data'!C93</f>
        <v/>
      </c>
      <c r="D93" s="15">
        <f>'Raw Data'!M93</f>
        <v/>
      </c>
      <c r="E93" s="18">
        <f>'Raw Data'!M93/'Raw Data'!L93*100</f>
        <v/>
      </c>
      <c r="F93" s="14">
        <f>IF(E93&gt;15,"Wet Year",IF(E93&lt;-15,"Dry Year","Normal Year"))</f>
        <v/>
      </c>
      <c r="G93" s="16">
        <f>'Raw Data'!I93</f>
        <v/>
      </c>
      <c r="H93" s="14">
        <f>IF(G93&lt;15,"Low Variability",IF(G93&lt;=35,"Moderate Variability","High Variability"))</f>
        <v/>
      </c>
      <c r="I93" s="18">
        <f>'Raw Data'!O93</f>
        <v/>
      </c>
      <c r="J93" s="14">
        <f>IF(I93=0,"No Flood",IF(I93&lt;=0.5,"Low",IF(I93&lt;=2,"Moderate","High")))</f>
        <v/>
      </c>
    </row>
    <row r="94" ht="15" customHeight="1" s="12">
      <c r="A94" s="14">
        <f>'Raw Data'!A94</f>
        <v/>
      </c>
      <c r="B94" s="14">
        <f>'Raw Data'!B94</f>
        <v/>
      </c>
      <c r="C94" s="14">
        <f>'Raw Data'!C94</f>
        <v/>
      </c>
      <c r="D94" s="15">
        <f>'Raw Data'!M94</f>
        <v/>
      </c>
      <c r="E94" s="18">
        <f>'Raw Data'!M94/'Raw Data'!L94*100</f>
        <v/>
      </c>
      <c r="F94" s="14">
        <f>IF(E94&gt;15,"Wet Year",IF(E94&lt;-15,"Dry Year","Normal Year"))</f>
        <v/>
      </c>
      <c r="G94" s="16">
        <f>'Raw Data'!I94</f>
        <v/>
      </c>
      <c r="H94" s="14">
        <f>IF(G94&lt;15,"Low Variability",IF(G94&lt;=35,"Moderate Variability","High Variability"))</f>
        <v/>
      </c>
      <c r="I94" s="18">
        <f>'Raw Data'!O94</f>
        <v/>
      </c>
      <c r="J94" s="14">
        <f>IF(I94=0,"No Flood",IF(I94&lt;=0.5,"Low",IF(I94&lt;=2,"Moderate","High")))</f>
        <v/>
      </c>
    </row>
    <row r="95" ht="15" customHeight="1" s="12">
      <c r="A95" s="14">
        <f>'Raw Data'!A95</f>
        <v/>
      </c>
      <c r="B95" s="14">
        <f>'Raw Data'!B95</f>
        <v/>
      </c>
      <c r="C95" s="14">
        <f>'Raw Data'!C95</f>
        <v/>
      </c>
      <c r="D95" s="15">
        <f>'Raw Data'!M95</f>
        <v/>
      </c>
      <c r="E95" s="18">
        <f>'Raw Data'!M95/'Raw Data'!L95*100</f>
        <v/>
      </c>
      <c r="F95" s="14">
        <f>IF(E95&gt;15,"Wet Year",IF(E95&lt;-15,"Dry Year","Normal Year"))</f>
        <v/>
      </c>
      <c r="G95" s="16">
        <f>'Raw Data'!I95</f>
        <v/>
      </c>
      <c r="H95" s="14">
        <f>IF(G95&lt;15,"Low Variability",IF(G95&lt;=35,"Moderate Variability","High Variability"))</f>
        <v/>
      </c>
      <c r="I95" s="18">
        <f>'Raw Data'!O95</f>
        <v/>
      </c>
      <c r="J95" s="14">
        <f>IF(I95=0,"No Flood",IF(I95&lt;=0.5,"Low",IF(I95&lt;=2,"Moderate","High")))</f>
        <v/>
      </c>
    </row>
    <row r="96" ht="15" customHeight="1" s="12">
      <c r="A96" s="14">
        <f>'Raw Data'!A96</f>
        <v/>
      </c>
      <c r="B96" s="14">
        <f>'Raw Data'!B96</f>
        <v/>
      </c>
      <c r="C96" s="14">
        <f>'Raw Data'!C96</f>
        <v/>
      </c>
      <c r="D96" s="15">
        <f>'Raw Data'!M96</f>
        <v/>
      </c>
      <c r="E96" s="18">
        <f>'Raw Data'!M96/'Raw Data'!L96*100</f>
        <v/>
      </c>
      <c r="F96" s="14">
        <f>IF(E96&gt;15,"Wet Year",IF(E96&lt;-15,"Dry Year","Normal Year"))</f>
        <v/>
      </c>
      <c r="G96" s="16">
        <f>'Raw Data'!I96</f>
        <v/>
      </c>
      <c r="H96" s="14">
        <f>IF(G96&lt;15,"Low Variability",IF(G96&lt;=35,"Moderate Variability","High Variability"))</f>
        <v/>
      </c>
      <c r="I96" s="18">
        <f>'Raw Data'!O96</f>
        <v/>
      </c>
      <c r="J96" s="14">
        <f>IF(I96=0,"No Flood",IF(I96&lt;=0.5,"Low",IF(I96&lt;=2,"Moderate","High")))</f>
        <v/>
      </c>
    </row>
    <row r="97" ht="15" customHeight="1" s="12">
      <c r="A97" s="14">
        <f>'Raw Data'!A97</f>
        <v/>
      </c>
      <c r="B97" s="14">
        <f>'Raw Data'!B97</f>
        <v/>
      </c>
      <c r="C97" s="14">
        <f>'Raw Data'!C97</f>
        <v/>
      </c>
      <c r="D97" s="15">
        <f>'Raw Data'!M97</f>
        <v/>
      </c>
      <c r="E97" s="18">
        <f>'Raw Data'!M97/'Raw Data'!L97*100</f>
        <v/>
      </c>
      <c r="F97" s="14">
        <f>IF(E97&gt;15,"Wet Year",IF(E97&lt;-15,"Dry Year","Normal Year"))</f>
        <v/>
      </c>
      <c r="G97" s="16">
        <f>'Raw Data'!I97</f>
        <v/>
      </c>
      <c r="H97" s="14">
        <f>IF(G97&lt;15,"Low Variability",IF(G97&lt;=35,"Moderate Variability","High Variability"))</f>
        <v/>
      </c>
      <c r="I97" s="18">
        <f>'Raw Data'!O97</f>
        <v/>
      </c>
      <c r="J97" s="14">
        <f>IF(I97=0,"No Flood",IF(I97&lt;=0.5,"Low",IF(I97&lt;=2,"Moderate","High")))</f>
        <v/>
      </c>
    </row>
    <row r="98" ht="15" customHeight="1" s="12">
      <c r="A98" s="14">
        <f>'Raw Data'!A98</f>
        <v/>
      </c>
      <c r="B98" s="14">
        <f>'Raw Data'!B98</f>
        <v/>
      </c>
      <c r="C98" s="14">
        <f>'Raw Data'!C98</f>
        <v/>
      </c>
      <c r="D98" s="15">
        <f>'Raw Data'!M98</f>
        <v/>
      </c>
      <c r="E98" s="18">
        <f>'Raw Data'!M98/'Raw Data'!L98*100</f>
        <v/>
      </c>
      <c r="F98" s="14">
        <f>IF(E98&gt;15,"Wet Year",IF(E98&lt;-15,"Dry Year","Normal Year"))</f>
        <v/>
      </c>
      <c r="G98" s="16">
        <f>'Raw Data'!I98</f>
        <v/>
      </c>
      <c r="H98" s="14">
        <f>IF(G98&lt;15,"Low Variability",IF(G98&lt;=35,"Moderate Variability","High Variability"))</f>
        <v/>
      </c>
      <c r="I98" s="18">
        <f>'Raw Data'!O98</f>
        <v/>
      </c>
      <c r="J98" s="14">
        <f>IF(I98=0,"No Flood",IF(I98&lt;=0.5,"Low",IF(I98&lt;=2,"Moderate","High")))</f>
        <v/>
      </c>
    </row>
    <row r="99" ht="15" customHeight="1" s="12">
      <c r="A99" s="14">
        <f>'Raw Data'!A99</f>
        <v/>
      </c>
      <c r="B99" s="14">
        <f>'Raw Data'!B99</f>
        <v/>
      </c>
      <c r="C99" s="14">
        <f>'Raw Data'!C99</f>
        <v/>
      </c>
      <c r="D99" s="15">
        <f>'Raw Data'!M99</f>
        <v/>
      </c>
      <c r="E99" s="18">
        <f>'Raw Data'!M99/'Raw Data'!L99*100</f>
        <v/>
      </c>
      <c r="F99" s="14">
        <f>IF(E99&gt;15,"Wet Year",IF(E99&lt;-15,"Dry Year","Normal Year"))</f>
        <v/>
      </c>
      <c r="G99" s="16">
        <f>'Raw Data'!I99</f>
        <v/>
      </c>
      <c r="H99" s="14">
        <f>IF(G99&lt;15,"Low Variability",IF(G99&lt;=35,"Moderate Variability","High Variability"))</f>
        <v/>
      </c>
      <c r="I99" s="18">
        <f>'Raw Data'!O99</f>
        <v/>
      </c>
      <c r="J99" s="14">
        <f>IF(I99=0,"No Flood",IF(I99&lt;=0.5,"Low",IF(I99&lt;=2,"Moderate","High")))</f>
        <v/>
      </c>
    </row>
    <row r="100" ht="15" customHeight="1" s="12">
      <c r="A100" s="14">
        <f>'Raw Data'!A100</f>
        <v/>
      </c>
      <c r="B100" s="14">
        <f>'Raw Data'!B100</f>
        <v/>
      </c>
      <c r="C100" s="14">
        <f>'Raw Data'!C100</f>
        <v/>
      </c>
      <c r="D100" s="15">
        <f>'Raw Data'!M100</f>
        <v/>
      </c>
      <c r="E100" s="18">
        <f>'Raw Data'!M100/'Raw Data'!L100*100</f>
        <v/>
      </c>
      <c r="F100" s="14">
        <f>IF(E100&gt;15,"Wet Year",IF(E100&lt;-15,"Dry Year","Normal Year"))</f>
        <v/>
      </c>
      <c r="G100" s="16">
        <f>'Raw Data'!I100</f>
        <v/>
      </c>
      <c r="H100" s="14">
        <f>IF(G100&lt;15,"Low Variability",IF(G100&lt;=35,"Moderate Variability","High Variability"))</f>
        <v/>
      </c>
      <c r="I100" s="18">
        <f>'Raw Data'!O100</f>
        <v/>
      </c>
      <c r="J100" s="14">
        <f>IF(I100=0,"No Flood",IF(I100&lt;=0.5,"Low",IF(I100&lt;=2,"Moderate","High")))</f>
        <v/>
      </c>
    </row>
    <row r="101" ht="15" customHeight="1" s="12">
      <c r="A101" s="14">
        <f>'Raw Data'!A101</f>
        <v/>
      </c>
      <c r="B101" s="14">
        <f>'Raw Data'!B101</f>
        <v/>
      </c>
      <c r="C101" s="14">
        <f>'Raw Data'!C101</f>
        <v/>
      </c>
      <c r="D101" s="15">
        <f>'Raw Data'!M101</f>
        <v/>
      </c>
      <c r="E101" s="18">
        <f>'Raw Data'!M101/'Raw Data'!L101*100</f>
        <v/>
      </c>
      <c r="F101" s="14">
        <f>IF(E101&gt;15,"Wet Year",IF(E101&lt;-15,"Dry Year","Normal Year"))</f>
        <v/>
      </c>
      <c r="G101" s="16">
        <f>'Raw Data'!I101</f>
        <v/>
      </c>
      <c r="H101" s="14">
        <f>IF(G101&lt;15,"Low Variability",IF(G101&lt;=35,"Moderate Variability","High Variability"))</f>
        <v/>
      </c>
      <c r="I101" s="18">
        <f>'Raw Data'!O101</f>
        <v/>
      </c>
      <c r="J101" s="14">
        <f>IF(I101=0,"No Flood",IF(I101&lt;=0.5,"Low",IF(I101&lt;=2,"Moderate","High")))</f>
        <v/>
      </c>
    </row>
    <row r="102" ht="15" customHeight="1" s="12">
      <c r="A102" s="14">
        <f>'Raw Data'!A102</f>
        <v/>
      </c>
      <c r="B102" s="14">
        <f>'Raw Data'!B102</f>
        <v/>
      </c>
      <c r="C102" s="14">
        <f>'Raw Data'!C102</f>
        <v/>
      </c>
      <c r="D102" s="15">
        <f>'Raw Data'!M102</f>
        <v/>
      </c>
      <c r="E102" s="18">
        <f>'Raw Data'!M102/'Raw Data'!L102*100</f>
        <v/>
      </c>
      <c r="F102" s="14">
        <f>IF(E102&gt;15,"Wet Year",IF(E102&lt;-15,"Dry Year","Normal Year"))</f>
        <v/>
      </c>
      <c r="G102" s="16">
        <f>'Raw Data'!I102</f>
        <v/>
      </c>
      <c r="H102" s="14">
        <f>IF(G102&lt;15,"Low Variability",IF(G102&lt;=35,"Moderate Variability","High Variability"))</f>
        <v/>
      </c>
      <c r="I102" s="18">
        <f>'Raw Data'!O102</f>
        <v/>
      </c>
      <c r="J102" s="14">
        <f>IF(I102=0,"No Flood",IF(I102&lt;=0.5,"Low",IF(I102&lt;=2,"Moderate","High")))</f>
        <v/>
      </c>
    </row>
    <row r="103" ht="15" customHeight="1" s="12">
      <c r="A103" s="14">
        <f>'Raw Data'!A103</f>
        <v/>
      </c>
      <c r="B103" s="14">
        <f>'Raw Data'!B103</f>
        <v/>
      </c>
      <c r="C103" s="14">
        <f>'Raw Data'!C103</f>
        <v/>
      </c>
      <c r="D103" s="15">
        <f>'Raw Data'!M103</f>
        <v/>
      </c>
      <c r="E103" s="18">
        <f>'Raw Data'!M103/'Raw Data'!L103*100</f>
        <v/>
      </c>
      <c r="F103" s="14">
        <f>IF(E103&gt;15,"Wet Year",IF(E103&lt;-15,"Dry Year","Normal Year"))</f>
        <v/>
      </c>
      <c r="G103" s="16">
        <f>'Raw Data'!I103</f>
        <v/>
      </c>
      <c r="H103" s="14">
        <f>IF(G103&lt;15,"Low Variability",IF(G103&lt;=35,"Moderate Variability","High Variability"))</f>
        <v/>
      </c>
      <c r="I103" s="18">
        <f>'Raw Data'!O103</f>
        <v/>
      </c>
      <c r="J103" s="14">
        <f>IF(I103=0,"No Flood",IF(I103&lt;=0.5,"Low",IF(I103&lt;=2,"Moderate","High")))</f>
        <v/>
      </c>
    </row>
    <row r="104" ht="15" customHeight="1" s="12">
      <c r="A104" s="14">
        <f>'Raw Data'!A104</f>
        <v/>
      </c>
      <c r="B104" s="14">
        <f>'Raw Data'!B104</f>
        <v/>
      </c>
      <c r="C104" s="14">
        <f>'Raw Data'!C104</f>
        <v/>
      </c>
      <c r="D104" s="15">
        <f>'Raw Data'!M104</f>
        <v/>
      </c>
      <c r="E104" s="18">
        <f>'Raw Data'!M104/'Raw Data'!L104*100</f>
        <v/>
      </c>
      <c r="F104" s="14">
        <f>IF(E104&gt;15,"Wet Year",IF(E104&lt;-15,"Dry Year","Normal Year"))</f>
        <v/>
      </c>
      <c r="G104" s="16">
        <f>'Raw Data'!I104</f>
        <v/>
      </c>
      <c r="H104" s="14">
        <f>IF(G104&lt;15,"Low Variability",IF(G104&lt;=35,"Moderate Variability","High Variability"))</f>
        <v/>
      </c>
      <c r="I104" s="18">
        <f>'Raw Data'!O104</f>
        <v/>
      </c>
      <c r="J104" s="14">
        <f>IF(I104=0,"No Flood",IF(I104&lt;=0.5,"Low",IF(I104&lt;=2,"Moderate","High")))</f>
        <v/>
      </c>
    </row>
    <row r="105" ht="15" customHeight="1" s="12">
      <c r="A105" s="14">
        <f>'Raw Data'!A105</f>
        <v/>
      </c>
      <c r="B105" s="14">
        <f>'Raw Data'!B105</f>
        <v/>
      </c>
      <c r="C105" s="14">
        <f>'Raw Data'!C105</f>
        <v/>
      </c>
      <c r="D105" s="15">
        <f>'Raw Data'!M105</f>
        <v/>
      </c>
      <c r="E105" s="18">
        <f>'Raw Data'!M105/'Raw Data'!L105*100</f>
        <v/>
      </c>
      <c r="F105" s="14">
        <f>IF(E105&gt;15,"Wet Year",IF(E105&lt;-15,"Dry Year","Normal Year"))</f>
        <v/>
      </c>
      <c r="G105" s="16">
        <f>'Raw Data'!I105</f>
        <v/>
      </c>
      <c r="H105" s="14">
        <f>IF(G105&lt;15,"Low Variability",IF(G105&lt;=35,"Moderate Variability","High Variability"))</f>
        <v/>
      </c>
      <c r="I105" s="18">
        <f>'Raw Data'!O105</f>
        <v/>
      </c>
      <c r="J105" s="14">
        <f>IF(I105=0,"No Flood",IF(I105&lt;=0.5,"Low",IF(I105&lt;=2,"Moderate","High")))</f>
        <v/>
      </c>
    </row>
    <row r="106" ht="15" customHeight="1" s="12">
      <c r="A106" s="14">
        <f>'Raw Data'!A106</f>
        <v/>
      </c>
      <c r="B106" s="14">
        <f>'Raw Data'!B106</f>
        <v/>
      </c>
      <c r="C106" s="14">
        <f>'Raw Data'!C106</f>
        <v/>
      </c>
      <c r="D106" s="15">
        <f>'Raw Data'!M106</f>
        <v/>
      </c>
      <c r="E106" s="18">
        <f>'Raw Data'!M106/'Raw Data'!L106*100</f>
        <v/>
      </c>
      <c r="F106" s="14">
        <f>IF(E106&gt;15,"Wet Year",IF(E106&lt;-15,"Dry Year","Normal Year"))</f>
        <v/>
      </c>
      <c r="G106" s="16">
        <f>'Raw Data'!I106</f>
        <v/>
      </c>
      <c r="H106" s="14">
        <f>IF(G106&lt;15,"Low Variability",IF(G106&lt;=35,"Moderate Variability","High Variability"))</f>
        <v/>
      </c>
      <c r="I106" s="18">
        <f>'Raw Data'!O106</f>
        <v/>
      </c>
      <c r="J106" s="14">
        <f>IF(I106=0,"No Flood",IF(I106&lt;=0.5,"Low",IF(I106&lt;=2,"Moderate","High")))</f>
        <v/>
      </c>
    </row>
    <row r="107" ht="15" customHeight="1" s="12">
      <c r="A107" s="14">
        <f>'Raw Data'!A107</f>
        <v/>
      </c>
      <c r="B107" s="14">
        <f>'Raw Data'!B107</f>
        <v/>
      </c>
      <c r="C107" s="14">
        <f>'Raw Data'!C107</f>
        <v/>
      </c>
      <c r="D107" s="15">
        <f>'Raw Data'!M107</f>
        <v/>
      </c>
      <c r="E107" s="18">
        <f>'Raw Data'!M107/'Raw Data'!L107*100</f>
        <v/>
      </c>
      <c r="F107" s="14">
        <f>IF(E107&gt;15,"Wet Year",IF(E107&lt;-15,"Dry Year","Normal Year"))</f>
        <v/>
      </c>
      <c r="G107" s="16">
        <f>'Raw Data'!I107</f>
        <v/>
      </c>
      <c r="H107" s="14">
        <f>IF(G107&lt;15,"Low Variability",IF(G107&lt;=35,"Moderate Variability","High Variability"))</f>
        <v/>
      </c>
      <c r="I107" s="18">
        <f>'Raw Data'!O107</f>
        <v/>
      </c>
      <c r="J107" s="14">
        <f>IF(I107=0,"No Flood",IF(I107&lt;=0.5,"Low",IF(I107&lt;=2,"Moderate","High")))</f>
        <v/>
      </c>
    </row>
    <row r="108" ht="15" customHeight="1" s="12">
      <c r="A108" s="14">
        <f>'Raw Data'!A108</f>
        <v/>
      </c>
      <c r="B108" s="14">
        <f>'Raw Data'!B108</f>
        <v/>
      </c>
      <c r="C108" s="14">
        <f>'Raw Data'!C108</f>
        <v/>
      </c>
      <c r="D108" s="15">
        <f>'Raw Data'!M108</f>
        <v/>
      </c>
      <c r="E108" s="18">
        <f>'Raw Data'!M108/'Raw Data'!L108*100</f>
        <v/>
      </c>
      <c r="F108" s="14">
        <f>IF(E108&gt;15,"Wet Year",IF(E108&lt;-15,"Dry Year","Normal Year"))</f>
        <v/>
      </c>
      <c r="G108" s="16">
        <f>'Raw Data'!I108</f>
        <v/>
      </c>
      <c r="H108" s="14">
        <f>IF(G108&lt;15,"Low Variability",IF(G108&lt;=35,"Moderate Variability","High Variability"))</f>
        <v/>
      </c>
      <c r="I108" s="18">
        <f>'Raw Data'!O108</f>
        <v/>
      </c>
      <c r="J108" s="14">
        <f>IF(I108=0,"No Flood",IF(I108&lt;=0.5,"Low",IF(I108&lt;=2,"Moderate","High")))</f>
        <v/>
      </c>
    </row>
    <row r="109" ht="15" customHeight="1" s="12">
      <c r="A109" s="14">
        <f>'Raw Data'!A109</f>
        <v/>
      </c>
      <c r="B109" s="14">
        <f>'Raw Data'!B109</f>
        <v/>
      </c>
      <c r="C109" s="14">
        <f>'Raw Data'!C109</f>
        <v/>
      </c>
      <c r="D109" s="15">
        <f>'Raw Data'!M109</f>
        <v/>
      </c>
      <c r="E109" s="18">
        <f>'Raw Data'!M109/'Raw Data'!L109*100</f>
        <v/>
      </c>
      <c r="F109" s="14">
        <f>IF(E109&gt;15,"Wet Year",IF(E109&lt;-15,"Dry Year","Normal Year"))</f>
        <v/>
      </c>
      <c r="G109" s="16">
        <f>'Raw Data'!I109</f>
        <v/>
      </c>
      <c r="H109" s="14">
        <f>IF(G109&lt;15,"Low Variability",IF(G109&lt;=35,"Moderate Variability","High Variability"))</f>
        <v/>
      </c>
      <c r="I109" s="18">
        <f>'Raw Data'!O109</f>
        <v/>
      </c>
      <c r="J109" s="14">
        <f>IF(I109=0,"No Flood",IF(I109&lt;=0.5,"Low",IF(I109&lt;=2,"Moderate","High")))</f>
        <v/>
      </c>
    </row>
    <row r="110" ht="15" customHeight="1" s="12">
      <c r="A110" s="14">
        <f>'Raw Data'!A110</f>
        <v/>
      </c>
      <c r="B110" s="14">
        <f>'Raw Data'!B110</f>
        <v/>
      </c>
      <c r="C110" s="14">
        <f>'Raw Data'!C110</f>
        <v/>
      </c>
      <c r="D110" s="15">
        <f>'Raw Data'!M110</f>
        <v/>
      </c>
      <c r="E110" s="18">
        <f>'Raw Data'!M110/'Raw Data'!L110*100</f>
        <v/>
      </c>
      <c r="F110" s="14">
        <f>IF(E110&gt;15,"Wet Year",IF(E110&lt;-15,"Dry Year","Normal Year"))</f>
        <v/>
      </c>
      <c r="G110" s="16">
        <f>'Raw Data'!I110</f>
        <v/>
      </c>
      <c r="H110" s="14">
        <f>IF(G110&lt;15,"Low Variability",IF(G110&lt;=35,"Moderate Variability","High Variability"))</f>
        <v/>
      </c>
      <c r="I110" s="18">
        <f>'Raw Data'!O110</f>
        <v/>
      </c>
      <c r="J110" s="14">
        <f>IF(I110=0,"No Flood",IF(I110&lt;=0.5,"Low",IF(I110&lt;=2,"Moderate","High")))</f>
        <v/>
      </c>
    </row>
    <row r="111" ht="15" customHeight="1" s="12">
      <c r="A111" s="14">
        <f>'Raw Data'!A111</f>
        <v/>
      </c>
      <c r="B111" s="14">
        <f>'Raw Data'!B111</f>
        <v/>
      </c>
      <c r="C111" s="14">
        <f>'Raw Data'!C111</f>
        <v/>
      </c>
      <c r="D111" s="15">
        <f>'Raw Data'!M111</f>
        <v/>
      </c>
      <c r="E111" s="18">
        <f>'Raw Data'!M111/'Raw Data'!L111*100</f>
        <v/>
      </c>
      <c r="F111" s="14">
        <f>IF(E111&gt;15,"Wet Year",IF(E111&lt;-15,"Dry Year","Normal Year"))</f>
        <v/>
      </c>
      <c r="G111" s="16">
        <f>'Raw Data'!I111</f>
        <v/>
      </c>
      <c r="H111" s="14">
        <f>IF(G111&lt;15,"Low Variability",IF(G111&lt;=35,"Moderate Variability","High Variability"))</f>
        <v/>
      </c>
      <c r="I111" s="18">
        <f>'Raw Data'!O111</f>
        <v/>
      </c>
      <c r="J111" s="14">
        <f>IF(I111=0,"No Flood",IF(I111&lt;=0.5,"Low",IF(I111&lt;=2,"Moderate","High")))</f>
        <v/>
      </c>
    </row>
    <row r="112" ht="15" customHeight="1" s="12">
      <c r="A112" s="14">
        <f>'Raw Data'!A112</f>
        <v/>
      </c>
      <c r="B112" s="14">
        <f>'Raw Data'!B112</f>
        <v/>
      </c>
      <c r="C112" s="14">
        <f>'Raw Data'!C112</f>
        <v/>
      </c>
      <c r="D112" s="15">
        <f>'Raw Data'!M112</f>
        <v/>
      </c>
      <c r="E112" s="18">
        <f>'Raw Data'!M112/'Raw Data'!L112*100</f>
        <v/>
      </c>
      <c r="F112" s="14">
        <f>IF(E112&gt;15,"Wet Year",IF(E112&lt;-15,"Dry Year","Normal Year"))</f>
        <v/>
      </c>
      <c r="G112" s="16">
        <f>'Raw Data'!I112</f>
        <v/>
      </c>
      <c r="H112" s="14">
        <f>IF(G112&lt;15,"Low Variability",IF(G112&lt;=35,"Moderate Variability","High Variability"))</f>
        <v/>
      </c>
      <c r="I112" s="18">
        <f>'Raw Data'!O112</f>
        <v/>
      </c>
      <c r="J112" s="14">
        <f>IF(I112=0,"No Flood",IF(I112&lt;=0.5,"Low",IF(I112&lt;=2,"Moderate","High")))</f>
        <v/>
      </c>
    </row>
    <row r="113" ht="15" customHeight="1" s="12">
      <c r="A113" s="14">
        <f>'Raw Data'!A113</f>
        <v/>
      </c>
      <c r="B113" s="14">
        <f>'Raw Data'!B113</f>
        <v/>
      </c>
      <c r="C113" s="14">
        <f>'Raw Data'!C113</f>
        <v/>
      </c>
      <c r="D113" s="15">
        <f>'Raw Data'!M113</f>
        <v/>
      </c>
      <c r="E113" s="18">
        <f>'Raw Data'!M113/'Raw Data'!L113*100</f>
        <v/>
      </c>
      <c r="F113" s="14">
        <f>IF(E113&gt;15,"Wet Year",IF(E113&lt;-15,"Dry Year","Normal Year"))</f>
        <v/>
      </c>
      <c r="G113" s="16">
        <f>'Raw Data'!I113</f>
        <v/>
      </c>
      <c r="H113" s="14">
        <f>IF(G113&lt;15,"Low Variability",IF(G113&lt;=35,"Moderate Variability","High Variability"))</f>
        <v/>
      </c>
      <c r="I113" s="18">
        <f>'Raw Data'!O113</f>
        <v/>
      </c>
      <c r="J113" s="14">
        <f>IF(I113=0,"No Flood",IF(I113&lt;=0.5,"Low",IF(I113&lt;=2,"Moderate","High")))</f>
        <v/>
      </c>
    </row>
    <row r="114" ht="15" customHeight="1" s="12">
      <c r="A114" s="14">
        <f>'Raw Data'!A114</f>
        <v/>
      </c>
      <c r="B114" s="14">
        <f>'Raw Data'!B114</f>
        <v/>
      </c>
      <c r="C114" s="14">
        <f>'Raw Data'!C114</f>
        <v/>
      </c>
      <c r="D114" s="15">
        <f>'Raw Data'!M114</f>
        <v/>
      </c>
      <c r="E114" s="18">
        <f>'Raw Data'!M114/'Raw Data'!L114*100</f>
        <v/>
      </c>
      <c r="F114" s="14">
        <f>IF(E114&gt;15,"Wet Year",IF(E114&lt;-15,"Dry Year","Normal Year"))</f>
        <v/>
      </c>
      <c r="G114" s="16">
        <f>'Raw Data'!I114</f>
        <v/>
      </c>
      <c r="H114" s="14">
        <f>IF(G114&lt;15,"Low Variability",IF(G114&lt;=35,"Moderate Variability","High Variability"))</f>
        <v/>
      </c>
      <c r="I114" s="18">
        <f>'Raw Data'!O114</f>
        <v/>
      </c>
      <c r="J114" s="14">
        <f>IF(I114=0,"No Flood",IF(I114&lt;=0.5,"Low",IF(I114&lt;=2,"Moderate","High")))</f>
        <v/>
      </c>
    </row>
    <row r="115" ht="15" customHeight="1" s="12">
      <c r="A115" s="14">
        <f>'Raw Data'!A115</f>
        <v/>
      </c>
      <c r="B115" s="14">
        <f>'Raw Data'!B115</f>
        <v/>
      </c>
      <c r="C115" s="14">
        <f>'Raw Data'!C115</f>
        <v/>
      </c>
      <c r="D115" s="15">
        <f>'Raw Data'!M115</f>
        <v/>
      </c>
      <c r="E115" s="18">
        <f>'Raw Data'!M115/'Raw Data'!L115*100</f>
        <v/>
      </c>
      <c r="F115" s="14">
        <f>IF(E115&gt;15,"Wet Year",IF(E115&lt;-15,"Dry Year","Normal Year"))</f>
        <v/>
      </c>
      <c r="G115" s="16">
        <f>'Raw Data'!I115</f>
        <v/>
      </c>
      <c r="H115" s="14">
        <f>IF(G115&lt;15,"Low Variability",IF(G115&lt;=35,"Moderate Variability","High Variability"))</f>
        <v/>
      </c>
      <c r="I115" s="18">
        <f>'Raw Data'!O115</f>
        <v/>
      </c>
      <c r="J115" s="14">
        <f>IF(I115=0,"No Flood",IF(I115&lt;=0.5,"Low",IF(I115&lt;=2,"Moderate","High")))</f>
        <v/>
      </c>
    </row>
    <row r="116" ht="15" customHeight="1" s="12">
      <c r="A116" s="14">
        <f>'Raw Data'!A116</f>
        <v/>
      </c>
      <c r="B116" s="14">
        <f>'Raw Data'!B116</f>
        <v/>
      </c>
      <c r="C116" s="14">
        <f>'Raw Data'!C116</f>
        <v/>
      </c>
      <c r="D116" s="15">
        <f>'Raw Data'!M116</f>
        <v/>
      </c>
      <c r="E116" s="18">
        <f>'Raw Data'!M116/'Raw Data'!L116*100</f>
        <v/>
      </c>
      <c r="F116" s="14">
        <f>IF(E116&gt;15,"Wet Year",IF(E116&lt;-15,"Dry Year","Normal Year"))</f>
        <v/>
      </c>
      <c r="G116" s="16">
        <f>'Raw Data'!I116</f>
        <v/>
      </c>
      <c r="H116" s="14">
        <f>IF(G116&lt;15,"Low Variability",IF(G116&lt;=35,"Moderate Variability","High Variability"))</f>
        <v/>
      </c>
      <c r="I116" s="18">
        <f>'Raw Data'!O116</f>
        <v/>
      </c>
      <c r="J116" s="14">
        <f>IF(I116=0,"No Flood",IF(I116&lt;=0.5,"Low",IF(I116&lt;=2,"Moderate","High")))</f>
        <v/>
      </c>
    </row>
    <row r="117" ht="15" customHeight="1" s="12">
      <c r="A117" s="14">
        <f>'Raw Data'!A117</f>
        <v/>
      </c>
      <c r="B117" s="14">
        <f>'Raw Data'!B117</f>
        <v/>
      </c>
      <c r="C117" s="14">
        <f>'Raw Data'!C117</f>
        <v/>
      </c>
      <c r="D117" s="15">
        <f>'Raw Data'!M117</f>
        <v/>
      </c>
      <c r="E117" s="18">
        <f>'Raw Data'!M117/'Raw Data'!L117*100</f>
        <v/>
      </c>
      <c r="F117" s="14">
        <f>IF(E117&gt;15,"Wet Year",IF(E117&lt;-15,"Dry Year","Normal Year"))</f>
        <v/>
      </c>
      <c r="G117" s="16">
        <f>'Raw Data'!I117</f>
        <v/>
      </c>
      <c r="H117" s="14">
        <f>IF(G117&lt;15,"Low Variability",IF(G117&lt;=35,"Moderate Variability","High Variability"))</f>
        <v/>
      </c>
      <c r="I117" s="18">
        <f>'Raw Data'!O117</f>
        <v/>
      </c>
      <c r="J117" s="14">
        <f>IF(I117=0,"No Flood",IF(I117&lt;=0.5,"Low",IF(I117&lt;=2,"Moderate","High")))</f>
        <v/>
      </c>
    </row>
    <row r="118" ht="15" customHeight="1" s="12">
      <c r="A118" s="14">
        <f>'Raw Data'!A118</f>
        <v/>
      </c>
      <c r="B118" s="14">
        <f>'Raw Data'!B118</f>
        <v/>
      </c>
      <c r="C118" s="14">
        <f>'Raw Data'!C118</f>
        <v/>
      </c>
      <c r="D118" s="15">
        <f>'Raw Data'!M118</f>
        <v/>
      </c>
      <c r="E118" s="18">
        <f>'Raw Data'!M118/'Raw Data'!L118*100</f>
        <v/>
      </c>
      <c r="F118" s="14">
        <f>IF(E118&gt;15,"Wet Year",IF(E118&lt;-15,"Dry Year","Normal Year"))</f>
        <v/>
      </c>
      <c r="G118" s="16">
        <f>'Raw Data'!I118</f>
        <v/>
      </c>
      <c r="H118" s="14">
        <f>IF(G118&lt;15,"Low Variability",IF(G118&lt;=35,"Moderate Variability","High Variability"))</f>
        <v/>
      </c>
      <c r="I118" s="18">
        <f>'Raw Data'!O118</f>
        <v/>
      </c>
      <c r="J118" s="14">
        <f>IF(I118=0,"No Flood",IF(I118&lt;=0.5,"Low",IF(I118&lt;=2,"Moderate","High")))</f>
        <v/>
      </c>
    </row>
    <row r="119" ht="15" customHeight="1" s="12">
      <c r="A119" s="14">
        <f>'Raw Data'!A119</f>
        <v/>
      </c>
      <c r="B119" s="14">
        <f>'Raw Data'!B119</f>
        <v/>
      </c>
      <c r="C119" s="14">
        <f>'Raw Data'!C119</f>
        <v/>
      </c>
      <c r="D119" s="15">
        <f>'Raw Data'!M119</f>
        <v/>
      </c>
      <c r="E119" s="18">
        <f>'Raw Data'!M119/'Raw Data'!L119*100</f>
        <v/>
      </c>
      <c r="F119" s="14">
        <f>IF(E119&gt;15,"Wet Year",IF(E119&lt;-15,"Dry Year","Normal Year"))</f>
        <v/>
      </c>
      <c r="G119" s="16">
        <f>'Raw Data'!I119</f>
        <v/>
      </c>
      <c r="H119" s="14">
        <f>IF(G119&lt;15,"Low Variability",IF(G119&lt;=35,"Moderate Variability","High Variability"))</f>
        <v/>
      </c>
      <c r="I119" s="18">
        <f>'Raw Data'!O119</f>
        <v/>
      </c>
      <c r="J119" s="14">
        <f>IF(I119=0,"No Flood",IF(I119&lt;=0.5,"Low",IF(I119&lt;=2,"Moderate","High")))</f>
        <v/>
      </c>
    </row>
    <row r="120" ht="15" customHeight="1" s="12">
      <c r="A120" s="14">
        <f>'Raw Data'!A120</f>
        <v/>
      </c>
      <c r="B120" s="14">
        <f>'Raw Data'!B120</f>
        <v/>
      </c>
      <c r="C120" s="14">
        <f>'Raw Data'!C120</f>
        <v/>
      </c>
      <c r="D120" s="15">
        <f>'Raw Data'!M120</f>
        <v/>
      </c>
      <c r="E120" s="18">
        <f>'Raw Data'!M120/'Raw Data'!L120*100</f>
        <v/>
      </c>
      <c r="F120" s="14">
        <f>IF(E120&gt;15,"Wet Year",IF(E120&lt;-15,"Dry Year","Normal Year"))</f>
        <v/>
      </c>
      <c r="G120" s="16">
        <f>'Raw Data'!I120</f>
        <v/>
      </c>
      <c r="H120" s="14">
        <f>IF(G120&lt;15,"Low Variability",IF(G120&lt;=35,"Moderate Variability","High Variability"))</f>
        <v/>
      </c>
      <c r="I120" s="18">
        <f>'Raw Data'!O120</f>
        <v/>
      </c>
      <c r="J120" s="14">
        <f>IF(I120=0,"No Flood",IF(I120&lt;=0.5,"Low",IF(I120&lt;=2,"Moderate","High")))</f>
        <v/>
      </c>
    </row>
    <row r="121" ht="15" customHeight="1" s="12">
      <c r="A121" s="14">
        <f>'Raw Data'!A121</f>
        <v/>
      </c>
      <c r="B121" s="14">
        <f>'Raw Data'!B121</f>
        <v/>
      </c>
      <c r="C121" s="14">
        <f>'Raw Data'!C121</f>
        <v/>
      </c>
      <c r="D121" s="15">
        <f>'Raw Data'!M121</f>
        <v/>
      </c>
      <c r="E121" s="18">
        <f>'Raw Data'!M121/'Raw Data'!L121*100</f>
        <v/>
      </c>
      <c r="F121" s="14">
        <f>IF(E121&gt;15,"Wet Year",IF(E121&lt;-15,"Dry Year","Normal Year"))</f>
        <v/>
      </c>
      <c r="G121" s="16">
        <f>'Raw Data'!I121</f>
        <v/>
      </c>
      <c r="H121" s="14">
        <f>IF(G121&lt;15,"Low Variability",IF(G121&lt;=35,"Moderate Variability","High Variability"))</f>
        <v/>
      </c>
      <c r="I121" s="18">
        <f>'Raw Data'!O121</f>
        <v/>
      </c>
      <c r="J121" s="14">
        <f>IF(I121=0,"No Flood",IF(I121&lt;=0.5,"Low",IF(I121&lt;=2,"Moderate","High")))</f>
        <v/>
      </c>
    </row>
    <row r="122" ht="15" customHeight="1" s="12">
      <c r="A122" s="14">
        <f>'Raw Data'!A122</f>
        <v/>
      </c>
      <c r="B122" s="14">
        <f>'Raw Data'!B122</f>
        <v/>
      </c>
      <c r="C122" s="14">
        <f>'Raw Data'!C122</f>
        <v/>
      </c>
      <c r="D122" s="15">
        <f>'Raw Data'!M122</f>
        <v/>
      </c>
      <c r="E122" s="18">
        <f>'Raw Data'!M122/'Raw Data'!L122*100</f>
        <v/>
      </c>
      <c r="F122" s="14">
        <f>IF(E122&gt;15,"Wet Year",IF(E122&lt;-15,"Dry Year","Normal Year"))</f>
        <v/>
      </c>
      <c r="G122" s="16">
        <f>'Raw Data'!I122</f>
        <v/>
      </c>
      <c r="H122" s="14">
        <f>IF(G122&lt;15,"Low Variability",IF(G122&lt;=35,"Moderate Variability","High Variability"))</f>
        <v/>
      </c>
      <c r="I122" s="18">
        <f>'Raw Data'!O122</f>
        <v/>
      </c>
      <c r="J122" s="14">
        <f>IF(I122=0,"No Flood",IF(I122&lt;=0.5,"Low",IF(I122&lt;=2,"Moderate","High")))</f>
        <v/>
      </c>
    </row>
    <row r="123" ht="15" customHeight="1" s="12">
      <c r="A123" s="14">
        <f>'Raw Data'!A123</f>
        <v/>
      </c>
      <c r="B123" s="14">
        <f>'Raw Data'!B123</f>
        <v/>
      </c>
      <c r="C123" s="14">
        <f>'Raw Data'!C123</f>
        <v/>
      </c>
      <c r="D123" s="15">
        <f>'Raw Data'!M123</f>
        <v/>
      </c>
      <c r="E123" s="18">
        <f>'Raw Data'!M123/'Raw Data'!L123*100</f>
        <v/>
      </c>
      <c r="F123" s="14">
        <f>IF(E123&gt;15,"Wet Year",IF(E123&lt;-15,"Dry Year","Normal Year"))</f>
        <v/>
      </c>
      <c r="G123" s="16">
        <f>'Raw Data'!I123</f>
        <v/>
      </c>
      <c r="H123" s="14">
        <f>IF(G123&lt;15,"Low Variability",IF(G123&lt;=35,"Moderate Variability","High Variability"))</f>
        <v/>
      </c>
      <c r="I123" s="18">
        <f>'Raw Data'!O123</f>
        <v/>
      </c>
      <c r="J123" s="14">
        <f>IF(I123=0,"No Flood",IF(I123&lt;=0.5,"Low",IF(I123&lt;=2,"Moderate","High")))</f>
        <v/>
      </c>
    </row>
    <row r="124" ht="15" customHeight="1" s="12">
      <c r="A124" s="14">
        <f>'Raw Data'!A124</f>
        <v/>
      </c>
      <c r="B124" s="14">
        <f>'Raw Data'!B124</f>
        <v/>
      </c>
      <c r="C124" s="14">
        <f>'Raw Data'!C124</f>
        <v/>
      </c>
      <c r="D124" s="15">
        <f>'Raw Data'!M124</f>
        <v/>
      </c>
      <c r="E124" s="18">
        <f>'Raw Data'!M124/'Raw Data'!L124*100</f>
        <v/>
      </c>
      <c r="F124" s="14">
        <f>IF(E124&gt;15,"Wet Year",IF(E124&lt;-15,"Dry Year","Normal Year"))</f>
        <v/>
      </c>
      <c r="G124" s="16">
        <f>'Raw Data'!I124</f>
        <v/>
      </c>
      <c r="H124" s="14">
        <f>IF(G124&lt;15,"Low Variability",IF(G124&lt;=35,"Moderate Variability","High Variability"))</f>
        <v/>
      </c>
      <c r="I124" s="18">
        <f>'Raw Data'!O124</f>
        <v/>
      </c>
      <c r="J124" s="14">
        <f>IF(I124=0,"No Flood",IF(I124&lt;=0.5,"Low",IF(I124&lt;=2,"Moderate","High")))</f>
        <v/>
      </c>
    </row>
    <row r="125" ht="15" customHeight="1" s="12">
      <c r="A125" s="14">
        <f>'Raw Data'!A125</f>
        <v/>
      </c>
      <c r="B125" s="14">
        <f>'Raw Data'!B125</f>
        <v/>
      </c>
      <c r="C125" s="14">
        <f>'Raw Data'!C125</f>
        <v/>
      </c>
      <c r="D125" s="15">
        <f>'Raw Data'!M125</f>
        <v/>
      </c>
      <c r="E125" s="18">
        <f>'Raw Data'!M125/'Raw Data'!L125*100</f>
        <v/>
      </c>
      <c r="F125" s="14">
        <f>IF(E125&gt;15,"Wet Year",IF(E125&lt;-15,"Dry Year","Normal Year"))</f>
        <v/>
      </c>
      <c r="G125" s="16">
        <f>'Raw Data'!I125</f>
        <v/>
      </c>
      <c r="H125" s="14">
        <f>IF(G125&lt;15,"Low Variability",IF(G125&lt;=35,"Moderate Variability","High Variability"))</f>
        <v/>
      </c>
      <c r="I125" s="18">
        <f>'Raw Data'!O125</f>
        <v/>
      </c>
      <c r="J125" s="14">
        <f>IF(I125=0,"No Flood",IF(I125&lt;=0.5,"Low",IF(I125&lt;=2,"Moderate","High")))</f>
        <v/>
      </c>
    </row>
    <row r="126" ht="15" customHeight="1" s="12">
      <c r="A126" s="14">
        <f>'Raw Data'!A126</f>
        <v/>
      </c>
      <c r="B126" s="14">
        <f>'Raw Data'!B126</f>
        <v/>
      </c>
      <c r="C126" s="14">
        <f>'Raw Data'!C126</f>
        <v/>
      </c>
      <c r="D126" s="15">
        <f>'Raw Data'!M126</f>
        <v/>
      </c>
      <c r="E126" s="18">
        <f>'Raw Data'!M126/'Raw Data'!L126*100</f>
        <v/>
      </c>
      <c r="F126" s="14">
        <f>IF(E126&gt;15,"Wet Year",IF(E126&lt;-15,"Dry Year","Normal Year"))</f>
        <v/>
      </c>
      <c r="G126" s="16">
        <f>'Raw Data'!I126</f>
        <v/>
      </c>
      <c r="H126" s="14">
        <f>IF(G126&lt;15,"Low Variability",IF(G126&lt;=35,"Moderate Variability","High Variability"))</f>
        <v/>
      </c>
      <c r="I126" s="18">
        <f>'Raw Data'!O126</f>
        <v/>
      </c>
      <c r="J126" s="14">
        <f>IF(I126=0,"No Flood",IF(I126&lt;=0.5,"Low",IF(I126&lt;=2,"Moderate","High")))</f>
        <v/>
      </c>
    </row>
    <row r="127" ht="15" customHeight="1" s="12">
      <c r="A127" s="14">
        <f>'Raw Data'!A127</f>
        <v/>
      </c>
      <c r="B127" s="14">
        <f>'Raw Data'!B127</f>
        <v/>
      </c>
      <c r="C127" s="14">
        <f>'Raw Data'!C127</f>
        <v/>
      </c>
      <c r="D127" s="15">
        <f>'Raw Data'!M127</f>
        <v/>
      </c>
      <c r="E127" s="18">
        <f>'Raw Data'!M127/'Raw Data'!L127*100</f>
        <v/>
      </c>
      <c r="F127" s="14">
        <f>IF(E127&gt;15,"Wet Year",IF(E127&lt;-15,"Dry Year","Normal Year"))</f>
        <v/>
      </c>
      <c r="G127" s="16">
        <f>'Raw Data'!I127</f>
        <v/>
      </c>
      <c r="H127" s="14">
        <f>IF(G127&lt;15,"Low Variability",IF(G127&lt;=35,"Moderate Variability","High Variability"))</f>
        <v/>
      </c>
      <c r="I127" s="18">
        <f>'Raw Data'!O127</f>
        <v/>
      </c>
      <c r="J127" s="14">
        <f>IF(I127=0,"No Flood",IF(I127&lt;=0.5,"Low",IF(I127&lt;=2,"Moderate","High")))</f>
        <v/>
      </c>
    </row>
    <row r="128" ht="15" customHeight="1" s="12">
      <c r="A128" s="14">
        <f>'Raw Data'!A128</f>
        <v/>
      </c>
      <c r="B128" s="14">
        <f>'Raw Data'!B128</f>
        <v/>
      </c>
      <c r="C128" s="14">
        <f>'Raw Data'!C128</f>
        <v/>
      </c>
      <c r="D128" s="15">
        <f>'Raw Data'!M128</f>
        <v/>
      </c>
      <c r="E128" s="18">
        <f>'Raw Data'!M128/'Raw Data'!L128*100</f>
        <v/>
      </c>
      <c r="F128" s="14">
        <f>IF(E128&gt;15,"Wet Year",IF(E128&lt;-15,"Dry Year","Normal Year"))</f>
        <v/>
      </c>
      <c r="G128" s="16">
        <f>'Raw Data'!I128</f>
        <v/>
      </c>
      <c r="H128" s="14">
        <f>IF(G128&lt;15,"Low Variability",IF(G128&lt;=35,"Moderate Variability","High Variability"))</f>
        <v/>
      </c>
      <c r="I128" s="18">
        <f>'Raw Data'!O128</f>
        <v/>
      </c>
      <c r="J128" s="14">
        <f>IF(I128=0,"No Flood",IF(I128&lt;=0.5,"Low",IF(I128&lt;=2,"Moderate","High")))</f>
        <v/>
      </c>
    </row>
    <row r="129" ht="15" customHeight="1" s="12">
      <c r="A129" s="14">
        <f>'Raw Data'!A129</f>
        <v/>
      </c>
      <c r="B129" s="14">
        <f>'Raw Data'!B129</f>
        <v/>
      </c>
      <c r="C129" s="14">
        <f>'Raw Data'!C129</f>
        <v/>
      </c>
      <c r="D129" s="15">
        <f>'Raw Data'!M129</f>
        <v/>
      </c>
      <c r="E129" s="18">
        <f>'Raw Data'!M129/'Raw Data'!L129*100</f>
        <v/>
      </c>
      <c r="F129" s="14">
        <f>IF(E129&gt;15,"Wet Year",IF(E129&lt;-15,"Dry Year","Normal Year"))</f>
        <v/>
      </c>
      <c r="G129" s="16">
        <f>'Raw Data'!I129</f>
        <v/>
      </c>
      <c r="H129" s="14">
        <f>IF(G129&lt;15,"Low Variability",IF(G129&lt;=35,"Moderate Variability","High Variability"))</f>
        <v/>
      </c>
      <c r="I129" s="18">
        <f>'Raw Data'!O129</f>
        <v/>
      </c>
      <c r="J129" s="14">
        <f>IF(I129=0,"No Flood",IF(I129&lt;=0.5,"Low",IF(I129&lt;=2,"Moderate","High")))</f>
        <v/>
      </c>
    </row>
    <row r="130" ht="15" customHeight="1" s="12">
      <c r="A130" s="14">
        <f>'Raw Data'!A130</f>
        <v/>
      </c>
      <c r="B130" s="14">
        <f>'Raw Data'!B130</f>
        <v/>
      </c>
      <c r="C130" s="14">
        <f>'Raw Data'!C130</f>
        <v/>
      </c>
      <c r="D130" s="15">
        <f>'Raw Data'!M130</f>
        <v/>
      </c>
      <c r="E130" s="18">
        <f>'Raw Data'!M130/'Raw Data'!L130*100</f>
        <v/>
      </c>
      <c r="F130" s="14">
        <f>IF(E130&gt;15,"Wet Year",IF(E130&lt;-15,"Dry Year","Normal Year"))</f>
        <v/>
      </c>
      <c r="G130" s="16">
        <f>'Raw Data'!I130</f>
        <v/>
      </c>
      <c r="H130" s="14">
        <f>IF(G130&lt;15,"Low Variability",IF(G130&lt;=35,"Moderate Variability","High Variability"))</f>
        <v/>
      </c>
      <c r="I130" s="18">
        <f>'Raw Data'!O130</f>
        <v/>
      </c>
      <c r="J130" s="14">
        <f>IF(I130=0,"No Flood",IF(I130&lt;=0.5,"Low",IF(I130&lt;=2,"Moderate","High")))</f>
        <v/>
      </c>
    </row>
    <row r="131" ht="15" customHeight="1" s="12">
      <c r="A131" s="14">
        <f>'Raw Data'!A131</f>
        <v/>
      </c>
      <c r="B131" s="14">
        <f>'Raw Data'!B131</f>
        <v/>
      </c>
      <c r="C131" s="14">
        <f>'Raw Data'!C131</f>
        <v/>
      </c>
      <c r="D131" s="15">
        <f>'Raw Data'!M131</f>
        <v/>
      </c>
      <c r="E131" s="18">
        <f>'Raw Data'!M131/'Raw Data'!L131*100</f>
        <v/>
      </c>
      <c r="F131" s="14">
        <f>IF(E131&gt;15,"Wet Year",IF(E131&lt;-15,"Dry Year","Normal Year"))</f>
        <v/>
      </c>
      <c r="G131" s="16">
        <f>'Raw Data'!I131</f>
        <v/>
      </c>
      <c r="H131" s="14">
        <f>IF(G131&lt;15,"Low Variability",IF(G131&lt;=35,"Moderate Variability","High Variability"))</f>
        <v/>
      </c>
      <c r="I131" s="18">
        <f>'Raw Data'!O131</f>
        <v/>
      </c>
      <c r="J131" s="14">
        <f>IF(I131=0,"No Flood",IF(I131&lt;=0.5,"Low",IF(I131&lt;=2,"Moderate","High")))</f>
        <v/>
      </c>
    </row>
    <row r="132" ht="15" customHeight="1" s="12">
      <c r="A132" s="14">
        <f>'Raw Data'!A132</f>
        <v/>
      </c>
      <c r="B132" s="14">
        <f>'Raw Data'!B132</f>
        <v/>
      </c>
      <c r="C132" s="14">
        <f>'Raw Data'!C132</f>
        <v/>
      </c>
      <c r="D132" s="15">
        <f>'Raw Data'!M132</f>
        <v/>
      </c>
      <c r="E132" s="18">
        <f>'Raw Data'!M132/'Raw Data'!L132*100</f>
        <v/>
      </c>
      <c r="F132" s="14">
        <f>IF(E132&gt;15,"Wet Year",IF(E132&lt;-15,"Dry Year","Normal Year"))</f>
        <v/>
      </c>
      <c r="G132" s="16">
        <f>'Raw Data'!I132</f>
        <v/>
      </c>
      <c r="H132" s="14">
        <f>IF(G132&lt;15,"Low Variability",IF(G132&lt;=35,"Moderate Variability","High Variability"))</f>
        <v/>
      </c>
      <c r="I132" s="18">
        <f>'Raw Data'!O132</f>
        <v/>
      </c>
      <c r="J132" s="14">
        <f>IF(I132=0,"No Flood",IF(I132&lt;=0.5,"Low",IF(I132&lt;=2,"Moderate","High")))</f>
        <v/>
      </c>
    </row>
    <row r="133" ht="15" customHeight="1" s="12">
      <c r="A133" s="14">
        <f>'Raw Data'!A133</f>
        <v/>
      </c>
      <c r="B133" s="14">
        <f>'Raw Data'!B133</f>
        <v/>
      </c>
      <c r="C133" s="14">
        <f>'Raw Data'!C133</f>
        <v/>
      </c>
      <c r="D133" s="15">
        <f>'Raw Data'!M133</f>
        <v/>
      </c>
      <c r="E133" s="18">
        <f>'Raw Data'!M133/'Raw Data'!L133*100</f>
        <v/>
      </c>
      <c r="F133" s="14">
        <f>IF(E133&gt;15,"Wet Year",IF(E133&lt;-15,"Dry Year","Normal Year"))</f>
        <v/>
      </c>
      <c r="G133" s="16">
        <f>'Raw Data'!I133</f>
        <v/>
      </c>
      <c r="H133" s="14">
        <f>IF(G133&lt;15,"Low Variability",IF(G133&lt;=35,"Moderate Variability","High Variability"))</f>
        <v/>
      </c>
      <c r="I133" s="18">
        <f>'Raw Data'!O133</f>
        <v/>
      </c>
      <c r="J133" s="14">
        <f>IF(I133=0,"No Flood",IF(I133&lt;=0.5,"Low",IF(I133&lt;=2,"Moderate","High")))</f>
        <v/>
      </c>
    </row>
    <row r="134" ht="15" customHeight="1" s="12">
      <c r="A134" s="14">
        <f>'Raw Data'!A134</f>
        <v/>
      </c>
      <c r="B134" s="14">
        <f>'Raw Data'!B134</f>
        <v/>
      </c>
      <c r="C134" s="14">
        <f>'Raw Data'!C134</f>
        <v/>
      </c>
      <c r="D134" s="15">
        <f>'Raw Data'!M134</f>
        <v/>
      </c>
      <c r="E134" s="18">
        <f>'Raw Data'!M134/'Raw Data'!L134*100</f>
        <v/>
      </c>
      <c r="F134" s="14">
        <f>IF(E134&gt;15,"Wet Year",IF(E134&lt;-15,"Dry Year","Normal Year"))</f>
        <v/>
      </c>
      <c r="G134" s="16">
        <f>'Raw Data'!I134</f>
        <v/>
      </c>
      <c r="H134" s="14">
        <f>IF(G134&lt;15,"Low Variability",IF(G134&lt;=35,"Moderate Variability","High Variability"))</f>
        <v/>
      </c>
      <c r="I134" s="18">
        <f>'Raw Data'!O134</f>
        <v/>
      </c>
      <c r="J134" s="14">
        <f>IF(I134=0,"No Flood",IF(I134&lt;=0.5,"Low",IF(I134&lt;=2,"Moderate","High")))</f>
        <v/>
      </c>
    </row>
    <row r="135" ht="15" customHeight="1" s="12">
      <c r="A135" s="14">
        <f>'Raw Data'!A135</f>
        <v/>
      </c>
      <c r="B135" s="14">
        <f>'Raw Data'!B135</f>
        <v/>
      </c>
      <c r="C135" s="14">
        <f>'Raw Data'!C135</f>
        <v/>
      </c>
      <c r="D135" s="15">
        <f>'Raw Data'!M135</f>
        <v/>
      </c>
      <c r="E135" s="18">
        <f>'Raw Data'!M135/'Raw Data'!L135*100</f>
        <v/>
      </c>
      <c r="F135" s="14">
        <f>IF(E135&gt;15,"Wet Year",IF(E135&lt;-15,"Dry Year","Normal Year"))</f>
        <v/>
      </c>
      <c r="G135" s="16">
        <f>'Raw Data'!I135</f>
        <v/>
      </c>
      <c r="H135" s="14">
        <f>IF(G135&lt;15,"Low Variability",IF(G135&lt;=35,"Moderate Variability","High Variability"))</f>
        <v/>
      </c>
      <c r="I135" s="18">
        <f>'Raw Data'!O135</f>
        <v/>
      </c>
      <c r="J135" s="14">
        <f>IF(I135=0,"No Flood",IF(I135&lt;=0.5,"Low",IF(I135&lt;=2,"Moderate","High")))</f>
        <v/>
      </c>
    </row>
    <row r="136" ht="15" customHeight="1" s="12">
      <c r="A136" s="14">
        <f>'Raw Data'!A136</f>
        <v/>
      </c>
      <c r="B136" s="14">
        <f>'Raw Data'!B136</f>
        <v/>
      </c>
      <c r="C136" s="14">
        <f>'Raw Data'!C136</f>
        <v/>
      </c>
      <c r="D136" s="15">
        <f>'Raw Data'!M136</f>
        <v/>
      </c>
      <c r="E136" s="18">
        <f>'Raw Data'!M136/'Raw Data'!L136*100</f>
        <v/>
      </c>
      <c r="F136" s="14">
        <f>IF(E136&gt;15,"Wet Year",IF(E136&lt;-15,"Dry Year","Normal Year"))</f>
        <v/>
      </c>
      <c r="G136" s="16">
        <f>'Raw Data'!I136</f>
        <v/>
      </c>
      <c r="H136" s="14">
        <f>IF(G136&lt;15,"Low Variability",IF(G136&lt;=35,"Moderate Variability","High Variability"))</f>
        <v/>
      </c>
      <c r="I136" s="18">
        <f>'Raw Data'!O136</f>
        <v/>
      </c>
      <c r="J136" s="14">
        <f>IF(I136=0,"No Flood",IF(I136&lt;=0.5,"Low",IF(I136&lt;=2,"Moderate","High")))</f>
        <v/>
      </c>
    </row>
    <row r="137" ht="15" customHeight="1" s="12">
      <c r="A137" s="14">
        <f>'Raw Data'!A137</f>
        <v/>
      </c>
      <c r="B137" s="14">
        <f>'Raw Data'!B137</f>
        <v/>
      </c>
      <c r="C137" s="14">
        <f>'Raw Data'!C137</f>
        <v/>
      </c>
      <c r="D137" s="15">
        <f>'Raw Data'!M137</f>
        <v/>
      </c>
      <c r="E137" s="18">
        <f>'Raw Data'!M137/'Raw Data'!L137*100</f>
        <v/>
      </c>
      <c r="F137" s="14">
        <f>IF(E137&gt;15,"Wet Year",IF(E137&lt;-15,"Dry Year","Normal Year"))</f>
        <v/>
      </c>
      <c r="G137" s="16">
        <f>'Raw Data'!I137</f>
        <v/>
      </c>
      <c r="H137" s="14">
        <f>IF(G137&lt;15,"Low Variability",IF(G137&lt;=35,"Moderate Variability","High Variability"))</f>
        <v/>
      </c>
      <c r="I137" s="18">
        <f>'Raw Data'!O137</f>
        <v/>
      </c>
      <c r="J137" s="14">
        <f>IF(I137=0,"No Flood",IF(I137&lt;=0.5,"Low",IF(I137&lt;=2,"Moderate","High")))</f>
        <v/>
      </c>
    </row>
    <row r="138" ht="15" customHeight="1" s="12">
      <c r="A138" s="14">
        <f>'Raw Data'!A138</f>
        <v/>
      </c>
      <c r="B138" s="14">
        <f>'Raw Data'!B138</f>
        <v/>
      </c>
      <c r="C138" s="14">
        <f>'Raw Data'!C138</f>
        <v/>
      </c>
      <c r="D138" s="15">
        <f>'Raw Data'!M138</f>
        <v/>
      </c>
      <c r="E138" s="18">
        <f>'Raw Data'!M138/'Raw Data'!L138*100</f>
        <v/>
      </c>
      <c r="F138" s="14">
        <f>IF(E138&gt;15,"Wet Year",IF(E138&lt;-15,"Dry Year","Normal Year"))</f>
        <v/>
      </c>
      <c r="G138" s="16">
        <f>'Raw Data'!I138</f>
        <v/>
      </c>
      <c r="H138" s="14">
        <f>IF(G138&lt;15,"Low Variability",IF(G138&lt;=35,"Moderate Variability","High Variability"))</f>
        <v/>
      </c>
      <c r="I138" s="18">
        <f>'Raw Data'!O138</f>
        <v/>
      </c>
      <c r="J138" s="14">
        <f>IF(I138=0,"No Flood",IF(I138&lt;=0.5,"Low",IF(I138&lt;=2,"Moderate","High")))</f>
        <v/>
      </c>
    </row>
    <row r="139" ht="15" customHeight="1" s="12">
      <c r="A139" s="14">
        <f>'Raw Data'!A139</f>
        <v/>
      </c>
      <c r="B139" s="14">
        <f>'Raw Data'!B139</f>
        <v/>
      </c>
      <c r="C139" s="14">
        <f>'Raw Data'!C139</f>
        <v/>
      </c>
      <c r="D139" s="15">
        <f>'Raw Data'!M139</f>
        <v/>
      </c>
      <c r="E139" s="18">
        <f>'Raw Data'!M139/'Raw Data'!L139*100</f>
        <v/>
      </c>
      <c r="F139" s="14">
        <f>IF(E139&gt;15,"Wet Year",IF(E139&lt;-15,"Dry Year","Normal Year"))</f>
        <v/>
      </c>
      <c r="G139" s="16">
        <f>'Raw Data'!I139</f>
        <v/>
      </c>
      <c r="H139" s="14">
        <f>IF(G139&lt;15,"Low Variability",IF(G139&lt;=35,"Moderate Variability","High Variability"))</f>
        <v/>
      </c>
      <c r="I139" s="18">
        <f>'Raw Data'!O139</f>
        <v/>
      </c>
      <c r="J139" s="14">
        <f>IF(I139=0,"No Flood",IF(I139&lt;=0.5,"Low",IF(I139&lt;=2,"Moderate","High")))</f>
        <v/>
      </c>
    </row>
    <row r="140" ht="15" customHeight="1" s="12">
      <c r="A140" s="14">
        <f>'Raw Data'!A140</f>
        <v/>
      </c>
      <c r="B140" s="14">
        <f>'Raw Data'!B140</f>
        <v/>
      </c>
      <c r="C140" s="14">
        <f>'Raw Data'!C140</f>
        <v/>
      </c>
      <c r="D140" s="15">
        <f>'Raw Data'!M140</f>
        <v/>
      </c>
      <c r="E140" s="18">
        <f>'Raw Data'!M140/'Raw Data'!L140*100</f>
        <v/>
      </c>
      <c r="F140" s="14">
        <f>IF(E140&gt;15,"Wet Year",IF(E140&lt;-15,"Dry Year","Normal Year"))</f>
        <v/>
      </c>
      <c r="G140" s="16">
        <f>'Raw Data'!I140</f>
        <v/>
      </c>
      <c r="H140" s="14">
        <f>IF(G140&lt;15,"Low Variability",IF(G140&lt;=35,"Moderate Variability","High Variability"))</f>
        <v/>
      </c>
      <c r="I140" s="18">
        <f>'Raw Data'!O140</f>
        <v/>
      </c>
      <c r="J140" s="14">
        <f>IF(I140=0,"No Flood",IF(I140&lt;=0.5,"Low",IF(I140&lt;=2,"Moderate","High")))</f>
        <v/>
      </c>
    </row>
    <row r="141" ht="15" customHeight="1" s="12">
      <c r="A141" s="14">
        <f>'Raw Data'!A141</f>
        <v/>
      </c>
      <c r="B141" s="14">
        <f>'Raw Data'!B141</f>
        <v/>
      </c>
      <c r="C141" s="14">
        <f>'Raw Data'!C141</f>
        <v/>
      </c>
      <c r="D141" s="15">
        <f>'Raw Data'!M141</f>
        <v/>
      </c>
      <c r="E141" s="18">
        <f>'Raw Data'!M141/'Raw Data'!L141*100</f>
        <v/>
      </c>
      <c r="F141" s="14">
        <f>IF(E141&gt;15,"Wet Year",IF(E141&lt;-15,"Dry Year","Normal Year"))</f>
        <v/>
      </c>
      <c r="G141" s="16">
        <f>'Raw Data'!I141</f>
        <v/>
      </c>
      <c r="H141" s="14">
        <f>IF(G141&lt;15,"Low Variability",IF(G141&lt;=35,"Moderate Variability","High Variability"))</f>
        <v/>
      </c>
      <c r="I141" s="18">
        <f>'Raw Data'!O141</f>
        <v/>
      </c>
      <c r="J141" s="14">
        <f>IF(I141=0,"No Flood",IF(I141&lt;=0.5,"Low",IF(I141&lt;=2,"Moderate","High")))</f>
        <v/>
      </c>
    </row>
    <row r="142" ht="15" customHeight="1" s="12">
      <c r="A142" s="14">
        <f>'Raw Data'!A142</f>
        <v/>
      </c>
      <c r="B142" s="14">
        <f>'Raw Data'!B142</f>
        <v/>
      </c>
      <c r="C142" s="14">
        <f>'Raw Data'!C142</f>
        <v/>
      </c>
      <c r="D142" s="15">
        <f>'Raw Data'!M142</f>
        <v/>
      </c>
      <c r="E142" s="18">
        <f>'Raw Data'!M142/'Raw Data'!L142*100</f>
        <v/>
      </c>
      <c r="F142" s="14">
        <f>IF(E142&gt;15,"Wet Year",IF(E142&lt;-15,"Dry Year","Normal Year"))</f>
        <v/>
      </c>
      <c r="G142" s="16">
        <f>'Raw Data'!I142</f>
        <v/>
      </c>
      <c r="H142" s="14">
        <f>IF(G142&lt;15,"Low Variability",IF(G142&lt;=35,"Moderate Variability","High Variability"))</f>
        <v/>
      </c>
      <c r="I142" s="18">
        <f>'Raw Data'!O142</f>
        <v/>
      </c>
      <c r="J142" s="14">
        <f>IF(I142=0,"No Flood",IF(I142&lt;=0.5,"Low",IF(I142&lt;=2,"Moderate","High")))</f>
        <v/>
      </c>
    </row>
    <row r="143" ht="15" customHeight="1" s="12">
      <c r="A143" s="14">
        <f>'Raw Data'!A143</f>
        <v/>
      </c>
      <c r="B143" s="14">
        <f>'Raw Data'!B143</f>
        <v/>
      </c>
      <c r="C143" s="14">
        <f>'Raw Data'!C143</f>
        <v/>
      </c>
      <c r="D143" s="15">
        <f>'Raw Data'!M143</f>
        <v/>
      </c>
      <c r="E143" s="18">
        <f>'Raw Data'!M143/'Raw Data'!L143*100</f>
        <v/>
      </c>
      <c r="F143" s="14">
        <f>IF(E143&gt;15,"Wet Year",IF(E143&lt;-15,"Dry Year","Normal Year"))</f>
        <v/>
      </c>
      <c r="G143" s="16">
        <f>'Raw Data'!I143</f>
        <v/>
      </c>
      <c r="H143" s="14">
        <f>IF(G143&lt;15,"Low Variability",IF(G143&lt;=35,"Moderate Variability","High Variability"))</f>
        <v/>
      </c>
      <c r="I143" s="18">
        <f>'Raw Data'!O143</f>
        <v/>
      </c>
      <c r="J143" s="14">
        <f>IF(I143=0,"No Flood",IF(I143&lt;=0.5,"Low",IF(I143&lt;=2,"Moderate","High")))</f>
        <v/>
      </c>
    </row>
    <row r="144" ht="15" customHeight="1" s="12">
      <c r="A144" s="14">
        <f>'Raw Data'!A144</f>
        <v/>
      </c>
      <c r="B144" s="14">
        <f>'Raw Data'!B144</f>
        <v/>
      </c>
      <c r="C144" s="14">
        <f>'Raw Data'!C144</f>
        <v/>
      </c>
      <c r="D144" s="15">
        <f>'Raw Data'!M144</f>
        <v/>
      </c>
      <c r="E144" s="18">
        <f>'Raw Data'!M144/'Raw Data'!L144*100</f>
        <v/>
      </c>
      <c r="F144" s="14">
        <f>IF(E144&gt;15,"Wet Year",IF(E144&lt;-15,"Dry Year","Normal Year"))</f>
        <v/>
      </c>
      <c r="G144" s="16">
        <f>'Raw Data'!I144</f>
        <v/>
      </c>
      <c r="H144" s="14">
        <f>IF(G144&lt;15,"Low Variability",IF(G144&lt;=35,"Moderate Variability","High Variability"))</f>
        <v/>
      </c>
      <c r="I144" s="18">
        <f>'Raw Data'!O144</f>
        <v/>
      </c>
      <c r="J144" s="14">
        <f>IF(I144=0,"No Flood",IF(I144&lt;=0.5,"Low",IF(I144&lt;=2,"Moderate","High")))</f>
        <v/>
      </c>
    </row>
    <row r="145" ht="15" customHeight="1" s="12">
      <c r="A145" s="14">
        <f>'Raw Data'!A145</f>
        <v/>
      </c>
      <c r="B145" s="14">
        <f>'Raw Data'!B145</f>
        <v/>
      </c>
      <c r="C145" s="14">
        <f>'Raw Data'!C145</f>
        <v/>
      </c>
      <c r="D145" s="15">
        <f>'Raw Data'!M145</f>
        <v/>
      </c>
      <c r="E145" s="18">
        <f>'Raw Data'!M145/'Raw Data'!L145*100</f>
        <v/>
      </c>
      <c r="F145" s="14">
        <f>IF(E145&gt;15,"Wet Year",IF(E145&lt;-15,"Dry Year","Normal Year"))</f>
        <v/>
      </c>
      <c r="G145" s="16">
        <f>'Raw Data'!I145</f>
        <v/>
      </c>
      <c r="H145" s="14">
        <f>IF(G145&lt;15,"Low Variability",IF(G145&lt;=35,"Moderate Variability","High Variability"))</f>
        <v/>
      </c>
      <c r="I145" s="18">
        <f>'Raw Data'!O145</f>
        <v/>
      </c>
      <c r="J145" s="14">
        <f>IF(I145=0,"No Flood",IF(I145&lt;=0.5,"Low",IF(I145&lt;=2,"Moderate","High")))</f>
        <v/>
      </c>
    </row>
    <row r="146" ht="15" customHeight="1" s="12">
      <c r="A146" s="14">
        <f>'Raw Data'!A146</f>
        <v/>
      </c>
      <c r="B146" s="14">
        <f>'Raw Data'!B146</f>
        <v/>
      </c>
      <c r="C146" s="14">
        <f>'Raw Data'!C146</f>
        <v/>
      </c>
      <c r="D146" s="15">
        <f>'Raw Data'!M146</f>
        <v/>
      </c>
      <c r="E146" s="18">
        <f>'Raw Data'!M146/'Raw Data'!L146*100</f>
        <v/>
      </c>
      <c r="F146" s="14">
        <f>IF(E146&gt;15,"Wet Year",IF(E146&lt;-15,"Dry Year","Normal Year"))</f>
        <v/>
      </c>
      <c r="G146" s="16">
        <f>'Raw Data'!I146</f>
        <v/>
      </c>
      <c r="H146" s="14">
        <f>IF(G146&lt;15,"Low Variability",IF(G146&lt;=35,"Moderate Variability","High Variability"))</f>
        <v/>
      </c>
      <c r="I146" s="18">
        <f>'Raw Data'!O146</f>
        <v/>
      </c>
      <c r="J146" s="14">
        <f>IF(I146=0,"No Flood",IF(I146&lt;=0.5,"Low",IF(I146&lt;=2,"Moderate","High")))</f>
        <v/>
      </c>
    </row>
    <row r="147" ht="15" customHeight="1" s="12">
      <c r="A147" s="14">
        <f>'Raw Data'!A147</f>
        <v/>
      </c>
      <c r="B147" s="14">
        <f>'Raw Data'!B147</f>
        <v/>
      </c>
      <c r="C147" s="14">
        <f>'Raw Data'!C147</f>
        <v/>
      </c>
      <c r="D147" s="15">
        <f>'Raw Data'!M147</f>
        <v/>
      </c>
      <c r="E147" s="18">
        <f>'Raw Data'!M147/'Raw Data'!L147*100</f>
        <v/>
      </c>
      <c r="F147" s="14">
        <f>IF(E147&gt;15,"Wet Year",IF(E147&lt;-15,"Dry Year","Normal Year"))</f>
        <v/>
      </c>
      <c r="G147" s="16">
        <f>'Raw Data'!I147</f>
        <v/>
      </c>
      <c r="H147" s="14">
        <f>IF(G147&lt;15,"Low Variability",IF(G147&lt;=35,"Moderate Variability","High Variability"))</f>
        <v/>
      </c>
      <c r="I147" s="18">
        <f>'Raw Data'!O147</f>
        <v/>
      </c>
      <c r="J147" s="14">
        <f>IF(I147=0,"No Flood",IF(I147&lt;=0.5,"Low",IF(I147&lt;=2,"Moderate","High")))</f>
        <v/>
      </c>
    </row>
    <row r="148" ht="15" customHeight="1" s="12">
      <c r="A148" s="14">
        <f>'Raw Data'!A148</f>
        <v/>
      </c>
      <c r="B148" s="14">
        <f>'Raw Data'!B148</f>
        <v/>
      </c>
      <c r="C148" s="14">
        <f>'Raw Data'!C148</f>
        <v/>
      </c>
      <c r="D148" s="15">
        <f>'Raw Data'!M148</f>
        <v/>
      </c>
      <c r="E148" s="18">
        <f>'Raw Data'!M148/'Raw Data'!L148*100</f>
        <v/>
      </c>
      <c r="F148" s="14">
        <f>IF(E148&gt;15,"Wet Year",IF(E148&lt;-15,"Dry Year","Normal Year"))</f>
        <v/>
      </c>
      <c r="G148" s="16">
        <f>'Raw Data'!I148</f>
        <v/>
      </c>
      <c r="H148" s="14">
        <f>IF(G148&lt;15,"Low Variability",IF(G148&lt;=35,"Moderate Variability","High Variability"))</f>
        <v/>
      </c>
      <c r="I148" s="18">
        <f>'Raw Data'!O148</f>
        <v/>
      </c>
      <c r="J148" s="14">
        <f>IF(I148=0,"No Flood",IF(I148&lt;=0.5,"Low",IF(I148&lt;=2,"Moderate","High")))</f>
        <v/>
      </c>
    </row>
    <row r="149" ht="15" customHeight="1" s="12">
      <c r="A149" s="14">
        <f>'Raw Data'!A149</f>
        <v/>
      </c>
      <c r="B149" s="14">
        <f>'Raw Data'!B149</f>
        <v/>
      </c>
      <c r="C149" s="14">
        <f>'Raw Data'!C149</f>
        <v/>
      </c>
      <c r="D149" s="15">
        <f>'Raw Data'!M149</f>
        <v/>
      </c>
      <c r="E149" s="18">
        <f>'Raw Data'!M149/'Raw Data'!L149*100</f>
        <v/>
      </c>
      <c r="F149" s="14">
        <f>IF(E149&gt;15,"Wet Year",IF(E149&lt;-15,"Dry Year","Normal Year"))</f>
        <v/>
      </c>
      <c r="G149" s="16">
        <f>'Raw Data'!I149</f>
        <v/>
      </c>
      <c r="H149" s="14">
        <f>IF(G149&lt;15,"Low Variability",IF(G149&lt;=35,"Moderate Variability","High Variability"))</f>
        <v/>
      </c>
      <c r="I149" s="18">
        <f>'Raw Data'!O149</f>
        <v/>
      </c>
      <c r="J149" s="14">
        <f>IF(I149=0,"No Flood",IF(I149&lt;=0.5,"Low",IF(I149&lt;=2,"Moderate","High")))</f>
        <v/>
      </c>
    </row>
    <row r="150" ht="15" customHeight="1" s="12">
      <c r="A150" s="14">
        <f>'Raw Data'!A150</f>
        <v/>
      </c>
      <c r="B150" s="14">
        <f>'Raw Data'!B150</f>
        <v/>
      </c>
      <c r="C150" s="14">
        <f>'Raw Data'!C150</f>
        <v/>
      </c>
      <c r="D150" s="15">
        <f>'Raw Data'!M150</f>
        <v/>
      </c>
      <c r="E150" s="18">
        <f>'Raw Data'!M150/'Raw Data'!L150*100</f>
        <v/>
      </c>
      <c r="F150" s="14">
        <f>IF(E150&gt;15,"Wet Year",IF(E150&lt;-15,"Dry Year","Normal Year"))</f>
        <v/>
      </c>
      <c r="G150" s="16">
        <f>'Raw Data'!I150</f>
        <v/>
      </c>
      <c r="H150" s="14">
        <f>IF(G150&lt;15,"Low Variability",IF(G150&lt;=35,"Moderate Variability","High Variability"))</f>
        <v/>
      </c>
      <c r="I150" s="18">
        <f>'Raw Data'!O150</f>
        <v/>
      </c>
      <c r="J150" s="14">
        <f>IF(I150=0,"No Flood",IF(I150&lt;=0.5,"Low",IF(I150&lt;=2,"Moderate","High")))</f>
        <v/>
      </c>
    </row>
    <row r="151" ht="15" customHeight="1" s="12">
      <c r="A151" s="14">
        <f>'Raw Data'!A151</f>
        <v/>
      </c>
      <c r="B151" s="14">
        <f>'Raw Data'!B151</f>
        <v/>
      </c>
      <c r="C151" s="14">
        <f>'Raw Data'!C151</f>
        <v/>
      </c>
      <c r="D151" s="15">
        <f>'Raw Data'!M151</f>
        <v/>
      </c>
      <c r="E151" s="18">
        <f>'Raw Data'!M151/'Raw Data'!L151*100</f>
        <v/>
      </c>
      <c r="F151" s="14">
        <f>IF(E151&gt;15,"Wet Year",IF(E151&lt;-15,"Dry Year","Normal Year"))</f>
        <v/>
      </c>
      <c r="G151" s="16">
        <f>'Raw Data'!I151</f>
        <v/>
      </c>
      <c r="H151" s="14">
        <f>IF(G151&lt;15,"Low Variability",IF(G151&lt;=35,"Moderate Variability","High Variability"))</f>
        <v/>
      </c>
      <c r="I151" s="18">
        <f>'Raw Data'!O151</f>
        <v/>
      </c>
      <c r="J151" s="14">
        <f>IF(I151=0,"No Flood",IF(I151&lt;=0.5,"Low",IF(I151&lt;=2,"Moderate","High")))</f>
        <v/>
      </c>
    </row>
    <row r="152" ht="15" customHeight="1" s="12">
      <c r="A152" s="14">
        <f>'Raw Data'!A152</f>
        <v/>
      </c>
      <c r="B152" s="14">
        <f>'Raw Data'!B152</f>
        <v/>
      </c>
      <c r="C152" s="14">
        <f>'Raw Data'!C152</f>
        <v/>
      </c>
      <c r="D152" s="15">
        <f>'Raw Data'!M152</f>
        <v/>
      </c>
      <c r="E152" s="18">
        <f>'Raw Data'!M152/'Raw Data'!L152*100</f>
        <v/>
      </c>
      <c r="F152" s="14">
        <f>IF(E152&gt;15,"Wet Year",IF(E152&lt;-15,"Dry Year","Normal Year"))</f>
        <v/>
      </c>
      <c r="G152" s="16">
        <f>'Raw Data'!I152</f>
        <v/>
      </c>
      <c r="H152" s="14">
        <f>IF(G152&lt;15,"Low Variability",IF(G152&lt;=35,"Moderate Variability","High Variability"))</f>
        <v/>
      </c>
      <c r="I152" s="18">
        <f>'Raw Data'!O152</f>
        <v/>
      </c>
      <c r="J152" s="14">
        <f>IF(I152=0,"No Flood",IF(I152&lt;=0.5,"Low",IF(I152&lt;=2,"Moderate","High")))</f>
        <v/>
      </c>
    </row>
    <row r="153" ht="15" customHeight="1" s="12">
      <c r="A153" s="14">
        <f>'Raw Data'!A153</f>
        <v/>
      </c>
      <c r="B153" s="14">
        <f>'Raw Data'!B153</f>
        <v/>
      </c>
      <c r="C153" s="14">
        <f>'Raw Data'!C153</f>
        <v/>
      </c>
      <c r="D153" s="15">
        <f>'Raw Data'!M153</f>
        <v/>
      </c>
      <c r="E153" s="18">
        <f>'Raw Data'!M153/'Raw Data'!L153*100</f>
        <v/>
      </c>
      <c r="F153" s="14">
        <f>IF(E153&gt;15,"Wet Year",IF(E153&lt;-15,"Dry Year","Normal Year"))</f>
        <v/>
      </c>
      <c r="G153" s="16">
        <f>'Raw Data'!I153</f>
        <v/>
      </c>
      <c r="H153" s="14">
        <f>IF(G153&lt;15,"Low Variability",IF(G153&lt;=35,"Moderate Variability","High Variability"))</f>
        <v/>
      </c>
      <c r="I153" s="18">
        <f>'Raw Data'!O153</f>
        <v/>
      </c>
      <c r="J153" s="14">
        <f>IF(I153=0,"No Flood",IF(I153&lt;=0.5,"Low",IF(I153&lt;=2,"Moderate","High")))</f>
        <v/>
      </c>
    </row>
    <row r="154" ht="15" customHeight="1" s="12">
      <c r="A154" s="14">
        <f>'Raw Data'!A154</f>
        <v/>
      </c>
      <c r="B154" s="14">
        <f>'Raw Data'!B154</f>
        <v/>
      </c>
      <c r="C154" s="14">
        <f>'Raw Data'!C154</f>
        <v/>
      </c>
      <c r="D154" s="15">
        <f>'Raw Data'!M154</f>
        <v/>
      </c>
      <c r="E154" s="18">
        <f>'Raw Data'!M154/'Raw Data'!L154*100</f>
        <v/>
      </c>
      <c r="F154" s="14">
        <f>IF(E154&gt;15,"Wet Year",IF(E154&lt;-15,"Dry Year","Normal Year"))</f>
        <v/>
      </c>
      <c r="G154" s="16">
        <f>'Raw Data'!I154</f>
        <v/>
      </c>
      <c r="H154" s="14">
        <f>IF(G154&lt;15,"Low Variability",IF(G154&lt;=35,"Moderate Variability","High Variability"))</f>
        <v/>
      </c>
      <c r="I154" s="18">
        <f>'Raw Data'!O154</f>
        <v/>
      </c>
      <c r="J154" s="14">
        <f>IF(I154=0,"No Flood",IF(I154&lt;=0.5,"Low",IF(I154&lt;=2,"Moderate","High")))</f>
        <v/>
      </c>
    </row>
    <row r="155" ht="15" customHeight="1" s="12">
      <c r="A155" s="14">
        <f>'Raw Data'!A155</f>
        <v/>
      </c>
      <c r="B155" s="14">
        <f>'Raw Data'!B155</f>
        <v/>
      </c>
      <c r="C155" s="14">
        <f>'Raw Data'!C155</f>
        <v/>
      </c>
      <c r="D155" s="15">
        <f>'Raw Data'!M155</f>
        <v/>
      </c>
      <c r="E155" s="18">
        <f>'Raw Data'!M155/'Raw Data'!L155*100</f>
        <v/>
      </c>
      <c r="F155" s="14">
        <f>IF(E155&gt;15,"Wet Year",IF(E155&lt;-15,"Dry Year","Normal Year"))</f>
        <v/>
      </c>
      <c r="G155" s="16">
        <f>'Raw Data'!I155</f>
        <v/>
      </c>
      <c r="H155" s="14">
        <f>IF(G155&lt;15,"Low Variability",IF(G155&lt;=35,"Moderate Variability","High Variability"))</f>
        <v/>
      </c>
      <c r="I155" s="18">
        <f>'Raw Data'!O155</f>
        <v/>
      </c>
      <c r="J155" s="14">
        <f>IF(I155=0,"No Flood",IF(I155&lt;=0.5,"Low",IF(I155&lt;=2,"Moderate","High")))</f>
        <v/>
      </c>
    </row>
    <row r="156" ht="15" customHeight="1" s="12">
      <c r="A156" s="14">
        <f>'Raw Data'!A156</f>
        <v/>
      </c>
      <c r="B156" s="14">
        <f>'Raw Data'!B156</f>
        <v/>
      </c>
      <c r="C156" s="14">
        <f>'Raw Data'!C156</f>
        <v/>
      </c>
      <c r="D156" s="15">
        <f>'Raw Data'!M156</f>
        <v/>
      </c>
      <c r="E156" s="18">
        <f>'Raw Data'!M156/'Raw Data'!L156*100</f>
        <v/>
      </c>
      <c r="F156" s="14">
        <f>IF(E156&gt;15,"Wet Year",IF(E156&lt;-15,"Dry Year","Normal Year"))</f>
        <v/>
      </c>
      <c r="G156" s="16">
        <f>'Raw Data'!I156</f>
        <v/>
      </c>
      <c r="H156" s="14">
        <f>IF(G156&lt;15,"Low Variability",IF(G156&lt;=35,"Moderate Variability","High Variability"))</f>
        <v/>
      </c>
      <c r="I156" s="18">
        <f>'Raw Data'!O156</f>
        <v/>
      </c>
      <c r="J156" s="14">
        <f>IF(I156=0,"No Flood",IF(I156&lt;=0.5,"Low",IF(I156&lt;=2,"Moderate","High")))</f>
        <v/>
      </c>
    </row>
    <row r="157" ht="15" customHeight="1" s="12">
      <c r="A157" s="14">
        <f>'Raw Data'!A157</f>
        <v/>
      </c>
      <c r="B157" s="14">
        <f>'Raw Data'!B157</f>
        <v/>
      </c>
      <c r="C157" s="14">
        <f>'Raw Data'!C157</f>
        <v/>
      </c>
      <c r="D157" s="15">
        <f>'Raw Data'!M157</f>
        <v/>
      </c>
      <c r="E157" s="18">
        <f>'Raw Data'!M157/'Raw Data'!L157*100</f>
        <v/>
      </c>
      <c r="F157" s="14">
        <f>IF(E157&gt;15,"Wet Year",IF(E157&lt;-15,"Dry Year","Normal Year"))</f>
        <v/>
      </c>
      <c r="G157" s="16">
        <f>'Raw Data'!I157</f>
        <v/>
      </c>
      <c r="H157" s="14">
        <f>IF(G157&lt;15,"Low Variability",IF(G157&lt;=35,"Moderate Variability","High Variability"))</f>
        <v/>
      </c>
      <c r="I157" s="18">
        <f>'Raw Data'!O157</f>
        <v/>
      </c>
      <c r="J157" s="14">
        <f>IF(I157=0,"No Flood",IF(I157&lt;=0.5,"Low",IF(I157&lt;=2,"Moderate","High")))</f>
        <v/>
      </c>
    </row>
    <row r="158" ht="15" customHeight="1" s="12">
      <c r="A158" s="14">
        <f>'Raw Data'!A158</f>
        <v/>
      </c>
      <c r="B158" s="14">
        <f>'Raw Data'!B158</f>
        <v/>
      </c>
      <c r="C158" s="14">
        <f>'Raw Data'!C158</f>
        <v/>
      </c>
      <c r="D158" s="15">
        <f>'Raw Data'!M158</f>
        <v/>
      </c>
      <c r="E158" s="18">
        <f>'Raw Data'!M158/'Raw Data'!L158*100</f>
        <v/>
      </c>
      <c r="F158" s="14">
        <f>IF(E158&gt;15,"Wet Year",IF(E158&lt;-15,"Dry Year","Normal Year"))</f>
        <v/>
      </c>
      <c r="G158" s="16">
        <f>'Raw Data'!I158</f>
        <v/>
      </c>
      <c r="H158" s="14">
        <f>IF(G158&lt;15,"Low Variability",IF(G158&lt;=35,"Moderate Variability","High Variability"))</f>
        <v/>
      </c>
      <c r="I158" s="18">
        <f>'Raw Data'!O158</f>
        <v/>
      </c>
      <c r="J158" s="14">
        <f>IF(I158=0,"No Flood",IF(I158&lt;=0.5,"Low",IF(I158&lt;=2,"Moderate","High")))</f>
        <v/>
      </c>
    </row>
    <row r="159" ht="15" customHeight="1" s="12">
      <c r="A159" s="14">
        <f>'Raw Data'!A159</f>
        <v/>
      </c>
      <c r="B159" s="14">
        <f>'Raw Data'!B159</f>
        <v/>
      </c>
      <c r="C159" s="14">
        <f>'Raw Data'!C159</f>
        <v/>
      </c>
      <c r="D159" s="15">
        <f>'Raw Data'!M159</f>
        <v/>
      </c>
      <c r="E159" s="18">
        <f>'Raw Data'!M159/'Raw Data'!L159*100</f>
        <v/>
      </c>
      <c r="F159" s="14">
        <f>IF(E159&gt;15,"Wet Year",IF(E159&lt;-15,"Dry Year","Normal Year"))</f>
        <v/>
      </c>
      <c r="G159" s="16">
        <f>'Raw Data'!I159</f>
        <v/>
      </c>
      <c r="H159" s="14">
        <f>IF(G159&lt;15,"Low Variability",IF(G159&lt;=35,"Moderate Variability","High Variability"))</f>
        <v/>
      </c>
      <c r="I159" s="18">
        <f>'Raw Data'!O159</f>
        <v/>
      </c>
      <c r="J159" s="14">
        <f>IF(I159=0,"No Flood",IF(I159&lt;=0.5,"Low",IF(I159&lt;=2,"Moderate","High")))</f>
        <v/>
      </c>
    </row>
    <row r="160" ht="15" customHeight="1" s="12">
      <c r="A160" s="14">
        <f>'Raw Data'!A160</f>
        <v/>
      </c>
      <c r="B160" s="14">
        <f>'Raw Data'!B160</f>
        <v/>
      </c>
      <c r="C160" s="14">
        <f>'Raw Data'!C160</f>
        <v/>
      </c>
      <c r="D160" s="15">
        <f>'Raw Data'!M160</f>
        <v/>
      </c>
      <c r="E160" s="18">
        <f>'Raw Data'!M160/'Raw Data'!L160*100</f>
        <v/>
      </c>
      <c r="F160" s="14">
        <f>IF(E160&gt;15,"Wet Year",IF(E160&lt;-15,"Dry Year","Normal Year"))</f>
        <v/>
      </c>
      <c r="G160" s="16">
        <f>'Raw Data'!I160</f>
        <v/>
      </c>
      <c r="H160" s="14">
        <f>IF(G160&lt;15,"Low Variability",IF(G160&lt;=35,"Moderate Variability","High Variability"))</f>
        <v/>
      </c>
      <c r="I160" s="18">
        <f>'Raw Data'!O160</f>
        <v/>
      </c>
      <c r="J160" s="14">
        <f>IF(I160=0,"No Flood",IF(I160&lt;=0.5,"Low",IF(I160&lt;=2,"Moderate","High")))</f>
        <v/>
      </c>
    </row>
    <row r="161" ht="15" customHeight="1" s="12">
      <c r="A161" s="14">
        <f>'Raw Data'!A161</f>
        <v/>
      </c>
      <c r="B161" s="14">
        <f>'Raw Data'!B161</f>
        <v/>
      </c>
      <c r="C161" s="14">
        <f>'Raw Data'!C161</f>
        <v/>
      </c>
      <c r="D161" s="15">
        <f>'Raw Data'!M161</f>
        <v/>
      </c>
      <c r="E161" s="18">
        <f>'Raw Data'!M161/'Raw Data'!L161*100</f>
        <v/>
      </c>
      <c r="F161" s="14">
        <f>IF(E161&gt;15,"Wet Year",IF(E161&lt;-15,"Dry Year","Normal Year"))</f>
        <v/>
      </c>
      <c r="G161" s="16">
        <f>'Raw Data'!I161</f>
        <v/>
      </c>
      <c r="H161" s="14">
        <f>IF(G161&lt;15,"Low Variability",IF(G161&lt;=35,"Moderate Variability","High Variability"))</f>
        <v/>
      </c>
      <c r="I161" s="18">
        <f>'Raw Data'!O161</f>
        <v/>
      </c>
      <c r="J161" s="14">
        <f>IF(I161=0,"No Flood",IF(I161&lt;=0.5,"Low",IF(I161&lt;=2,"Moderate","High")))</f>
        <v/>
      </c>
    </row>
    <row r="162" ht="15" customHeight="1" s="12">
      <c r="A162" s="14">
        <f>'Raw Data'!A162</f>
        <v/>
      </c>
      <c r="B162" s="14">
        <f>'Raw Data'!B162</f>
        <v/>
      </c>
      <c r="C162" s="14">
        <f>'Raw Data'!C162</f>
        <v/>
      </c>
      <c r="D162" s="15">
        <f>'Raw Data'!M162</f>
        <v/>
      </c>
      <c r="E162" s="18">
        <f>'Raw Data'!M162/'Raw Data'!L162*100</f>
        <v/>
      </c>
      <c r="F162" s="14">
        <f>IF(E162&gt;15,"Wet Year",IF(E162&lt;-15,"Dry Year","Normal Year"))</f>
        <v/>
      </c>
      <c r="G162" s="16">
        <f>'Raw Data'!I162</f>
        <v/>
      </c>
      <c r="H162" s="14">
        <f>IF(G162&lt;15,"Low Variability",IF(G162&lt;=35,"Moderate Variability","High Variability"))</f>
        <v/>
      </c>
      <c r="I162" s="18">
        <f>'Raw Data'!O162</f>
        <v/>
      </c>
      <c r="J162" s="14">
        <f>IF(I162=0,"No Flood",IF(I162&lt;=0.5,"Low",IF(I162&lt;=2,"Moderate","High")))</f>
        <v/>
      </c>
    </row>
    <row r="163" ht="15" customHeight="1" s="12">
      <c r="A163" s="14">
        <f>'Raw Data'!A163</f>
        <v/>
      </c>
      <c r="B163" s="14">
        <f>'Raw Data'!B163</f>
        <v/>
      </c>
      <c r="C163" s="14">
        <f>'Raw Data'!C163</f>
        <v/>
      </c>
      <c r="D163" s="15">
        <f>'Raw Data'!M163</f>
        <v/>
      </c>
      <c r="E163" s="18">
        <f>'Raw Data'!M163/'Raw Data'!L163*100</f>
        <v/>
      </c>
      <c r="F163" s="14">
        <f>IF(E163&gt;15,"Wet Year",IF(E163&lt;-15,"Dry Year","Normal Year"))</f>
        <v/>
      </c>
      <c r="G163" s="16">
        <f>'Raw Data'!I163</f>
        <v/>
      </c>
      <c r="H163" s="14">
        <f>IF(G163&lt;15,"Low Variability",IF(G163&lt;=35,"Moderate Variability","High Variability"))</f>
        <v/>
      </c>
      <c r="I163" s="18">
        <f>'Raw Data'!O163</f>
        <v/>
      </c>
      <c r="J163" s="14">
        <f>IF(I163=0,"No Flood",IF(I163&lt;=0.5,"Low",IF(I163&lt;=2,"Moderate","High")))</f>
        <v/>
      </c>
    </row>
    <row r="164" ht="15" customHeight="1" s="12">
      <c r="A164" s="14">
        <f>'Raw Data'!A164</f>
        <v/>
      </c>
      <c r="B164" s="14">
        <f>'Raw Data'!B164</f>
        <v/>
      </c>
      <c r="C164" s="14">
        <f>'Raw Data'!C164</f>
        <v/>
      </c>
      <c r="D164" s="15">
        <f>'Raw Data'!M164</f>
        <v/>
      </c>
      <c r="E164" s="18">
        <f>'Raw Data'!M164/'Raw Data'!L164*100</f>
        <v/>
      </c>
      <c r="F164" s="14">
        <f>IF(E164&gt;15,"Wet Year",IF(E164&lt;-15,"Dry Year","Normal Year"))</f>
        <v/>
      </c>
      <c r="G164" s="16">
        <f>'Raw Data'!I164</f>
        <v/>
      </c>
      <c r="H164" s="14">
        <f>IF(G164&lt;15,"Low Variability",IF(G164&lt;=35,"Moderate Variability","High Variability"))</f>
        <v/>
      </c>
      <c r="I164" s="18">
        <f>'Raw Data'!O164</f>
        <v/>
      </c>
      <c r="J164" s="14">
        <f>IF(I164=0,"No Flood",IF(I164&lt;=0.5,"Low",IF(I164&lt;=2,"Moderate","High")))</f>
        <v/>
      </c>
    </row>
    <row r="165" ht="15" customHeight="1" s="12">
      <c r="A165" s="14">
        <f>'Raw Data'!A165</f>
        <v/>
      </c>
      <c r="B165" s="14">
        <f>'Raw Data'!B165</f>
        <v/>
      </c>
      <c r="C165" s="14">
        <f>'Raw Data'!C165</f>
        <v/>
      </c>
      <c r="D165" s="15">
        <f>'Raw Data'!M165</f>
        <v/>
      </c>
      <c r="E165" s="18">
        <f>'Raw Data'!M165/'Raw Data'!L165*100</f>
        <v/>
      </c>
      <c r="F165" s="14">
        <f>IF(E165&gt;15,"Wet Year",IF(E165&lt;-15,"Dry Year","Normal Year"))</f>
        <v/>
      </c>
      <c r="G165" s="16">
        <f>'Raw Data'!I165</f>
        <v/>
      </c>
      <c r="H165" s="14">
        <f>IF(G165&lt;15,"Low Variability",IF(G165&lt;=35,"Moderate Variability","High Variability"))</f>
        <v/>
      </c>
      <c r="I165" s="18">
        <f>'Raw Data'!O165</f>
        <v/>
      </c>
      <c r="J165" s="14">
        <f>IF(I165=0,"No Flood",IF(I165&lt;=0.5,"Low",IF(I165&lt;=2,"Moderate","High")))</f>
        <v/>
      </c>
    </row>
    <row r="166" ht="15" customHeight="1" s="12">
      <c r="A166" s="14">
        <f>'Raw Data'!A166</f>
        <v/>
      </c>
      <c r="B166" s="14">
        <f>'Raw Data'!B166</f>
        <v/>
      </c>
      <c r="C166" s="14">
        <f>'Raw Data'!C166</f>
        <v/>
      </c>
      <c r="D166" s="15">
        <f>'Raw Data'!M166</f>
        <v/>
      </c>
      <c r="E166" s="18">
        <f>'Raw Data'!M166/'Raw Data'!L166*100</f>
        <v/>
      </c>
      <c r="F166" s="14">
        <f>IF(E166&gt;15,"Wet Year",IF(E166&lt;-15,"Dry Year","Normal Year"))</f>
        <v/>
      </c>
      <c r="G166" s="16">
        <f>'Raw Data'!I166</f>
        <v/>
      </c>
      <c r="H166" s="14">
        <f>IF(G166&lt;15,"Low Variability",IF(G166&lt;=35,"Moderate Variability","High Variability"))</f>
        <v/>
      </c>
      <c r="I166" s="18">
        <f>'Raw Data'!O166</f>
        <v/>
      </c>
      <c r="J166" s="14">
        <f>IF(I166=0,"No Flood",IF(I166&lt;=0.5,"Low",IF(I166&lt;=2,"Moderate","High")))</f>
        <v/>
      </c>
    </row>
    <row r="167" ht="15" customHeight="1" s="12">
      <c r="A167" s="14">
        <f>'Raw Data'!A167</f>
        <v/>
      </c>
      <c r="B167" s="14">
        <f>'Raw Data'!B167</f>
        <v/>
      </c>
      <c r="C167" s="14">
        <f>'Raw Data'!C167</f>
        <v/>
      </c>
      <c r="D167" s="15">
        <f>'Raw Data'!M167</f>
        <v/>
      </c>
      <c r="E167" s="18">
        <f>'Raw Data'!M167/'Raw Data'!L167*100</f>
        <v/>
      </c>
      <c r="F167" s="14">
        <f>IF(E167&gt;15,"Wet Year",IF(E167&lt;-15,"Dry Year","Normal Year"))</f>
        <v/>
      </c>
      <c r="G167" s="16">
        <f>'Raw Data'!I167</f>
        <v/>
      </c>
      <c r="H167" s="14">
        <f>IF(G167&lt;15,"Low Variability",IF(G167&lt;=35,"Moderate Variability","High Variability"))</f>
        <v/>
      </c>
      <c r="I167" s="18">
        <f>'Raw Data'!O167</f>
        <v/>
      </c>
      <c r="J167" s="14">
        <f>IF(I167=0,"No Flood",IF(I167&lt;=0.5,"Low",IF(I167&lt;=2,"Moderate","High")))</f>
        <v/>
      </c>
    </row>
    <row r="168" ht="15" customHeight="1" s="12">
      <c r="A168" s="14">
        <f>'Raw Data'!A168</f>
        <v/>
      </c>
      <c r="B168" s="14">
        <f>'Raw Data'!B168</f>
        <v/>
      </c>
      <c r="C168" s="14">
        <f>'Raw Data'!C168</f>
        <v/>
      </c>
      <c r="D168" s="15">
        <f>'Raw Data'!M168</f>
        <v/>
      </c>
      <c r="E168" s="18">
        <f>'Raw Data'!M168/'Raw Data'!L168*100</f>
        <v/>
      </c>
      <c r="F168" s="14">
        <f>IF(E168&gt;15,"Wet Year",IF(E168&lt;-15,"Dry Year","Normal Year"))</f>
        <v/>
      </c>
      <c r="G168" s="16">
        <f>'Raw Data'!I168</f>
        <v/>
      </c>
      <c r="H168" s="14">
        <f>IF(G168&lt;15,"Low Variability",IF(G168&lt;=35,"Moderate Variability","High Variability"))</f>
        <v/>
      </c>
      <c r="I168" s="18">
        <f>'Raw Data'!O168</f>
        <v/>
      </c>
      <c r="J168" s="14">
        <f>IF(I168=0,"No Flood",IF(I168&lt;=0.5,"Low",IF(I168&lt;=2,"Moderate","High")))</f>
        <v/>
      </c>
    </row>
    <row r="169" ht="15" customHeight="1" s="12">
      <c r="A169" s="14">
        <f>'Raw Data'!A169</f>
        <v/>
      </c>
      <c r="B169" s="14">
        <f>'Raw Data'!B169</f>
        <v/>
      </c>
      <c r="C169" s="14">
        <f>'Raw Data'!C169</f>
        <v/>
      </c>
      <c r="D169" s="15">
        <f>'Raw Data'!M169</f>
        <v/>
      </c>
      <c r="E169" s="18">
        <f>'Raw Data'!M169/'Raw Data'!L169*100</f>
        <v/>
      </c>
      <c r="F169" s="14">
        <f>IF(E169&gt;15,"Wet Year",IF(E169&lt;-15,"Dry Year","Normal Year"))</f>
        <v/>
      </c>
      <c r="G169" s="16">
        <f>'Raw Data'!I169</f>
        <v/>
      </c>
      <c r="H169" s="14">
        <f>IF(G169&lt;15,"Low Variability",IF(G169&lt;=35,"Moderate Variability","High Variability"))</f>
        <v/>
      </c>
      <c r="I169" s="18">
        <f>'Raw Data'!O169</f>
        <v/>
      </c>
      <c r="J169" s="14">
        <f>IF(I169=0,"No Flood",IF(I169&lt;=0.5,"Low",IF(I169&lt;=2,"Moderate","High")))</f>
        <v/>
      </c>
    </row>
    <row r="170" ht="15" customHeight="1" s="12">
      <c r="A170" s="14">
        <f>'Raw Data'!A170</f>
        <v/>
      </c>
      <c r="B170" s="14">
        <f>'Raw Data'!B170</f>
        <v/>
      </c>
      <c r="C170" s="14">
        <f>'Raw Data'!C170</f>
        <v/>
      </c>
      <c r="D170" s="15">
        <f>'Raw Data'!M170</f>
        <v/>
      </c>
      <c r="E170" s="18">
        <f>'Raw Data'!M170/'Raw Data'!L170*100</f>
        <v/>
      </c>
      <c r="F170" s="14">
        <f>IF(E170&gt;15,"Wet Year",IF(E170&lt;-15,"Dry Year","Normal Year"))</f>
        <v/>
      </c>
      <c r="G170" s="16">
        <f>'Raw Data'!I170</f>
        <v/>
      </c>
      <c r="H170" s="14">
        <f>IF(G170&lt;15,"Low Variability",IF(G170&lt;=35,"Moderate Variability","High Variability"))</f>
        <v/>
      </c>
      <c r="I170" s="18">
        <f>'Raw Data'!O170</f>
        <v/>
      </c>
      <c r="J170" s="14">
        <f>IF(I170=0,"No Flood",IF(I170&lt;=0.5,"Low",IF(I170&lt;=2,"Moderate","High")))</f>
        <v/>
      </c>
    </row>
    <row r="171" ht="15" customHeight="1" s="12">
      <c r="A171" s="14">
        <f>'Raw Data'!A171</f>
        <v/>
      </c>
      <c r="B171" s="14">
        <f>'Raw Data'!B171</f>
        <v/>
      </c>
      <c r="C171" s="14">
        <f>'Raw Data'!C171</f>
        <v/>
      </c>
      <c r="D171" s="15">
        <f>'Raw Data'!M171</f>
        <v/>
      </c>
      <c r="E171" s="18">
        <f>'Raw Data'!M171/'Raw Data'!L171*100</f>
        <v/>
      </c>
      <c r="F171" s="14">
        <f>IF(E171&gt;15,"Wet Year",IF(E171&lt;-15,"Dry Year","Normal Year"))</f>
        <v/>
      </c>
      <c r="G171" s="16">
        <f>'Raw Data'!I171</f>
        <v/>
      </c>
      <c r="H171" s="14">
        <f>IF(G171&lt;15,"Low Variability",IF(G171&lt;=35,"Moderate Variability","High Variability"))</f>
        <v/>
      </c>
      <c r="I171" s="18">
        <f>'Raw Data'!O171</f>
        <v/>
      </c>
      <c r="J171" s="14">
        <f>IF(I171=0,"No Flood",IF(I171&lt;=0.5,"Low",IF(I171&lt;=2,"Moderate","High")))</f>
        <v/>
      </c>
    </row>
    <row r="172" ht="15" customHeight="1" s="12">
      <c r="A172" s="14">
        <f>'Raw Data'!A172</f>
        <v/>
      </c>
      <c r="B172" s="14">
        <f>'Raw Data'!B172</f>
        <v/>
      </c>
      <c r="C172" s="14">
        <f>'Raw Data'!C172</f>
        <v/>
      </c>
      <c r="D172" s="15">
        <f>'Raw Data'!M172</f>
        <v/>
      </c>
      <c r="E172" s="18">
        <f>'Raw Data'!M172/'Raw Data'!L172*100</f>
        <v/>
      </c>
      <c r="F172" s="14">
        <f>IF(E172&gt;15,"Wet Year",IF(E172&lt;-15,"Dry Year","Normal Year"))</f>
        <v/>
      </c>
      <c r="G172" s="16">
        <f>'Raw Data'!I172</f>
        <v/>
      </c>
      <c r="H172" s="14">
        <f>IF(G172&lt;15,"Low Variability",IF(G172&lt;=35,"Moderate Variability","High Variability"))</f>
        <v/>
      </c>
      <c r="I172" s="18">
        <f>'Raw Data'!O172</f>
        <v/>
      </c>
      <c r="J172" s="14">
        <f>IF(I172=0,"No Flood",IF(I172&lt;=0.5,"Low",IF(I172&lt;=2,"Moderate","High")))</f>
        <v/>
      </c>
    </row>
    <row r="173" ht="15" customHeight="1" s="12">
      <c r="A173" s="14">
        <f>'Raw Data'!A173</f>
        <v/>
      </c>
      <c r="B173" s="14">
        <f>'Raw Data'!B173</f>
        <v/>
      </c>
      <c r="C173" s="14">
        <f>'Raw Data'!C173</f>
        <v/>
      </c>
      <c r="D173" s="15">
        <f>'Raw Data'!M173</f>
        <v/>
      </c>
      <c r="E173" s="18">
        <f>'Raw Data'!M173/'Raw Data'!L173*100</f>
        <v/>
      </c>
      <c r="F173" s="14">
        <f>IF(E173&gt;15,"Wet Year",IF(E173&lt;-15,"Dry Year","Normal Year"))</f>
        <v/>
      </c>
      <c r="G173" s="16">
        <f>'Raw Data'!I173</f>
        <v/>
      </c>
      <c r="H173" s="14">
        <f>IF(G173&lt;15,"Low Variability",IF(G173&lt;=35,"Moderate Variability","High Variability"))</f>
        <v/>
      </c>
      <c r="I173" s="18">
        <f>'Raw Data'!O173</f>
        <v/>
      </c>
      <c r="J173" s="14">
        <f>IF(I173=0,"No Flood",IF(I173&lt;=0.5,"Low",IF(I173&lt;=2,"Moderate","High")))</f>
        <v/>
      </c>
    </row>
    <row r="174" ht="15" customHeight="1" s="12">
      <c r="A174" s="14">
        <f>'Raw Data'!A174</f>
        <v/>
      </c>
      <c r="B174" s="14">
        <f>'Raw Data'!B174</f>
        <v/>
      </c>
      <c r="C174" s="14">
        <f>'Raw Data'!C174</f>
        <v/>
      </c>
      <c r="D174" s="15">
        <f>'Raw Data'!M174</f>
        <v/>
      </c>
      <c r="E174" s="18">
        <f>'Raw Data'!M174/'Raw Data'!L174*100</f>
        <v/>
      </c>
      <c r="F174" s="14">
        <f>IF(E174&gt;15,"Wet Year",IF(E174&lt;-15,"Dry Year","Normal Year"))</f>
        <v/>
      </c>
      <c r="G174" s="16">
        <f>'Raw Data'!I174</f>
        <v/>
      </c>
      <c r="H174" s="14">
        <f>IF(G174&lt;15,"Low Variability",IF(G174&lt;=35,"Moderate Variability","High Variability"))</f>
        <v/>
      </c>
      <c r="I174" s="18">
        <f>'Raw Data'!O174</f>
        <v/>
      </c>
      <c r="J174" s="14">
        <f>IF(I174=0,"No Flood",IF(I174&lt;=0.5,"Low",IF(I174&lt;=2,"Moderate","High")))</f>
        <v/>
      </c>
    </row>
    <row r="175" ht="15" customHeight="1" s="12">
      <c r="A175" s="14">
        <f>'Raw Data'!A175</f>
        <v/>
      </c>
      <c r="B175" s="14">
        <f>'Raw Data'!B175</f>
        <v/>
      </c>
      <c r="C175" s="14">
        <f>'Raw Data'!C175</f>
        <v/>
      </c>
      <c r="D175" s="15">
        <f>'Raw Data'!M175</f>
        <v/>
      </c>
      <c r="E175" s="18">
        <f>'Raw Data'!M175/'Raw Data'!L175*100</f>
        <v/>
      </c>
      <c r="F175" s="14">
        <f>IF(E175&gt;15,"Wet Year",IF(E175&lt;-15,"Dry Year","Normal Year"))</f>
        <v/>
      </c>
      <c r="G175" s="16">
        <f>'Raw Data'!I175</f>
        <v/>
      </c>
      <c r="H175" s="14">
        <f>IF(G175&lt;15,"Low Variability",IF(G175&lt;=35,"Moderate Variability","High Variability"))</f>
        <v/>
      </c>
      <c r="I175" s="18">
        <f>'Raw Data'!O175</f>
        <v/>
      </c>
      <c r="J175" s="14">
        <f>IF(I175=0,"No Flood",IF(I175&lt;=0.5,"Low",IF(I175&lt;=2,"Moderate","High")))</f>
        <v/>
      </c>
    </row>
    <row r="176" ht="15" customHeight="1" s="12">
      <c r="A176" s="14">
        <f>'Raw Data'!A176</f>
        <v/>
      </c>
      <c r="B176" s="14">
        <f>'Raw Data'!B176</f>
        <v/>
      </c>
      <c r="C176" s="14">
        <f>'Raw Data'!C176</f>
        <v/>
      </c>
      <c r="D176" s="15">
        <f>'Raw Data'!M176</f>
        <v/>
      </c>
      <c r="E176" s="18">
        <f>'Raw Data'!M176/'Raw Data'!L176*100</f>
        <v/>
      </c>
      <c r="F176" s="14">
        <f>IF(E176&gt;15,"Wet Year",IF(E176&lt;-15,"Dry Year","Normal Year"))</f>
        <v/>
      </c>
      <c r="G176" s="16">
        <f>'Raw Data'!I176</f>
        <v/>
      </c>
      <c r="H176" s="14">
        <f>IF(G176&lt;15,"Low Variability",IF(G176&lt;=35,"Moderate Variability","High Variability"))</f>
        <v/>
      </c>
      <c r="I176" s="18">
        <f>'Raw Data'!O176</f>
        <v/>
      </c>
      <c r="J176" s="14">
        <f>IF(I176=0,"No Flood",IF(I176&lt;=0.5,"Low",IF(I176&lt;=2,"Moderate","High")))</f>
        <v/>
      </c>
    </row>
    <row r="177" ht="15" customHeight="1" s="12">
      <c r="A177" s="14">
        <f>'Raw Data'!A177</f>
        <v/>
      </c>
      <c r="B177" s="14">
        <f>'Raw Data'!B177</f>
        <v/>
      </c>
      <c r="C177" s="14">
        <f>'Raw Data'!C177</f>
        <v/>
      </c>
      <c r="D177" s="15">
        <f>'Raw Data'!M177</f>
        <v/>
      </c>
      <c r="E177" s="18">
        <f>'Raw Data'!M177/'Raw Data'!L177*100</f>
        <v/>
      </c>
      <c r="F177" s="14">
        <f>IF(E177&gt;15,"Wet Year",IF(E177&lt;-15,"Dry Year","Normal Year"))</f>
        <v/>
      </c>
      <c r="G177" s="16">
        <f>'Raw Data'!I177</f>
        <v/>
      </c>
      <c r="H177" s="14">
        <f>IF(G177&lt;15,"Low Variability",IF(G177&lt;=35,"Moderate Variability","High Variability"))</f>
        <v/>
      </c>
      <c r="I177" s="18">
        <f>'Raw Data'!O177</f>
        <v/>
      </c>
      <c r="J177" s="14">
        <f>IF(I177=0,"No Flood",IF(I177&lt;=0.5,"Low",IF(I177&lt;=2,"Moderate","High")))</f>
        <v/>
      </c>
    </row>
    <row r="178" ht="15" customHeight="1" s="12">
      <c r="A178" s="14">
        <f>'Raw Data'!A178</f>
        <v/>
      </c>
      <c r="B178" s="14">
        <f>'Raw Data'!B178</f>
        <v/>
      </c>
      <c r="C178" s="14">
        <f>'Raw Data'!C178</f>
        <v/>
      </c>
      <c r="D178" s="15">
        <f>'Raw Data'!M178</f>
        <v/>
      </c>
      <c r="E178" s="18">
        <f>'Raw Data'!M178/'Raw Data'!L178*100</f>
        <v/>
      </c>
      <c r="F178" s="14">
        <f>IF(E178&gt;15,"Wet Year",IF(E178&lt;-15,"Dry Year","Normal Year"))</f>
        <v/>
      </c>
      <c r="G178" s="16">
        <f>'Raw Data'!I178</f>
        <v/>
      </c>
      <c r="H178" s="14">
        <f>IF(G178&lt;15,"Low Variability",IF(G178&lt;=35,"Moderate Variability","High Variability"))</f>
        <v/>
      </c>
      <c r="I178" s="18">
        <f>'Raw Data'!O178</f>
        <v/>
      </c>
      <c r="J178" s="14">
        <f>IF(I178=0,"No Flood",IF(I178&lt;=0.5,"Low",IF(I178&lt;=2,"Moderate","High")))</f>
        <v/>
      </c>
    </row>
    <row r="179" ht="15" customHeight="1" s="12">
      <c r="A179" s="14">
        <f>'Raw Data'!A179</f>
        <v/>
      </c>
      <c r="B179" s="14">
        <f>'Raw Data'!B179</f>
        <v/>
      </c>
      <c r="C179" s="14">
        <f>'Raw Data'!C179</f>
        <v/>
      </c>
      <c r="D179" s="15">
        <f>'Raw Data'!M179</f>
        <v/>
      </c>
      <c r="E179" s="18">
        <f>'Raw Data'!M179/'Raw Data'!L179*100</f>
        <v/>
      </c>
      <c r="F179" s="14">
        <f>IF(E179&gt;15,"Wet Year",IF(E179&lt;-15,"Dry Year","Normal Year"))</f>
        <v/>
      </c>
      <c r="G179" s="16">
        <f>'Raw Data'!I179</f>
        <v/>
      </c>
      <c r="H179" s="14">
        <f>IF(G179&lt;15,"Low Variability",IF(G179&lt;=35,"Moderate Variability","High Variability"))</f>
        <v/>
      </c>
      <c r="I179" s="18">
        <f>'Raw Data'!O179</f>
        <v/>
      </c>
      <c r="J179" s="14">
        <f>IF(I179=0,"No Flood",IF(I179&lt;=0.5,"Low",IF(I179&lt;=2,"Moderate","High")))</f>
        <v/>
      </c>
    </row>
    <row r="180" ht="15" customHeight="1" s="12">
      <c r="A180" s="14">
        <f>'Raw Data'!A180</f>
        <v/>
      </c>
      <c r="B180" s="14">
        <f>'Raw Data'!B180</f>
        <v/>
      </c>
      <c r="C180" s="14">
        <f>'Raw Data'!C180</f>
        <v/>
      </c>
      <c r="D180" s="15">
        <f>'Raw Data'!M180</f>
        <v/>
      </c>
      <c r="E180" s="18">
        <f>'Raw Data'!M180/'Raw Data'!L180*100</f>
        <v/>
      </c>
      <c r="F180" s="14">
        <f>IF(E180&gt;15,"Wet Year",IF(E180&lt;-15,"Dry Year","Normal Year"))</f>
        <v/>
      </c>
      <c r="G180" s="16">
        <f>'Raw Data'!I180</f>
        <v/>
      </c>
      <c r="H180" s="14">
        <f>IF(G180&lt;15,"Low Variability",IF(G180&lt;=35,"Moderate Variability","High Variability"))</f>
        <v/>
      </c>
      <c r="I180" s="18">
        <f>'Raw Data'!O180</f>
        <v/>
      </c>
      <c r="J180" s="14">
        <f>IF(I180=0,"No Flood",IF(I180&lt;=0.5,"Low",IF(I180&lt;=2,"Moderate","High")))</f>
        <v/>
      </c>
    </row>
    <row r="181" ht="15" customHeight="1" s="12">
      <c r="A181" s="14">
        <f>'Raw Data'!A181</f>
        <v/>
      </c>
      <c r="B181" s="14">
        <f>'Raw Data'!B181</f>
        <v/>
      </c>
      <c r="C181" s="14">
        <f>'Raw Data'!C181</f>
        <v/>
      </c>
      <c r="D181" s="15">
        <f>'Raw Data'!M181</f>
        <v/>
      </c>
      <c r="E181" s="18">
        <f>'Raw Data'!M181/'Raw Data'!L181*100</f>
        <v/>
      </c>
      <c r="F181" s="14">
        <f>IF(E181&gt;15,"Wet Year",IF(E181&lt;-15,"Dry Year","Normal Year"))</f>
        <v/>
      </c>
      <c r="G181" s="16">
        <f>'Raw Data'!I181</f>
        <v/>
      </c>
      <c r="H181" s="14">
        <f>IF(G181&lt;15,"Low Variability",IF(G181&lt;=35,"Moderate Variability","High Variability"))</f>
        <v/>
      </c>
      <c r="I181" s="18">
        <f>'Raw Data'!O181</f>
        <v/>
      </c>
      <c r="J181" s="14">
        <f>IF(I181=0,"No Flood",IF(I181&lt;=0.5,"Low",IF(I181&lt;=2,"Moderate","High")))</f>
        <v/>
      </c>
    </row>
    <row r="182" ht="15" customHeight="1" s="12">
      <c r="A182" s="14">
        <f>'Raw Data'!A182</f>
        <v/>
      </c>
      <c r="B182" s="14">
        <f>'Raw Data'!B182</f>
        <v/>
      </c>
      <c r="C182" s="14">
        <f>'Raw Data'!C182</f>
        <v/>
      </c>
      <c r="D182" s="15">
        <f>'Raw Data'!M182</f>
        <v/>
      </c>
      <c r="E182" s="18">
        <f>'Raw Data'!M182/'Raw Data'!L182*100</f>
        <v/>
      </c>
      <c r="F182" s="14">
        <f>IF(E182&gt;15,"Wet Year",IF(E182&lt;-15,"Dry Year","Normal Year"))</f>
        <v/>
      </c>
      <c r="G182" s="16">
        <f>'Raw Data'!I182</f>
        <v/>
      </c>
      <c r="H182" s="14">
        <f>IF(G182&lt;15,"Low Variability",IF(G182&lt;=35,"Moderate Variability","High Variability"))</f>
        <v/>
      </c>
      <c r="I182" s="18">
        <f>'Raw Data'!O182</f>
        <v/>
      </c>
      <c r="J182" s="14">
        <f>IF(I182=0,"No Flood",IF(I182&lt;=0.5,"Low",IF(I182&lt;=2,"Moderate","High")))</f>
        <v/>
      </c>
    </row>
    <row r="183" ht="15" customHeight="1" s="12">
      <c r="A183" s="14">
        <f>'Raw Data'!A183</f>
        <v/>
      </c>
      <c r="B183" s="14">
        <f>'Raw Data'!B183</f>
        <v/>
      </c>
      <c r="C183" s="14">
        <f>'Raw Data'!C183</f>
        <v/>
      </c>
      <c r="D183" s="15">
        <f>'Raw Data'!M183</f>
        <v/>
      </c>
      <c r="E183" s="18">
        <f>'Raw Data'!M183/'Raw Data'!L183*100</f>
        <v/>
      </c>
      <c r="F183" s="14">
        <f>IF(E183&gt;15,"Wet Year",IF(E183&lt;-15,"Dry Year","Normal Year"))</f>
        <v/>
      </c>
      <c r="G183" s="16">
        <f>'Raw Data'!I183</f>
        <v/>
      </c>
      <c r="H183" s="14">
        <f>IF(G183&lt;15,"Low Variability",IF(G183&lt;=35,"Moderate Variability","High Variability"))</f>
        <v/>
      </c>
      <c r="I183" s="18">
        <f>'Raw Data'!O183</f>
        <v/>
      </c>
      <c r="J183" s="14">
        <f>IF(I183=0,"No Flood",IF(I183&lt;=0.5,"Low",IF(I183&lt;=2,"Moderate","High")))</f>
        <v/>
      </c>
    </row>
    <row r="184" ht="15" customHeight="1" s="12">
      <c r="A184" s="14">
        <f>'Raw Data'!A184</f>
        <v/>
      </c>
      <c r="B184" s="14">
        <f>'Raw Data'!B184</f>
        <v/>
      </c>
      <c r="C184" s="14">
        <f>'Raw Data'!C184</f>
        <v/>
      </c>
      <c r="D184" s="15">
        <f>'Raw Data'!M184</f>
        <v/>
      </c>
      <c r="E184" s="18">
        <f>'Raw Data'!M184/'Raw Data'!L184*100</f>
        <v/>
      </c>
      <c r="F184" s="14">
        <f>IF(E184&gt;15,"Wet Year",IF(E184&lt;-15,"Dry Year","Normal Year"))</f>
        <v/>
      </c>
      <c r="G184" s="16">
        <f>'Raw Data'!I184</f>
        <v/>
      </c>
      <c r="H184" s="14">
        <f>IF(G184&lt;15,"Low Variability",IF(G184&lt;=35,"Moderate Variability","High Variability"))</f>
        <v/>
      </c>
      <c r="I184" s="18">
        <f>'Raw Data'!O184</f>
        <v/>
      </c>
      <c r="J184" s="14">
        <f>IF(I184=0,"No Flood",IF(I184&lt;=0.5,"Low",IF(I184&lt;=2,"Moderate","High")))</f>
        <v/>
      </c>
    </row>
    <row r="185" ht="15" customHeight="1" s="12">
      <c r="A185" s="14">
        <f>'Raw Data'!A185</f>
        <v/>
      </c>
      <c r="B185" s="14">
        <f>'Raw Data'!B185</f>
        <v/>
      </c>
      <c r="C185" s="14">
        <f>'Raw Data'!C185</f>
        <v/>
      </c>
      <c r="D185" s="15">
        <f>'Raw Data'!M185</f>
        <v/>
      </c>
      <c r="E185" s="18">
        <f>'Raw Data'!M185/'Raw Data'!L185*100</f>
        <v/>
      </c>
      <c r="F185" s="14">
        <f>IF(E185&gt;15,"Wet Year",IF(E185&lt;-15,"Dry Year","Normal Year"))</f>
        <v/>
      </c>
      <c r="G185" s="16">
        <f>'Raw Data'!I185</f>
        <v/>
      </c>
      <c r="H185" s="14">
        <f>IF(G185&lt;15,"Low Variability",IF(G185&lt;=35,"Moderate Variability","High Variability"))</f>
        <v/>
      </c>
      <c r="I185" s="18">
        <f>'Raw Data'!O185</f>
        <v/>
      </c>
      <c r="J185" s="14">
        <f>IF(I185=0,"No Flood",IF(I185&lt;=0.5,"Low",IF(I185&lt;=2,"Moderate","High")))</f>
        <v/>
      </c>
    </row>
    <row r="186" ht="15" customHeight="1" s="12">
      <c r="A186" s="14">
        <f>'Raw Data'!A186</f>
        <v/>
      </c>
      <c r="B186" s="14">
        <f>'Raw Data'!B186</f>
        <v/>
      </c>
      <c r="C186" s="14">
        <f>'Raw Data'!C186</f>
        <v/>
      </c>
      <c r="D186" s="15">
        <f>'Raw Data'!M186</f>
        <v/>
      </c>
      <c r="E186" s="18">
        <f>'Raw Data'!M186/'Raw Data'!L186*100</f>
        <v/>
      </c>
      <c r="F186" s="14">
        <f>IF(E186&gt;15,"Wet Year",IF(E186&lt;-15,"Dry Year","Normal Year"))</f>
        <v/>
      </c>
      <c r="G186" s="16">
        <f>'Raw Data'!I186</f>
        <v/>
      </c>
      <c r="H186" s="14">
        <f>IF(G186&lt;15,"Low Variability",IF(G186&lt;=35,"Moderate Variability","High Variability"))</f>
        <v/>
      </c>
      <c r="I186" s="18">
        <f>'Raw Data'!O186</f>
        <v/>
      </c>
      <c r="J186" s="14">
        <f>IF(I186=0,"No Flood",IF(I186&lt;=0.5,"Low",IF(I186&lt;=2,"Moderate","High")))</f>
        <v/>
      </c>
    </row>
    <row r="187" ht="15" customHeight="1" s="12">
      <c r="A187" s="14">
        <f>'Raw Data'!A187</f>
        <v/>
      </c>
      <c r="B187" s="14">
        <f>'Raw Data'!B187</f>
        <v/>
      </c>
      <c r="C187" s="14">
        <f>'Raw Data'!C187</f>
        <v/>
      </c>
      <c r="D187" s="15">
        <f>'Raw Data'!M187</f>
        <v/>
      </c>
      <c r="E187" s="18">
        <f>'Raw Data'!M187/'Raw Data'!L187*100</f>
        <v/>
      </c>
      <c r="F187" s="14">
        <f>IF(E187&gt;15,"Wet Year",IF(E187&lt;-15,"Dry Year","Normal Year"))</f>
        <v/>
      </c>
      <c r="G187" s="16">
        <f>'Raw Data'!I187</f>
        <v/>
      </c>
      <c r="H187" s="14">
        <f>IF(G187&lt;15,"Low Variability",IF(G187&lt;=35,"Moderate Variability","High Variability"))</f>
        <v/>
      </c>
      <c r="I187" s="18">
        <f>'Raw Data'!O187</f>
        <v/>
      </c>
      <c r="J187" s="14">
        <f>IF(I187=0,"No Flood",IF(I187&lt;=0.5,"Low",IF(I187&lt;=2,"Moderate","High")))</f>
        <v/>
      </c>
    </row>
    <row r="188" ht="15" customHeight="1" s="12">
      <c r="A188" s="14">
        <f>'Raw Data'!A188</f>
        <v/>
      </c>
      <c r="B188" s="14">
        <f>'Raw Data'!B188</f>
        <v/>
      </c>
      <c r="C188" s="14">
        <f>'Raw Data'!C188</f>
        <v/>
      </c>
      <c r="D188" s="15">
        <f>'Raw Data'!M188</f>
        <v/>
      </c>
      <c r="E188" s="18">
        <f>'Raw Data'!M188/'Raw Data'!L188*100</f>
        <v/>
      </c>
      <c r="F188" s="14">
        <f>IF(E188&gt;15,"Wet Year",IF(E188&lt;-15,"Dry Year","Normal Year"))</f>
        <v/>
      </c>
      <c r="G188" s="16">
        <f>'Raw Data'!I188</f>
        <v/>
      </c>
      <c r="H188" s="14">
        <f>IF(G188&lt;15,"Low Variability",IF(G188&lt;=35,"Moderate Variability","High Variability"))</f>
        <v/>
      </c>
      <c r="I188" s="18">
        <f>'Raw Data'!O188</f>
        <v/>
      </c>
      <c r="J188" s="14">
        <f>IF(I188=0,"No Flood",IF(I188&lt;=0.5,"Low",IF(I188&lt;=2,"Moderate","High")))</f>
        <v/>
      </c>
    </row>
    <row r="189" ht="15" customHeight="1" s="12">
      <c r="A189" s="14">
        <f>'Raw Data'!A189</f>
        <v/>
      </c>
      <c r="B189" s="14">
        <f>'Raw Data'!B189</f>
        <v/>
      </c>
      <c r="C189" s="14">
        <f>'Raw Data'!C189</f>
        <v/>
      </c>
      <c r="D189" s="15">
        <f>'Raw Data'!M189</f>
        <v/>
      </c>
      <c r="E189" s="18">
        <f>'Raw Data'!M189/'Raw Data'!L189*100</f>
        <v/>
      </c>
      <c r="F189" s="14">
        <f>IF(E189&gt;15,"Wet Year",IF(E189&lt;-15,"Dry Year","Normal Year"))</f>
        <v/>
      </c>
      <c r="G189" s="16">
        <f>'Raw Data'!I189</f>
        <v/>
      </c>
      <c r="H189" s="14">
        <f>IF(G189&lt;15,"Low Variability",IF(G189&lt;=35,"Moderate Variability","High Variability"))</f>
        <v/>
      </c>
      <c r="I189" s="18">
        <f>'Raw Data'!O189</f>
        <v/>
      </c>
      <c r="J189" s="14">
        <f>IF(I189=0,"No Flood",IF(I189&lt;=0.5,"Low",IF(I189&lt;=2,"Moderate","High")))</f>
        <v/>
      </c>
    </row>
    <row r="190" ht="15" customHeight="1" s="12">
      <c r="A190" s="14">
        <f>'Raw Data'!A190</f>
        <v/>
      </c>
      <c r="B190" s="14">
        <f>'Raw Data'!B190</f>
        <v/>
      </c>
      <c r="C190" s="14">
        <f>'Raw Data'!C190</f>
        <v/>
      </c>
      <c r="D190" s="15">
        <f>'Raw Data'!M190</f>
        <v/>
      </c>
      <c r="E190" s="18">
        <f>'Raw Data'!M190/'Raw Data'!L190*100</f>
        <v/>
      </c>
      <c r="F190" s="14">
        <f>IF(E190&gt;15,"Wet Year",IF(E190&lt;-15,"Dry Year","Normal Year"))</f>
        <v/>
      </c>
      <c r="G190" s="16">
        <f>'Raw Data'!I190</f>
        <v/>
      </c>
      <c r="H190" s="14">
        <f>IF(G190&lt;15,"Low Variability",IF(G190&lt;=35,"Moderate Variability","High Variability"))</f>
        <v/>
      </c>
      <c r="I190" s="18">
        <f>'Raw Data'!O190</f>
        <v/>
      </c>
      <c r="J190" s="14">
        <f>IF(I190=0,"No Flood",IF(I190&lt;=0.5,"Low",IF(I190&lt;=2,"Moderate","High")))</f>
        <v/>
      </c>
    </row>
    <row r="191" ht="15" customHeight="1" s="12">
      <c r="A191" s="14">
        <f>'Raw Data'!A191</f>
        <v/>
      </c>
      <c r="B191" s="14">
        <f>'Raw Data'!B191</f>
        <v/>
      </c>
      <c r="C191" s="14">
        <f>'Raw Data'!C191</f>
        <v/>
      </c>
      <c r="D191" s="15">
        <f>'Raw Data'!M191</f>
        <v/>
      </c>
      <c r="E191" s="18">
        <f>'Raw Data'!M191/'Raw Data'!L191*100</f>
        <v/>
      </c>
      <c r="F191" s="14">
        <f>IF(E191&gt;15,"Wet Year",IF(E191&lt;-15,"Dry Year","Normal Year"))</f>
        <v/>
      </c>
      <c r="G191" s="16">
        <f>'Raw Data'!I191</f>
        <v/>
      </c>
      <c r="H191" s="14">
        <f>IF(G191&lt;15,"Low Variability",IF(G191&lt;=35,"Moderate Variability","High Variability"))</f>
        <v/>
      </c>
      <c r="I191" s="18">
        <f>'Raw Data'!O191</f>
        <v/>
      </c>
      <c r="J191" s="14">
        <f>IF(I191=0,"No Flood",IF(I191&lt;=0.5,"Low",IF(I191&lt;=2,"Moderate","High")))</f>
        <v/>
      </c>
    </row>
    <row r="192" ht="15" customHeight="1" s="12">
      <c r="A192" s="14">
        <f>'Raw Data'!A192</f>
        <v/>
      </c>
      <c r="B192" s="14">
        <f>'Raw Data'!B192</f>
        <v/>
      </c>
      <c r="C192" s="14">
        <f>'Raw Data'!C192</f>
        <v/>
      </c>
      <c r="D192" s="15">
        <f>'Raw Data'!M192</f>
        <v/>
      </c>
      <c r="E192" s="18">
        <f>'Raw Data'!M192/'Raw Data'!L192*100</f>
        <v/>
      </c>
      <c r="F192" s="14">
        <f>IF(E192&gt;15,"Wet Year",IF(E192&lt;-15,"Dry Year","Normal Year"))</f>
        <v/>
      </c>
      <c r="G192" s="16">
        <f>'Raw Data'!I192</f>
        <v/>
      </c>
      <c r="H192" s="14">
        <f>IF(G192&lt;15,"Low Variability",IF(G192&lt;=35,"Moderate Variability","High Variability"))</f>
        <v/>
      </c>
      <c r="I192" s="18">
        <f>'Raw Data'!O192</f>
        <v/>
      </c>
      <c r="J192" s="14">
        <f>IF(I192=0,"No Flood",IF(I192&lt;=0.5,"Low",IF(I192&lt;=2,"Moderate","High")))</f>
        <v/>
      </c>
    </row>
    <row r="193" ht="15" customHeight="1" s="12">
      <c r="A193" s="14">
        <f>'Raw Data'!A193</f>
        <v/>
      </c>
      <c r="B193" s="14">
        <f>'Raw Data'!B193</f>
        <v/>
      </c>
      <c r="C193" s="14">
        <f>'Raw Data'!C193</f>
        <v/>
      </c>
      <c r="D193" s="15">
        <f>'Raw Data'!M193</f>
        <v/>
      </c>
      <c r="E193" s="18">
        <f>'Raw Data'!M193/'Raw Data'!L193*100</f>
        <v/>
      </c>
      <c r="F193" s="14">
        <f>IF(E193&gt;15,"Wet Year",IF(E193&lt;-15,"Dry Year","Normal Year"))</f>
        <v/>
      </c>
      <c r="G193" s="16">
        <f>'Raw Data'!I193</f>
        <v/>
      </c>
      <c r="H193" s="14">
        <f>IF(G193&lt;15,"Low Variability",IF(G193&lt;=35,"Moderate Variability","High Variability"))</f>
        <v/>
      </c>
      <c r="I193" s="18">
        <f>'Raw Data'!O193</f>
        <v/>
      </c>
      <c r="J193" s="14">
        <f>IF(I193=0,"No Flood",IF(I193&lt;=0.5,"Low",IF(I193&lt;=2,"Moderate","High")))</f>
        <v/>
      </c>
    </row>
    <row r="194" ht="15" customHeight="1" s="12">
      <c r="A194" s="14">
        <f>'Raw Data'!A194</f>
        <v/>
      </c>
      <c r="B194" s="14">
        <f>'Raw Data'!B194</f>
        <v/>
      </c>
      <c r="C194" s="14">
        <f>'Raw Data'!C194</f>
        <v/>
      </c>
      <c r="D194" s="15">
        <f>'Raw Data'!M194</f>
        <v/>
      </c>
      <c r="E194" s="18">
        <f>'Raw Data'!M194/'Raw Data'!L194*100</f>
        <v/>
      </c>
      <c r="F194" s="14">
        <f>IF(E194&gt;15,"Wet Year",IF(E194&lt;-15,"Dry Year","Normal Year"))</f>
        <v/>
      </c>
      <c r="G194" s="16">
        <f>'Raw Data'!I194</f>
        <v/>
      </c>
      <c r="H194" s="14">
        <f>IF(G194&lt;15,"Low Variability",IF(G194&lt;=35,"Moderate Variability","High Variability"))</f>
        <v/>
      </c>
      <c r="I194" s="18">
        <f>'Raw Data'!O194</f>
        <v/>
      </c>
      <c r="J194" s="14">
        <f>IF(I194=0,"No Flood",IF(I194&lt;=0.5,"Low",IF(I194&lt;=2,"Moderate","High")))</f>
        <v/>
      </c>
    </row>
    <row r="195" ht="15" customHeight="1" s="12">
      <c r="A195" s="14">
        <f>'Raw Data'!A195</f>
        <v/>
      </c>
      <c r="B195" s="14">
        <f>'Raw Data'!B195</f>
        <v/>
      </c>
      <c r="C195" s="14">
        <f>'Raw Data'!C195</f>
        <v/>
      </c>
      <c r="D195" s="15">
        <f>'Raw Data'!M195</f>
        <v/>
      </c>
      <c r="E195" s="18">
        <f>'Raw Data'!M195/'Raw Data'!L195*100</f>
        <v/>
      </c>
      <c r="F195" s="14">
        <f>IF(E195&gt;15,"Wet Year",IF(E195&lt;-15,"Dry Year","Normal Year"))</f>
        <v/>
      </c>
      <c r="G195" s="16">
        <f>'Raw Data'!I195</f>
        <v/>
      </c>
      <c r="H195" s="14">
        <f>IF(G195&lt;15,"Low Variability",IF(G195&lt;=35,"Moderate Variability","High Variability"))</f>
        <v/>
      </c>
      <c r="I195" s="18">
        <f>'Raw Data'!O195</f>
        <v/>
      </c>
      <c r="J195" s="14">
        <f>IF(I195=0,"No Flood",IF(I195&lt;=0.5,"Low",IF(I195&lt;=2,"Moderate","High")))</f>
        <v/>
      </c>
    </row>
    <row r="196" ht="15" customHeight="1" s="12">
      <c r="A196" s="14">
        <f>'Raw Data'!A196</f>
        <v/>
      </c>
      <c r="B196" s="14">
        <f>'Raw Data'!B196</f>
        <v/>
      </c>
      <c r="C196" s="14">
        <f>'Raw Data'!C196</f>
        <v/>
      </c>
      <c r="D196" s="15">
        <f>'Raw Data'!M196</f>
        <v/>
      </c>
      <c r="E196" s="18">
        <f>'Raw Data'!M196/'Raw Data'!L196*100</f>
        <v/>
      </c>
      <c r="F196" s="14">
        <f>IF(E196&gt;15,"Wet Year",IF(E196&lt;-15,"Dry Year","Normal Year"))</f>
        <v/>
      </c>
      <c r="G196" s="16">
        <f>'Raw Data'!I196</f>
        <v/>
      </c>
      <c r="H196" s="14">
        <f>IF(G196&lt;15,"Low Variability",IF(G196&lt;=35,"Moderate Variability","High Variability"))</f>
        <v/>
      </c>
      <c r="I196" s="18">
        <f>'Raw Data'!O196</f>
        <v/>
      </c>
      <c r="J196" s="14">
        <f>IF(I196=0,"No Flood",IF(I196&lt;=0.5,"Low",IF(I196&lt;=2,"Moderate","High")))</f>
        <v/>
      </c>
    </row>
    <row r="197" ht="15" customHeight="1" s="12">
      <c r="A197" s="14">
        <f>'Raw Data'!A197</f>
        <v/>
      </c>
      <c r="B197" s="14">
        <f>'Raw Data'!B197</f>
        <v/>
      </c>
      <c r="C197" s="14">
        <f>'Raw Data'!C197</f>
        <v/>
      </c>
      <c r="D197" s="15">
        <f>'Raw Data'!M197</f>
        <v/>
      </c>
      <c r="E197" s="18">
        <f>'Raw Data'!M197/'Raw Data'!L197*100</f>
        <v/>
      </c>
      <c r="F197" s="14">
        <f>IF(E197&gt;15,"Wet Year",IF(E197&lt;-15,"Dry Year","Normal Year"))</f>
        <v/>
      </c>
      <c r="G197" s="16">
        <f>'Raw Data'!I197</f>
        <v/>
      </c>
      <c r="H197" s="14">
        <f>IF(G197&lt;15,"Low Variability",IF(G197&lt;=35,"Moderate Variability","High Variability"))</f>
        <v/>
      </c>
      <c r="I197" s="18">
        <f>'Raw Data'!O197</f>
        <v/>
      </c>
      <c r="J197" s="14">
        <f>IF(I197=0,"No Flood",IF(I197&lt;=0.5,"Low",IF(I197&lt;=2,"Moderate","High")))</f>
        <v/>
      </c>
    </row>
    <row r="198" ht="15" customHeight="1" s="12">
      <c r="A198" s="14">
        <f>'Raw Data'!A198</f>
        <v/>
      </c>
      <c r="B198" s="14">
        <f>'Raw Data'!B198</f>
        <v/>
      </c>
      <c r="C198" s="14">
        <f>'Raw Data'!C198</f>
        <v/>
      </c>
      <c r="D198" s="15">
        <f>'Raw Data'!M198</f>
        <v/>
      </c>
      <c r="E198" s="18">
        <f>'Raw Data'!M198/'Raw Data'!L198*100</f>
        <v/>
      </c>
      <c r="F198" s="14">
        <f>IF(E198&gt;15,"Wet Year",IF(E198&lt;-15,"Dry Year","Normal Year"))</f>
        <v/>
      </c>
      <c r="G198" s="16">
        <f>'Raw Data'!I198</f>
        <v/>
      </c>
      <c r="H198" s="14">
        <f>IF(G198&lt;15,"Low Variability",IF(G198&lt;=35,"Moderate Variability","High Variability"))</f>
        <v/>
      </c>
      <c r="I198" s="18">
        <f>'Raw Data'!O198</f>
        <v/>
      </c>
      <c r="J198" s="14">
        <f>IF(I198=0,"No Flood",IF(I198&lt;=0.5,"Low",IF(I198&lt;=2,"Moderate","High")))</f>
        <v/>
      </c>
    </row>
    <row r="199" ht="15" customHeight="1" s="12">
      <c r="A199" s="14">
        <f>'Raw Data'!A199</f>
        <v/>
      </c>
      <c r="B199" s="14">
        <f>'Raw Data'!B199</f>
        <v/>
      </c>
      <c r="C199" s="14">
        <f>'Raw Data'!C199</f>
        <v/>
      </c>
      <c r="D199" s="15">
        <f>'Raw Data'!M199</f>
        <v/>
      </c>
      <c r="E199" s="18">
        <f>'Raw Data'!M199/'Raw Data'!L199*100</f>
        <v/>
      </c>
      <c r="F199" s="14">
        <f>IF(E199&gt;15,"Wet Year",IF(E199&lt;-15,"Dry Year","Normal Year"))</f>
        <v/>
      </c>
      <c r="G199" s="16">
        <f>'Raw Data'!I199</f>
        <v/>
      </c>
      <c r="H199" s="14">
        <f>IF(G199&lt;15,"Low Variability",IF(G199&lt;=35,"Moderate Variability","High Variability"))</f>
        <v/>
      </c>
      <c r="I199" s="18">
        <f>'Raw Data'!O199</f>
        <v/>
      </c>
      <c r="J199" s="14">
        <f>IF(I199=0,"No Flood",IF(I199&lt;=0.5,"Low",IF(I199&lt;=2,"Moderate","High")))</f>
        <v/>
      </c>
    </row>
    <row r="200" ht="15" customHeight="1" s="12">
      <c r="A200" s="14">
        <f>'Raw Data'!A200</f>
        <v/>
      </c>
      <c r="B200" s="14">
        <f>'Raw Data'!B200</f>
        <v/>
      </c>
      <c r="C200" s="14">
        <f>'Raw Data'!C200</f>
        <v/>
      </c>
      <c r="D200" s="15">
        <f>'Raw Data'!M200</f>
        <v/>
      </c>
      <c r="E200" s="18">
        <f>'Raw Data'!M200/'Raw Data'!L200*100</f>
        <v/>
      </c>
      <c r="F200" s="14">
        <f>IF(E200&gt;15,"Wet Year",IF(E200&lt;-15,"Dry Year","Normal Year"))</f>
        <v/>
      </c>
      <c r="G200" s="16">
        <f>'Raw Data'!I200</f>
        <v/>
      </c>
      <c r="H200" s="14">
        <f>IF(G200&lt;15,"Low Variability",IF(G200&lt;=35,"Moderate Variability","High Variability"))</f>
        <v/>
      </c>
      <c r="I200" s="18">
        <f>'Raw Data'!O200</f>
        <v/>
      </c>
      <c r="J200" s="14">
        <f>IF(I200=0,"No Flood",IF(I200&lt;=0.5,"Low",IF(I200&lt;=2,"Moderate","High")))</f>
        <v/>
      </c>
    </row>
    <row r="201" ht="15" customHeight="1" s="12">
      <c r="A201" s="14">
        <f>'Raw Data'!A201</f>
        <v/>
      </c>
      <c r="B201" s="14">
        <f>'Raw Data'!B201</f>
        <v/>
      </c>
      <c r="C201" s="14">
        <f>'Raw Data'!C201</f>
        <v/>
      </c>
      <c r="D201" s="15">
        <f>'Raw Data'!M201</f>
        <v/>
      </c>
      <c r="E201" s="18">
        <f>'Raw Data'!M201/'Raw Data'!L201*100</f>
        <v/>
      </c>
      <c r="F201" s="14">
        <f>IF(E201&gt;15,"Wet Year",IF(E201&lt;-15,"Dry Year","Normal Year"))</f>
        <v/>
      </c>
      <c r="G201" s="16">
        <f>'Raw Data'!I201</f>
        <v/>
      </c>
      <c r="H201" s="14">
        <f>IF(G201&lt;15,"Low Variability",IF(G201&lt;=35,"Moderate Variability","High Variability"))</f>
        <v/>
      </c>
      <c r="I201" s="18">
        <f>'Raw Data'!O201</f>
        <v/>
      </c>
      <c r="J201" s="14">
        <f>IF(I201=0,"No Flood",IF(I201&lt;=0.5,"Low",IF(I201&lt;=2,"Moderate","High")))</f>
        <v/>
      </c>
    </row>
    <row r="202" ht="15" customHeight="1" s="12">
      <c r="A202" s="14">
        <f>'Raw Data'!A202</f>
        <v/>
      </c>
      <c r="B202" s="14">
        <f>'Raw Data'!B202</f>
        <v/>
      </c>
      <c r="C202" s="14">
        <f>'Raw Data'!C202</f>
        <v/>
      </c>
      <c r="D202" s="15">
        <f>'Raw Data'!M202</f>
        <v/>
      </c>
      <c r="E202" s="18">
        <f>'Raw Data'!M202/'Raw Data'!L202*100</f>
        <v/>
      </c>
      <c r="F202" s="14">
        <f>IF(E202&gt;15,"Wet Year",IF(E202&lt;-15,"Dry Year","Normal Year"))</f>
        <v/>
      </c>
      <c r="G202" s="16">
        <f>'Raw Data'!I202</f>
        <v/>
      </c>
      <c r="H202" s="14">
        <f>IF(G202&lt;15,"Low Variability",IF(G202&lt;=35,"Moderate Variability","High Variability"))</f>
        <v/>
      </c>
      <c r="I202" s="18">
        <f>'Raw Data'!O202</f>
        <v/>
      </c>
      <c r="J202" s="14">
        <f>IF(I202=0,"No Flood",IF(I202&lt;=0.5,"Low",IF(I202&lt;=2,"Moderate","High")))</f>
        <v/>
      </c>
    </row>
    <row r="203" ht="15" customHeight="1" s="12">
      <c r="A203" s="14">
        <f>'Raw Data'!A203</f>
        <v/>
      </c>
      <c r="B203" s="14">
        <f>'Raw Data'!B203</f>
        <v/>
      </c>
      <c r="C203" s="14">
        <f>'Raw Data'!C203</f>
        <v/>
      </c>
      <c r="D203" s="15">
        <f>'Raw Data'!M203</f>
        <v/>
      </c>
      <c r="E203" s="18">
        <f>'Raw Data'!M203/'Raw Data'!L203*100</f>
        <v/>
      </c>
      <c r="F203" s="14">
        <f>IF(E203&gt;15,"Wet Year",IF(E203&lt;-15,"Dry Year","Normal Year"))</f>
        <v/>
      </c>
      <c r="G203" s="16">
        <f>'Raw Data'!I203</f>
        <v/>
      </c>
      <c r="H203" s="14">
        <f>IF(G203&lt;15,"Low Variability",IF(G203&lt;=35,"Moderate Variability","High Variability"))</f>
        <v/>
      </c>
      <c r="I203" s="18">
        <f>'Raw Data'!O203</f>
        <v/>
      </c>
      <c r="J203" s="14">
        <f>IF(I203=0,"No Flood",IF(I203&lt;=0.5,"Low",IF(I203&lt;=2,"Moderate","High")))</f>
        <v/>
      </c>
    </row>
    <row r="204" ht="15" customHeight="1" s="12">
      <c r="A204" s="14">
        <f>'Raw Data'!A204</f>
        <v/>
      </c>
      <c r="B204" s="14">
        <f>'Raw Data'!B204</f>
        <v/>
      </c>
      <c r="C204" s="14">
        <f>'Raw Data'!C204</f>
        <v/>
      </c>
      <c r="D204" s="15">
        <f>'Raw Data'!M204</f>
        <v/>
      </c>
      <c r="E204" s="18">
        <f>'Raw Data'!M204/'Raw Data'!L204*100</f>
        <v/>
      </c>
      <c r="F204" s="14">
        <f>IF(E204&gt;15,"Wet Year",IF(E204&lt;-15,"Dry Year","Normal Year"))</f>
        <v/>
      </c>
      <c r="G204" s="16">
        <f>'Raw Data'!I204</f>
        <v/>
      </c>
      <c r="H204" s="14">
        <f>IF(G204&lt;15,"Low Variability",IF(G204&lt;=35,"Moderate Variability","High Variability"))</f>
        <v/>
      </c>
      <c r="I204" s="18">
        <f>'Raw Data'!O204</f>
        <v/>
      </c>
      <c r="J204" s="14">
        <f>IF(I204=0,"No Flood",IF(I204&lt;=0.5,"Low",IF(I204&lt;=2,"Moderate","High")))</f>
        <v/>
      </c>
    </row>
    <row r="205" ht="15" customHeight="1" s="12">
      <c r="A205" s="14">
        <f>'Raw Data'!A205</f>
        <v/>
      </c>
      <c r="B205" s="14">
        <f>'Raw Data'!B205</f>
        <v/>
      </c>
      <c r="C205" s="14">
        <f>'Raw Data'!C205</f>
        <v/>
      </c>
      <c r="D205" s="15">
        <f>'Raw Data'!M205</f>
        <v/>
      </c>
      <c r="E205" s="18">
        <f>'Raw Data'!M205/'Raw Data'!L205*100</f>
        <v/>
      </c>
      <c r="F205" s="14">
        <f>IF(E205&gt;15,"Wet Year",IF(E205&lt;-15,"Dry Year","Normal Year"))</f>
        <v/>
      </c>
      <c r="G205" s="16">
        <f>'Raw Data'!I205</f>
        <v/>
      </c>
      <c r="H205" s="14">
        <f>IF(G205&lt;15,"Low Variability",IF(G205&lt;=35,"Moderate Variability","High Variability"))</f>
        <v/>
      </c>
      <c r="I205" s="18">
        <f>'Raw Data'!O205</f>
        <v/>
      </c>
      <c r="J205" s="14">
        <f>IF(I205=0,"No Flood",IF(I205&lt;=0.5,"Low",IF(I205&lt;=2,"Moderate","High")))</f>
        <v/>
      </c>
    </row>
    <row r="206" ht="15" customHeight="1" s="12">
      <c r="A206" s="14">
        <f>'Raw Data'!A206</f>
        <v/>
      </c>
      <c r="B206" s="14">
        <f>'Raw Data'!B206</f>
        <v/>
      </c>
      <c r="C206" s="14">
        <f>'Raw Data'!C206</f>
        <v/>
      </c>
      <c r="D206" s="15">
        <f>'Raw Data'!M206</f>
        <v/>
      </c>
      <c r="E206" s="18">
        <f>'Raw Data'!M206/'Raw Data'!L206*100</f>
        <v/>
      </c>
      <c r="F206" s="14">
        <f>IF(E206&gt;15,"Wet Year",IF(E206&lt;-15,"Dry Year","Normal Year"))</f>
        <v/>
      </c>
      <c r="G206" s="16">
        <f>'Raw Data'!I206</f>
        <v/>
      </c>
      <c r="H206" s="14">
        <f>IF(G206&lt;15,"Low Variability",IF(G206&lt;=35,"Moderate Variability","High Variability"))</f>
        <v/>
      </c>
      <c r="I206" s="18">
        <f>'Raw Data'!O206</f>
        <v/>
      </c>
      <c r="J206" s="14">
        <f>IF(I206=0,"No Flood",IF(I206&lt;=0.5,"Low",IF(I206&lt;=2,"Moderate","High")))</f>
        <v/>
      </c>
    </row>
    <row r="207" ht="15" customHeight="1" s="12">
      <c r="A207" s="14">
        <f>'Raw Data'!A207</f>
        <v/>
      </c>
      <c r="B207" s="14">
        <f>'Raw Data'!B207</f>
        <v/>
      </c>
      <c r="C207" s="14">
        <f>'Raw Data'!C207</f>
        <v/>
      </c>
      <c r="D207" s="15">
        <f>'Raw Data'!M207</f>
        <v/>
      </c>
      <c r="E207" s="18">
        <f>'Raw Data'!M207/'Raw Data'!L207*100</f>
        <v/>
      </c>
      <c r="F207" s="14">
        <f>IF(E207&gt;15,"Wet Year",IF(E207&lt;-15,"Dry Year","Normal Year"))</f>
        <v/>
      </c>
      <c r="G207" s="16">
        <f>'Raw Data'!I207</f>
        <v/>
      </c>
      <c r="H207" s="14">
        <f>IF(G207&lt;15,"Low Variability",IF(G207&lt;=35,"Moderate Variability","High Variability"))</f>
        <v/>
      </c>
      <c r="I207" s="18">
        <f>'Raw Data'!O207</f>
        <v/>
      </c>
      <c r="J207" s="14">
        <f>IF(I207=0,"No Flood",IF(I207&lt;=0.5,"Low",IF(I207&lt;=2,"Moderate","High")))</f>
        <v/>
      </c>
    </row>
    <row r="208" ht="15" customHeight="1" s="12">
      <c r="A208" s="14">
        <f>'Raw Data'!A208</f>
        <v/>
      </c>
      <c r="B208" s="14">
        <f>'Raw Data'!B208</f>
        <v/>
      </c>
      <c r="C208" s="14">
        <f>'Raw Data'!C208</f>
        <v/>
      </c>
      <c r="D208" s="15">
        <f>'Raw Data'!M208</f>
        <v/>
      </c>
      <c r="E208" s="18">
        <f>'Raw Data'!M208/'Raw Data'!L208*100</f>
        <v/>
      </c>
      <c r="F208" s="14">
        <f>IF(E208&gt;15,"Wet Year",IF(E208&lt;-15,"Dry Year","Normal Year"))</f>
        <v/>
      </c>
      <c r="G208" s="16">
        <f>'Raw Data'!I208</f>
        <v/>
      </c>
      <c r="H208" s="14">
        <f>IF(G208&lt;15,"Low Variability",IF(G208&lt;=35,"Moderate Variability","High Variability"))</f>
        <v/>
      </c>
      <c r="I208" s="18">
        <f>'Raw Data'!O208</f>
        <v/>
      </c>
      <c r="J208" s="14">
        <f>IF(I208=0,"No Flood",IF(I208&lt;=0.5,"Low",IF(I208&lt;=2,"Moderate","High")))</f>
        <v/>
      </c>
    </row>
    <row r="209" ht="15" customHeight="1" s="12">
      <c r="A209" s="14">
        <f>'Raw Data'!A209</f>
        <v/>
      </c>
      <c r="B209" s="14">
        <f>'Raw Data'!B209</f>
        <v/>
      </c>
      <c r="C209" s="14">
        <f>'Raw Data'!C209</f>
        <v/>
      </c>
      <c r="D209" s="15">
        <f>'Raw Data'!M209</f>
        <v/>
      </c>
      <c r="E209" s="18">
        <f>'Raw Data'!M209/'Raw Data'!L209*100</f>
        <v/>
      </c>
      <c r="F209" s="14">
        <f>IF(E209&gt;15,"Wet Year",IF(E209&lt;-15,"Dry Year","Normal Year"))</f>
        <v/>
      </c>
      <c r="G209" s="16">
        <f>'Raw Data'!I209</f>
        <v/>
      </c>
      <c r="H209" s="14">
        <f>IF(G209&lt;15,"Low Variability",IF(G209&lt;=35,"Moderate Variability","High Variability"))</f>
        <v/>
      </c>
      <c r="I209" s="18">
        <f>'Raw Data'!O209</f>
        <v/>
      </c>
      <c r="J209" s="14">
        <f>IF(I209=0,"No Flood",IF(I209&lt;=0.5,"Low",IF(I209&lt;=2,"Moderate","High")))</f>
        <v/>
      </c>
    </row>
    <row r="210" ht="15" customHeight="1" s="12">
      <c r="A210" s="14">
        <f>'Raw Data'!A210</f>
        <v/>
      </c>
      <c r="B210" s="14">
        <f>'Raw Data'!B210</f>
        <v/>
      </c>
      <c r="C210" s="14">
        <f>'Raw Data'!C210</f>
        <v/>
      </c>
      <c r="D210" s="15">
        <f>'Raw Data'!M210</f>
        <v/>
      </c>
      <c r="E210" s="18">
        <f>'Raw Data'!M210/'Raw Data'!L210*100</f>
        <v/>
      </c>
      <c r="F210" s="14">
        <f>IF(E210&gt;15,"Wet Year",IF(E210&lt;-15,"Dry Year","Normal Year"))</f>
        <v/>
      </c>
      <c r="G210" s="16">
        <f>'Raw Data'!I210</f>
        <v/>
      </c>
      <c r="H210" s="14">
        <f>IF(G210&lt;15,"Low Variability",IF(G210&lt;=35,"Moderate Variability","High Variability"))</f>
        <v/>
      </c>
      <c r="I210" s="18">
        <f>'Raw Data'!O210</f>
        <v/>
      </c>
      <c r="J210" s="14">
        <f>IF(I210=0,"No Flood",IF(I210&lt;=0.5,"Low",IF(I210&lt;=2,"Moderate","High")))</f>
        <v/>
      </c>
    </row>
    <row r="211" ht="15" customHeight="1" s="12">
      <c r="A211" s="14">
        <f>'Raw Data'!A211</f>
        <v/>
      </c>
      <c r="B211" s="14">
        <f>'Raw Data'!B211</f>
        <v/>
      </c>
      <c r="C211" s="14">
        <f>'Raw Data'!C211</f>
        <v/>
      </c>
      <c r="D211" s="15">
        <f>'Raw Data'!M211</f>
        <v/>
      </c>
      <c r="E211" s="18">
        <f>'Raw Data'!M211/'Raw Data'!L211*100</f>
        <v/>
      </c>
      <c r="F211" s="14">
        <f>IF(E211&gt;15,"Wet Year",IF(E211&lt;-15,"Dry Year","Normal Year"))</f>
        <v/>
      </c>
      <c r="G211" s="16">
        <f>'Raw Data'!I211</f>
        <v/>
      </c>
      <c r="H211" s="14">
        <f>IF(G211&lt;15,"Low Variability",IF(G211&lt;=35,"Moderate Variability","High Variability"))</f>
        <v/>
      </c>
      <c r="I211" s="18">
        <f>'Raw Data'!O211</f>
        <v/>
      </c>
      <c r="J211" s="14">
        <f>IF(I211=0,"No Flood",IF(I211&lt;=0.5,"Low",IF(I211&lt;=2,"Moderate","High")))</f>
        <v/>
      </c>
    </row>
    <row r="212" ht="15" customHeight="1" s="12">
      <c r="A212" s="14">
        <f>'Raw Data'!A212</f>
        <v/>
      </c>
      <c r="B212" s="14">
        <f>'Raw Data'!B212</f>
        <v/>
      </c>
      <c r="C212" s="14">
        <f>'Raw Data'!C212</f>
        <v/>
      </c>
      <c r="D212" s="15">
        <f>'Raw Data'!M212</f>
        <v/>
      </c>
      <c r="E212" s="18">
        <f>'Raw Data'!M212/'Raw Data'!L212*100</f>
        <v/>
      </c>
      <c r="F212" s="14">
        <f>IF(E212&gt;15,"Wet Year",IF(E212&lt;-15,"Dry Year","Normal Year"))</f>
        <v/>
      </c>
      <c r="G212" s="16">
        <f>'Raw Data'!I212</f>
        <v/>
      </c>
      <c r="H212" s="14">
        <f>IF(G212&lt;15,"Low Variability",IF(G212&lt;=35,"Moderate Variability","High Variability"))</f>
        <v/>
      </c>
      <c r="I212" s="18">
        <f>'Raw Data'!O212</f>
        <v/>
      </c>
      <c r="J212" s="14">
        <f>IF(I212=0,"No Flood",IF(I212&lt;=0.5,"Low",IF(I212&lt;=2,"Moderate","High")))</f>
        <v/>
      </c>
    </row>
    <row r="213" ht="15" customHeight="1" s="12">
      <c r="A213" s="14">
        <f>'Raw Data'!A213</f>
        <v/>
      </c>
      <c r="B213" s="14">
        <f>'Raw Data'!B213</f>
        <v/>
      </c>
      <c r="C213" s="14">
        <f>'Raw Data'!C213</f>
        <v/>
      </c>
      <c r="D213" s="15">
        <f>'Raw Data'!M213</f>
        <v/>
      </c>
      <c r="E213" s="18">
        <f>'Raw Data'!M213/'Raw Data'!L213*100</f>
        <v/>
      </c>
      <c r="F213" s="14">
        <f>IF(E213&gt;15,"Wet Year",IF(E213&lt;-15,"Dry Year","Normal Year"))</f>
        <v/>
      </c>
      <c r="G213" s="16">
        <f>'Raw Data'!I213</f>
        <v/>
      </c>
      <c r="H213" s="14">
        <f>IF(G213&lt;15,"Low Variability",IF(G213&lt;=35,"Moderate Variability","High Variability"))</f>
        <v/>
      </c>
      <c r="I213" s="18">
        <f>'Raw Data'!O213</f>
        <v/>
      </c>
      <c r="J213" s="14">
        <f>IF(I213=0,"No Flood",IF(I213&lt;=0.5,"Low",IF(I213&lt;=2,"Moderate","High")))</f>
        <v/>
      </c>
    </row>
    <row r="214" ht="15" customHeight="1" s="12">
      <c r="A214" s="14">
        <f>'Raw Data'!A214</f>
        <v/>
      </c>
      <c r="B214" s="14">
        <f>'Raw Data'!B214</f>
        <v/>
      </c>
      <c r="C214" s="14">
        <f>'Raw Data'!C214</f>
        <v/>
      </c>
      <c r="D214" s="15">
        <f>'Raw Data'!M214</f>
        <v/>
      </c>
      <c r="E214" s="18">
        <f>'Raw Data'!M214/'Raw Data'!L214*100</f>
        <v/>
      </c>
      <c r="F214" s="14">
        <f>IF(E214&gt;15,"Wet Year",IF(E214&lt;-15,"Dry Year","Normal Year"))</f>
        <v/>
      </c>
      <c r="G214" s="16">
        <f>'Raw Data'!I214</f>
        <v/>
      </c>
      <c r="H214" s="14">
        <f>IF(G214&lt;15,"Low Variability",IF(G214&lt;=35,"Moderate Variability","High Variability"))</f>
        <v/>
      </c>
      <c r="I214" s="18">
        <f>'Raw Data'!O214</f>
        <v/>
      </c>
      <c r="J214" s="14">
        <f>IF(I214=0,"No Flood",IF(I214&lt;=0.5,"Low",IF(I214&lt;=2,"Moderate","High")))</f>
        <v/>
      </c>
    </row>
    <row r="215" ht="15" customHeight="1" s="12">
      <c r="A215" s="14">
        <f>'Raw Data'!A215</f>
        <v/>
      </c>
      <c r="B215" s="14">
        <f>'Raw Data'!B215</f>
        <v/>
      </c>
      <c r="C215" s="14">
        <f>'Raw Data'!C215</f>
        <v/>
      </c>
      <c r="D215" s="15">
        <f>'Raw Data'!M215</f>
        <v/>
      </c>
      <c r="E215" s="18">
        <f>'Raw Data'!M215/'Raw Data'!L215*100</f>
        <v/>
      </c>
      <c r="F215" s="14">
        <f>IF(E215&gt;15,"Wet Year",IF(E215&lt;-15,"Dry Year","Normal Year"))</f>
        <v/>
      </c>
      <c r="G215" s="16">
        <f>'Raw Data'!I215</f>
        <v/>
      </c>
      <c r="H215" s="14">
        <f>IF(G215&lt;15,"Low Variability",IF(G215&lt;=35,"Moderate Variability","High Variability"))</f>
        <v/>
      </c>
      <c r="I215" s="18">
        <f>'Raw Data'!O215</f>
        <v/>
      </c>
      <c r="J215" s="14">
        <f>IF(I215=0,"No Flood",IF(I215&lt;=0.5,"Low",IF(I215&lt;=2,"Moderate","High")))</f>
        <v/>
      </c>
    </row>
    <row r="216" ht="15" customHeight="1" s="12">
      <c r="A216" s="14">
        <f>'Raw Data'!A216</f>
        <v/>
      </c>
      <c r="B216" s="14">
        <f>'Raw Data'!B216</f>
        <v/>
      </c>
      <c r="C216" s="14">
        <f>'Raw Data'!C216</f>
        <v/>
      </c>
      <c r="D216" s="15">
        <f>'Raw Data'!M216</f>
        <v/>
      </c>
      <c r="E216" s="18">
        <f>'Raw Data'!M216/'Raw Data'!L216*100</f>
        <v/>
      </c>
      <c r="F216" s="14">
        <f>IF(E216&gt;15,"Wet Year",IF(E216&lt;-15,"Dry Year","Normal Year"))</f>
        <v/>
      </c>
      <c r="G216" s="16">
        <f>'Raw Data'!I216</f>
        <v/>
      </c>
      <c r="H216" s="14">
        <f>IF(G216&lt;15,"Low Variability",IF(G216&lt;=35,"Moderate Variability","High Variability"))</f>
        <v/>
      </c>
      <c r="I216" s="18">
        <f>'Raw Data'!O216</f>
        <v/>
      </c>
      <c r="J216" s="14">
        <f>IF(I216=0,"No Flood",IF(I216&lt;=0.5,"Low",IF(I216&lt;=2,"Moderate","High")))</f>
        <v/>
      </c>
    </row>
    <row r="217" ht="15" customHeight="1" s="12">
      <c r="A217" s="14">
        <f>'Raw Data'!A217</f>
        <v/>
      </c>
      <c r="B217" s="14">
        <f>'Raw Data'!B217</f>
        <v/>
      </c>
      <c r="C217" s="14">
        <f>'Raw Data'!C217</f>
        <v/>
      </c>
      <c r="D217" s="15">
        <f>'Raw Data'!M217</f>
        <v/>
      </c>
      <c r="E217" s="18">
        <f>'Raw Data'!M217/'Raw Data'!L217*100</f>
        <v/>
      </c>
      <c r="F217" s="14">
        <f>IF(E217&gt;15,"Wet Year",IF(E217&lt;-15,"Dry Year","Normal Year"))</f>
        <v/>
      </c>
      <c r="G217" s="16">
        <f>'Raw Data'!I217</f>
        <v/>
      </c>
      <c r="H217" s="14">
        <f>IF(G217&lt;15,"Low Variability",IF(G217&lt;=35,"Moderate Variability","High Variability"))</f>
        <v/>
      </c>
      <c r="I217" s="18">
        <f>'Raw Data'!O217</f>
        <v/>
      </c>
      <c r="J217" s="14">
        <f>IF(I217=0,"No Flood",IF(I217&lt;=0.5,"Low",IF(I217&lt;=2,"Moderate","High")))</f>
        <v/>
      </c>
    </row>
    <row r="218" ht="15" customHeight="1" s="12">
      <c r="A218" s="14">
        <f>'Raw Data'!A218</f>
        <v/>
      </c>
      <c r="B218" s="14">
        <f>'Raw Data'!B218</f>
        <v/>
      </c>
      <c r="C218" s="14">
        <f>'Raw Data'!C218</f>
        <v/>
      </c>
      <c r="D218" s="15">
        <f>'Raw Data'!M218</f>
        <v/>
      </c>
      <c r="E218" s="18">
        <f>'Raw Data'!M218/'Raw Data'!L218*100</f>
        <v/>
      </c>
      <c r="F218" s="14">
        <f>IF(E218&gt;15,"Wet Year",IF(E218&lt;-15,"Dry Year","Normal Year"))</f>
        <v/>
      </c>
      <c r="G218" s="16">
        <f>'Raw Data'!I218</f>
        <v/>
      </c>
      <c r="H218" s="14">
        <f>IF(G218&lt;15,"Low Variability",IF(G218&lt;=35,"Moderate Variability","High Variability"))</f>
        <v/>
      </c>
      <c r="I218" s="18">
        <f>'Raw Data'!O218</f>
        <v/>
      </c>
      <c r="J218" s="14">
        <f>IF(I218=0,"No Flood",IF(I218&lt;=0.5,"Low",IF(I218&lt;=2,"Moderate","High")))</f>
        <v/>
      </c>
    </row>
    <row r="219" ht="15" customHeight="1" s="12">
      <c r="A219" s="14">
        <f>'Raw Data'!A219</f>
        <v/>
      </c>
      <c r="B219" s="14">
        <f>'Raw Data'!B219</f>
        <v/>
      </c>
      <c r="C219" s="14">
        <f>'Raw Data'!C219</f>
        <v/>
      </c>
      <c r="D219" s="15">
        <f>'Raw Data'!M219</f>
        <v/>
      </c>
      <c r="E219" s="18">
        <f>'Raw Data'!M219/'Raw Data'!L219*100</f>
        <v/>
      </c>
      <c r="F219" s="14">
        <f>IF(E219&gt;15,"Wet Year",IF(E219&lt;-15,"Dry Year","Normal Year"))</f>
        <v/>
      </c>
      <c r="G219" s="16">
        <f>'Raw Data'!I219</f>
        <v/>
      </c>
      <c r="H219" s="14">
        <f>IF(G219&lt;15,"Low Variability",IF(G219&lt;=35,"Moderate Variability","High Variability"))</f>
        <v/>
      </c>
      <c r="I219" s="18">
        <f>'Raw Data'!O219</f>
        <v/>
      </c>
      <c r="J219" s="14">
        <f>IF(I219=0,"No Flood",IF(I219&lt;=0.5,"Low",IF(I219&lt;=2,"Moderate","High")))</f>
        <v/>
      </c>
    </row>
    <row r="220" ht="15" customHeight="1" s="12">
      <c r="A220" s="14">
        <f>'Raw Data'!A220</f>
        <v/>
      </c>
      <c r="B220" s="14">
        <f>'Raw Data'!B220</f>
        <v/>
      </c>
      <c r="C220" s="14">
        <f>'Raw Data'!C220</f>
        <v/>
      </c>
      <c r="D220" s="15">
        <f>'Raw Data'!M220</f>
        <v/>
      </c>
      <c r="E220" s="18">
        <f>'Raw Data'!M220/'Raw Data'!L220*100</f>
        <v/>
      </c>
      <c r="F220" s="14">
        <f>IF(E220&gt;15,"Wet Year",IF(E220&lt;-15,"Dry Year","Normal Year"))</f>
        <v/>
      </c>
      <c r="G220" s="16">
        <f>'Raw Data'!I220</f>
        <v/>
      </c>
      <c r="H220" s="14">
        <f>IF(G220&lt;15,"Low Variability",IF(G220&lt;=35,"Moderate Variability","High Variability"))</f>
        <v/>
      </c>
      <c r="I220" s="18">
        <f>'Raw Data'!O220</f>
        <v/>
      </c>
      <c r="J220" s="14">
        <f>IF(I220=0,"No Flood",IF(I220&lt;=0.5,"Low",IF(I220&lt;=2,"Moderate","High")))</f>
        <v/>
      </c>
    </row>
    <row r="221" ht="15" customHeight="1" s="12">
      <c r="A221" s="14">
        <f>'Raw Data'!A221</f>
        <v/>
      </c>
      <c r="B221" s="14">
        <f>'Raw Data'!B221</f>
        <v/>
      </c>
      <c r="C221" s="14">
        <f>'Raw Data'!C221</f>
        <v/>
      </c>
      <c r="D221" s="15">
        <f>'Raw Data'!M221</f>
        <v/>
      </c>
      <c r="E221" s="18">
        <f>'Raw Data'!M221/'Raw Data'!L221*100</f>
        <v/>
      </c>
      <c r="F221" s="14">
        <f>IF(E221&gt;15,"Wet Year",IF(E221&lt;-15,"Dry Year","Normal Year"))</f>
        <v/>
      </c>
      <c r="G221" s="16">
        <f>'Raw Data'!I221</f>
        <v/>
      </c>
      <c r="H221" s="14">
        <f>IF(G221&lt;15,"Low Variability",IF(G221&lt;=35,"Moderate Variability","High Variability"))</f>
        <v/>
      </c>
      <c r="I221" s="18">
        <f>'Raw Data'!O221</f>
        <v/>
      </c>
      <c r="J221" s="14">
        <f>IF(I221=0,"No Flood",IF(I221&lt;=0.5,"Low",IF(I221&lt;=2,"Moderate","High")))</f>
        <v/>
      </c>
    </row>
    <row r="222" ht="15" customHeight="1" s="12">
      <c r="A222" s="14">
        <f>'Raw Data'!A222</f>
        <v/>
      </c>
      <c r="B222" s="14">
        <f>'Raw Data'!B222</f>
        <v/>
      </c>
      <c r="C222" s="14">
        <f>'Raw Data'!C222</f>
        <v/>
      </c>
      <c r="D222" s="15">
        <f>'Raw Data'!M222</f>
        <v/>
      </c>
      <c r="E222" s="18">
        <f>'Raw Data'!M222/'Raw Data'!L222*100</f>
        <v/>
      </c>
      <c r="F222" s="14">
        <f>IF(E222&gt;15,"Wet Year",IF(E222&lt;-15,"Dry Year","Normal Year"))</f>
        <v/>
      </c>
      <c r="G222" s="16">
        <f>'Raw Data'!I222</f>
        <v/>
      </c>
      <c r="H222" s="14">
        <f>IF(G222&lt;15,"Low Variability",IF(G222&lt;=35,"Moderate Variability","High Variability"))</f>
        <v/>
      </c>
      <c r="I222" s="18">
        <f>'Raw Data'!O222</f>
        <v/>
      </c>
      <c r="J222" s="14">
        <f>IF(I222=0,"No Flood",IF(I222&lt;=0.5,"Low",IF(I222&lt;=2,"Moderate","High")))</f>
        <v/>
      </c>
    </row>
    <row r="223" ht="15" customHeight="1" s="12">
      <c r="A223" s="14">
        <f>'Raw Data'!A223</f>
        <v/>
      </c>
      <c r="B223" s="14">
        <f>'Raw Data'!B223</f>
        <v/>
      </c>
      <c r="C223" s="14">
        <f>'Raw Data'!C223</f>
        <v/>
      </c>
      <c r="D223" s="15">
        <f>'Raw Data'!M223</f>
        <v/>
      </c>
      <c r="E223" s="18">
        <f>'Raw Data'!M223/'Raw Data'!L223*100</f>
        <v/>
      </c>
      <c r="F223" s="14">
        <f>IF(E223&gt;15,"Wet Year",IF(E223&lt;-15,"Dry Year","Normal Year"))</f>
        <v/>
      </c>
      <c r="G223" s="16">
        <f>'Raw Data'!I223</f>
        <v/>
      </c>
      <c r="H223" s="14">
        <f>IF(G223&lt;15,"Low Variability",IF(G223&lt;=35,"Moderate Variability","High Variability"))</f>
        <v/>
      </c>
      <c r="I223" s="18">
        <f>'Raw Data'!O223</f>
        <v/>
      </c>
      <c r="J223" s="14">
        <f>IF(I223=0,"No Flood",IF(I223&lt;=0.5,"Low",IF(I223&lt;=2,"Moderate","High")))</f>
        <v/>
      </c>
    </row>
    <row r="224" ht="15" customHeight="1" s="12">
      <c r="A224" s="14">
        <f>'Raw Data'!A224</f>
        <v/>
      </c>
      <c r="B224" s="14">
        <f>'Raw Data'!B224</f>
        <v/>
      </c>
      <c r="C224" s="14">
        <f>'Raw Data'!C224</f>
        <v/>
      </c>
      <c r="D224" s="15">
        <f>'Raw Data'!M224</f>
        <v/>
      </c>
      <c r="E224" s="18">
        <f>'Raw Data'!M224/'Raw Data'!L224*100</f>
        <v/>
      </c>
      <c r="F224" s="14">
        <f>IF(E224&gt;15,"Wet Year",IF(E224&lt;-15,"Dry Year","Normal Year"))</f>
        <v/>
      </c>
      <c r="G224" s="16">
        <f>'Raw Data'!I224</f>
        <v/>
      </c>
      <c r="H224" s="14">
        <f>IF(G224&lt;15,"Low Variability",IF(G224&lt;=35,"Moderate Variability","High Variability"))</f>
        <v/>
      </c>
      <c r="I224" s="18">
        <f>'Raw Data'!O224</f>
        <v/>
      </c>
      <c r="J224" s="14">
        <f>IF(I224=0,"No Flood",IF(I224&lt;=0.5,"Low",IF(I224&lt;=2,"Moderate","High")))</f>
        <v/>
      </c>
    </row>
    <row r="225" ht="15" customHeight="1" s="12">
      <c r="A225" s="14">
        <f>'Raw Data'!A225</f>
        <v/>
      </c>
      <c r="B225" s="14">
        <f>'Raw Data'!B225</f>
        <v/>
      </c>
      <c r="C225" s="14">
        <f>'Raw Data'!C225</f>
        <v/>
      </c>
      <c r="D225" s="15">
        <f>'Raw Data'!M225</f>
        <v/>
      </c>
      <c r="E225" s="18">
        <f>'Raw Data'!M225/'Raw Data'!L225*100</f>
        <v/>
      </c>
      <c r="F225" s="14">
        <f>IF(E225&gt;15,"Wet Year",IF(E225&lt;-15,"Dry Year","Normal Year"))</f>
        <v/>
      </c>
      <c r="G225" s="16">
        <f>'Raw Data'!I225</f>
        <v/>
      </c>
      <c r="H225" s="14">
        <f>IF(G225&lt;15,"Low Variability",IF(G225&lt;=35,"Moderate Variability","High Variability"))</f>
        <v/>
      </c>
      <c r="I225" s="18">
        <f>'Raw Data'!O225</f>
        <v/>
      </c>
      <c r="J225" s="14">
        <f>IF(I225=0,"No Flood",IF(I225&lt;=0.5,"Low",IF(I225&lt;=2,"Moderate","High")))</f>
        <v/>
      </c>
    </row>
    <row r="226" ht="15" customHeight="1" s="12">
      <c r="A226" s="14">
        <f>'Raw Data'!A226</f>
        <v/>
      </c>
      <c r="B226" s="14">
        <f>'Raw Data'!B226</f>
        <v/>
      </c>
      <c r="C226" s="14">
        <f>'Raw Data'!C226</f>
        <v/>
      </c>
      <c r="D226" s="15">
        <f>'Raw Data'!M226</f>
        <v/>
      </c>
      <c r="E226" s="18">
        <f>'Raw Data'!M226/'Raw Data'!L226*100</f>
        <v/>
      </c>
      <c r="F226" s="14">
        <f>IF(E226&gt;15,"Wet Year",IF(E226&lt;-15,"Dry Year","Normal Year"))</f>
        <v/>
      </c>
      <c r="G226" s="16">
        <f>'Raw Data'!I226</f>
        <v/>
      </c>
      <c r="H226" s="14">
        <f>IF(G226&lt;15,"Low Variability",IF(G226&lt;=35,"Moderate Variability","High Variability"))</f>
        <v/>
      </c>
      <c r="I226" s="18">
        <f>'Raw Data'!O226</f>
        <v/>
      </c>
      <c r="J226" s="14">
        <f>IF(I226=0,"No Flood",IF(I226&lt;=0.5,"Low",IF(I226&lt;=2,"Moderate","High")))</f>
        <v/>
      </c>
    </row>
    <row r="227" ht="15" customHeight="1" s="12">
      <c r="A227" s="14">
        <f>'Raw Data'!A227</f>
        <v/>
      </c>
      <c r="B227" s="14">
        <f>'Raw Data'!B227</f>
        <v/>
      </c>
      <c r="C227" s="14">
        <f>'Raw Data'!C227</f>
        <v/>
      </c>
      <c r="D227" s="15">
        <f>'Raw Data'!M227</f>
        <v/>
      </c>
      <c r="E227" s="18">
        <f>'Raw Data'!M227/'Raw Data'!L227*100</f>
        <v/>
      </c>
      <c r="F227" s="14">
        <f>IF(E227&gt;15,"Wet Year",IF(E227&lt;-15,"Dry Year","Normal Year"))</f>
        <v/>
      </c>
      <c r="G227" s="16">
        <f>'Raw Data'!I227</f>
        <v/>
      </c>
      <c r="H227" s="14">
        <f>IF(G227&lt;15,"Low Variability",IF(G227&lt;=35,"Moderate Variability","High Variability"))</f>
        <v/>
      </c>
      <c r="I227" s="18">
        <f>'Raw Data'!O227</f>
        <v/>
      </c>
      <c r="J227" s="14">
        <f>IF(I227=0,"No Flood",IF(I227&lt;=0.5,"Low",IF(I227&lt;=2,"Moderate","High")))</f>
        <v/>
      </c>
    </row>
    <row r="228" ht="15" customHeight="1" s="12">
      <c r="A228" s="14">
        <f>'Raw Data'!A228</f>
        <v/>
      </c>
      <c r="B228" s="14">
        <f>'Raw Data'!B228</f>
        <v/>
      </c>
      <c r="C228" s="14">
        <f>'Raw Data'!C228</f>
        <v/>
      </c>
      <c r="D228" s="15">
        <f>'Raw Data'!M228</f>
        <v/>
      </c>
      <c r="E228" s="18">
        <f>'Raw Data'!M228/'Raw Data'!L228*100</f>
        <v/>
      </c>
      <c r="F228" s="14">
        <f>IF(E228&gt;15,"Wet Year",IF(E228&lt;-15,"Dry Year","Normal Year"))</f>
        <v/>
      </c>
      <c r="G228" s="16">
        <f>'Raw Data'!I228</f>
        <v/>
      </c>
      <c r="H228" s="14">
        <f>IF(G228&lt;15,"Low Variability",IF(G228&lt;=35,"Moderate Variability","High Variability"))</f>
        <v/>
      </c>
      <c r="I228" s="18">
        <f>'Raw Data'!O228</f>
        <v/>
      </c>
      <c r="J228" s="14">
        <f>IF(I228=0,"No Flood",IF(I228&lt;=0.5,"Low",IF(I228&lt;=2,"Moderate","High")))</f>
        <v/>
      </c>
    </row>
    <row r="229" ht="15" customHeight="1" s="12">
      <c r="A229" s="14">
        <f>'Raw Data'!A229</f>
        <v/>
      </c>
      <c r="B229" s="14">
        <f>'Raw Data'!B229</f>
        <v/>
      </c>
      <c r="C229" s="14">
        <f>'Raw Data'!C229</f>
        <v/>
      </c>
      <c r="D229" s="15">
        <f>'Raw Data'!M229</f>
        <v/>
      </c>
      <c r="E229" s="18">
        <f>'Raw Data'!M229/'Raw Data'!L229*100</f>
        <v/>
      </c>
      <c r="F229" s="14">
        <f>IF(E229&gt;15,"Wet Year",IF(E229&lt;-15,"Dry Year","Normal Year"))</f>
        <v/>
      </c>
      <c r="G229" s="16">
        <f>'Raw Data'!I229</f>
        <v/>
      </c>
      <c r="H229" s="14">
        <f>IF(G229&lt;15,"Low Variability",IF(G229&lt;=35,"Moderate Variability","High Variability"))</f>
        <v/>
      </c>
      <c r="I229" s="18">
        <f>'Raw Data'!O229</f>
        <v/>
      </c>
      <c r="J229" s="14">
        <f>IF(I229=0,"No Flood",IF(I229&lt;=0.5,"Low",IF(I229&lt;=2,"Moderate","High")))</f>
        <v/>
      </c>
    </row>
    <row r="230" ht="15" customHeight="1" s="12">
      <c r="A230" s="14">
        <f>'Raw Data'!A230</f>
        <v/>
      </c>
      <c r="B230" s="14">
        <f>'Raw Data'!B230</f>
        <v/>
      </c>
      <c r="C230" s="14">
        <f>'Raw Data'!C230</f>
        <v/>
      </c>
      <c r="D230" s="15">
        <f>'Raw Data'!M230</f>
        <v/>
      </c>
      <c r="E230" s="18">
        <f>'Raw Data'!M230/'Raw Data'!L230*100</f>
        <v/>
      </c>
      <c r="F230" s="14">
        <f>IF(E230&gt;15,"Wet Year",IF(E230&lt;-15,"Dry Year","Normal Year"))</f>
        <v/>
      </c>
      <c r="G230" s="16">
        <f>'Raw Data'!I230</f>
        <v/>
      </c>
      <c r="H230" s="14">
        <f>IF(G230&lt;15,"Low Variability",IF(G230&lt;=35,"Moderate Variability","High Variability"))</f>
        <v/>
      </c>
      <c r="I230" s="18">
        <f>'Raw Data'!O230</f>
        <v/>
      </c>
      <c r="J230" s="14">
        <f>IF(I230=0,"No Flood",IF(I230&lt;=0.5,"Low",IF(I230&lt;=2,"Moderate","High")))</f>
        <v/>
      </c>
    </row>
    <row r="231" ht="15" customHeight="1" s="12">
      <c r="A231" s="14">
        <f>'Raw Data'!A231</f>
        <v/>
      </c>
      <c r="B231" s="14">
        <f>'Raw Data'!B231</f>
        <v/>
      </c>
      <c r="C231" s="14">
        <f>'Raw Data'!C231</f>
        <v/>
      </c>
      <c r="D231" s="15">
        <f>'Raw Data'!M231</f>
        <v/>
      </c>
      <c r="E231" s="18">
        <f>'Raw Data'!M231/'Raw Data'!L231*100</f>
        <v/>
      </c>
      <c r="F231" s="14">
        <f>IF(E231&gt;15,"Wet Year",IF(E231&lt;-15,"Dry Year","Normal Year"))</f>
        <v/>
      </c>
      <c r="G231" s="16">
        <f>'Raw Data'!I231</f>
        <v/>
      </c>
      <c r="H231" s="14">
        <f>IF(G231&lt;15,"Low Variability",IF(G231&lt;=35,"Moderate Variability","High Variability"))</f>
        <v/>
      </c>
      <c r="I231" s="18">
        <f>'Raw Data'!O231</f>
        <v/>
      </c>
      <c r="J231" s="14">
        <f>IF(I231=0,"No Flood",IF(I231&lt;=0.5,"Low",IF(I231&lt;=2,"Moderate","High")))</f>
        <v/>
      </c>
    </row>
    <row r="232" ht="15" customHeight="1" s="12">
      <c r="A232" s="14">
        <f>'Raw Data'!A232</f>
        <v/>
      </c>
      <c r="B232" s="14">
        <f>'Raw Data'!B232</f>
        <v/>
      </c>
      <c r="C232" s="14">
        <f>'Raw Data'!C232</f>
        <v/>
      </c>
      <c r="D232" s="15">
        <f>'Raw Data'!M232</f>
        <v/>
      </c>
      <c r="E232" s="18">
        <f>'Raw Data'!M232/'Raw Data'!L232*100</f>
        <v/>
      </c>
      <c r="F232" s="14">
        <f>IF(E232&gt;15,"Wet Year",IF(E232&lt;-15,"Dry Year","Normal Year"))</f>
        <v/>
      </c>
      <c r="G232" s="16">
        <f>'Raw Data'!I232</f>
        <v/>
      </c>
      <c r="H232" s="14">
        <f>IF(G232&lt;15,"Low Variability",IF(G232&lt;=35,"Moderate Variability","High Variability"))</f>
        <v/>
      </c>
      <c r="I232" s="18">
        <f>'Raw Data'!O232</f>
        <v/>
      </c>
      <c r="J232" s="14">
        <f>IF(I232=0,"No Flood",IF(I232&lt;=0.5,"Low",IF(I232&lt;=2,"Moderate","High")))</f>
        <v/>
      </c>
    </row>
    <row r="233" ht="15" customHeight="1" s="12">
      <c r="A233" s="14">
        <f>'Raw Data'!A233</f>
        <v/>
      </c>
      <c r="B233" s="14">
        <f>'Raw Data'!B233</f>
        <v/>
      </c>
      <c r="C233" s="14">
        <f>'Raw Data'!C233</f>
        <v/>
      </c>
      <c r="D233" s="15">
        <f>'Raw Data'!M233</f>
        <v/>
      </c>
      <c r="E233" s="18">
        <f>'Raw Data'!M233/'Raw Data'!L233*100</f>
        <v/>
      </c>
      <c r="F233" s="14">
        <f>IF(E233&gt;15,"Wet Year",IF(E233&lt;-15,"Dry Year","Normal Year"))</f>
        <v/>
      </c>
      <c r="G233" s="16">
        <f>'Raw Data'!I233</f>
        <v/>
      </c>
      <c r="H233" s="14">
        <f>IF(G233&lt;15,"Low Variability",IF(G233&lt;=35,"Moderate Variability","High Variability"))</f>
        <v/>
      </c>
      <c r="I233" s="18">
        <f>'Raw Data'!O233</f>
        <v/>
      </c>
      <c r="J233" s="14">
        <f>IF(I233=0,"No Flood",IF(I233&lt;=0.5,"Low",IF(I233&lt;=2,"Moderate","High")))</f>
        <v/>
      </c>
    </row>
    <row r="234" ht="15" customHeight="1" s="12">
      <c r="A234" s="14">
        <f>'Raw Data'!A234</f>
        <v/>
      </c>
      <c r="B234" s="14">
        <f>'Raw Data'!B234</f>
        <v/>
      </c>
      <c r="C234" s="14">
        <f>'Raw Data'!C234</f>
        <v/>
      </c>
      <c r="D234" s="15">
        <f>'Raw Data'!M234</f>
        <v/>
      </c>
      <c r="E234" s="18">
        <f>'Raw Data'!M234/'Raw Data'!L234*100</f>
        <v/>
      </c>
      <c r="F234" s="14">
        <f>IF(E234&gt;15,"Wet Year",IF(E234&lt;-15,"Dry Year","Normal Year"))</f>
        <v/>
      </c>
      <c r="G234" s="16">
        <f>'Raw Data'!I234</f>
        <v/>
      </c>
      <c r="H234" s="14">
        <f>IF(G234&lt;15,"Low Variability",IF(G234&lt;=35,"Moderate Variability","High Variability"))</f>
        <v/>
      </c>
      <c r="I234" s="18">
        <f>'Raw Data'!O234</f>
        <v/>
      </c>
      <c r="J234" s="14">
        <f>IF(I234=0,"No Flood",IF(I234&lt;=0.5,"Low",IF(I234&lt;=2,"Moderate","High")))</f>
        <v/>
      </c>
    </row>
    <row r="235" ht="15" customHeight="1" s="12">
      <c r="A235" s="14">
        <f>'Raw Data'!A235</f>
        <v/>
      </c>
      <c r="B235" s="14">
        <f>'Raw Data'!B235</f>
        <v/>
      </c>
      <c r="C235" s="14">
        <f>'Raw Data'!C235</f>
        <v/>
      </c>
      <c r="D235" s="15">
        <f>'Raw Data'!M235</f>
        <v/>
      </c>
      <c r="E235" s="18">
        <f>'Raw Data'!M235/'Raw Data'!L235*100</f>
        <v/>
      </c>
      <c r="F235" s="14">
        <f>IF(E235&gt;15,"Wet Year",IF(E235&lt;-15,"Dry Year","Normal Year"))</f>
        <v/>
      </c>
      <c r="G235" s="16">
        <f>'Raw Data'!I235</f>
        <v/>
      </c>
      <c r="H235" s="14">
        <f>IF(G235&lt;15,"Low Variability",IF(G235&lt;=35,"Moderate Variability","High Variability"))</f>
        <v/>
      </c>
      <c r="I235" s="18">
        <f>'Raw Data'!O235</f>
        <v/>
      </c>
      <c r="J235" s="14">
        <f>IF(I235=0,"No Flood",IF(I235&lt;=0.5,"Low",IF(I235&lt;=2,"Moderate","High")))</f>
        <v/>
      </c>
    </row>
    <row r="236" ht="15" customHeight="1" s="12">
      <c r="A236" s="14">
        <f>'Raw Data'!A236</f>
        <v/>
      </c>
      <c r="B236" s="14">
        <f>'Raw Data'!B236</f>
        <v/>
      </c>
      <c r="C236" s="14">
        <f>'Raw Data'!C236</f>
        <v/>
      </c>
      <c r="D236" s="15">
        <f>'Raw Data'!M236</f>
        <v/>
      </c>
      <c r="E236" s="18">
        <f>'Raw Data'!M236/'Raw Data'!L236*100</f>
        <v/>
      </c>
      <c r="F236" s="14">
        <f>IF(E236&gt;15,"Wet Year",IF(E236&lt;-15,"Dry Year","Normal Year"))</f>
        <v/>
      </c>
      <c r="G236" s="16">
        <f>'Raw Data'!I236</f>
        <v/>
      </c>
      <c r="H236" s="14">
        <f>IF(G236&lt;15,"Low Variability",IF(G236&lt;=35,"Moderate Variability","High Variability"))</f>
        <v/>
      </c>
      <c r="I236" s="18">
        <f>'Raw Data'!O236</f>
        <v/>
      </c>
      <c r="J236" s="14">
        <f>IF(I236=0,"No Flood",IF(I236&lt;=0.5,"Low",IF(I236&lt;=2,"Moderate","High")))</f>
        <v/>
      </c>
    </row>
    <row r="237" ht="15" customHeight="1" s="12">
      <c r="A237" s="14">
        <f>'Raw Data'!A237</f>
        <v/>
      </c>
      <c r="B237" s="14">
        <f>'Raw Data'!B237</f>
        <v/>
      </c>
      <c r="C237" s="14">
        <f>'Raw Data'!C237</f>
        <v/>
      </c>
      <c r="D237" s="15">
        <f>'Raw Data'!M237</f>
        <v/>
      </c>
      <c r="E237" s="18">
        <f>'Raw Data'!M237/'Raw Data'!L237*100</f>
        <v/>
      </c>
      <c r="F237" s="14">
        <f>IF(E237&gt;15,"Wet Year",IF(E237&lt;-15,"Dry Year","Normal Year"))</f>
        <v/>
      </c>
      <c r="G237" s="16">
        <f>'Raw Data'!I237</f>
        <v/>
      </c>
      <c r="H237" s="14">
        <f>IF(G237&lt;15,"Low Variability",IF(G237&lt;=35,"Moderate Variability","High Variability"))</f>
        <v/>
      </c>
      <c r="I237" s="18">
        <f>'Raw Data'!O237</f>
        <v/>
      </c>
      <c r="J237" s="14">
        <f>IF(I237=0,"No Flood",IF(I237&lt;=0.5,"Low",IF(I237&lt;=2,"Moderate","High")))</f>
        <v/>
      </c>
    </row>
    <row r="238" ht="15" customHeight="1" s="12">
      <c r="A238" s="14">
        <f>'Raw Data'!A238</f>
        <v/>
      </c>
      <c r="B238" s="14">
        <f>'Raw Data'!B238</f>
        <v/>
      </c>
      <c r="C238" s="14">
        <f>'Raw Data'!C238</f>
        <v/>
      </c>
      <c r="D238" s="15">
        <f>'Raw Data'!M238</f>
        <v/>
      </c>
      <c r="E238" s="18">
        <f>'Raw Data'!M238/'Raw Data'!L238*100</f>
        <v/>
      </c>
      <c r="F238" s="14">
        <f>IF(E238&gt;15,"Wet Year",IF(E238&lt;-15,"Dry Year","Normal Year"))</f>
        <v/>
      </c>
      <c r="G238" s="16">
        <f>'Raw Data'!I238</f>
        <v/>
      </c>
      <c r="H238" s="14">
        <f>IF(G238&lt;15,"Low Variability",IF(G238&lt;=35,"Moderate Variability","High Variability"))</f>
        <v/>
      </c>
      <c r="I238" s="18">
        <f>'Raw Data'!O238</f>
        <v/>
      </c>
      <c r="J238" s="14">
        <f>IF(I238=0,"No Flood",IF(I238&lt;=0.5,"Low",IF(I238&lt;=2,"Moderate","High")))</f>
        <v/>
      </c>
    </row>
    <row r="239" ht="15" customHeight="1" s="12">
      <c r="A239" s="14">
        <f>'Raw Data'!A239</f>
        <v/>
      </c>
      <c r="B239" s="14">
        <f>'Raw Data'!B239</f>
        <v/>
      </c>
      <c r="C239" s="14">
        <f>'Raw Data'!C239</f>
        <v/>
      </c>
      <c r="D239" s="15">
        <f>'Raw Data'!M239</f>
        <v/>
      </c>
      <c r="E239" s="18">
        <f>'Raw Data'!M239/'Raw Data'!L239*100</f>
        <v/>
      </c>
      <c r="F239" s="14">
        <f>IF(E239&gt;15,"Wet Year",IF(E239&lt;-15,"Dry Year","Normal Year"))</f>
        <v/>
      </c>
      <c r="G239" s="16">
        <f>'Raw Data'!I239</f>
        <v/>
      </c>
      <c r="H239" s="14">
        <f>IF(G239&lt;15,"Low Variability",IF(G239&lt;=35,"Moderate Variability","High Variability"))</f>
        <v/>
      </c>
      <c r="I239" s="18">
        <f>'Raw Data'!O239</f>
        <v/>
      </c>
      <c r="J239" s="14">
        <f>IF(I239=0,"No Flood",IF(I239&lt;=0.5,"Low",IF(I239&lt;=2,"Moderate","High")))</f>
        <v/>
      </c>
    </row>
    <row r="240" ht="15" customHeight="1" s="12">
      <c r="A240" s="14">
        <f>'Raw Data'!A240</f>
        <v/>
      </c>
      <c r="B240" s="14">
        <f>'Raw Data'!B240</f>
        <v/>
      </c>
      <c r="C240" s="14">
        <f>'Raw Data'!C240</f>
        <v/>
      </c>
      <c r="D240" s="15">
        <f>'Raw Data'!M240</f>
        <v/>
      </c>
      <c r="E240" s="18">
        <f>'Raw Data'!M240/'Raw Data'!L240*100</f>
        <v/>
      </c>
      <c r="F240" s="14">
        <f>IF(E240&gt;15,"Wet Year",IF(E240&lt;-15,"Dry Year","Normal Year"))</f>
        <v/>
      </c>
      <c r="G240" s="16">
        <f>'Raw Data'!I240</f>
        <v/>
      </c>
      <c r="H240" s="14">
        <f>IF(G240&lt;15,"Low Variability",IF(G240&lt;=35,"Moderate Variability","High Variability"))</f>
        <v/>
      </c>
      <c r="I240" s="18">
        <f>'Raw Data'!O240</f>
        <v/>
      </c>
      <c r="J240" s="14">
        <f>IF(I240=0,"No Flood",IF(I240&lt;=0.5,"Low",IF(I240&lt;=2,"Moderate","High")))</f>
        <v/>
      </c>
    </row>
    <row r="241" ht="15" customHeight="1" s="12">
      <c r="A241" s="14">
        <f>'Raw Data'!A241</f>
        <v/>
      </c>
      <c r="B241" s="14">
        <f>'Raw Data'!B241</f>
        <v/>
      </c>
      <c r="C241" s="14">
        <f>'Raw Data'!C241</f>
        <v/>
      </c>
      <c r="D241" s="15">
        <f>'Raw Data'!M241</f>
        <v/>
      </c>
      <c r="E241" s="18">
        <f>'Raw Data'!M241/'Raw Data'!L241*100</f>
        <v/>
      </c>
      <c r="F241" s="14">
        <f>IF(E241&gt;15,"Wet Year",IF(E241&lt;-15,"Dry Year","Normal Year"))</f>
        <v/>
      </c>
      <c r="G241" s="16">
        <f>'Raw Data'!I241</f>
        <v/>
      </c>
      <c r="H241" s="14">
        <f>IF(G241&lt;15,"Low Variability",IF(G241&lt;=35,"Moderate Variability","High Variability"))</f>
        <v/>
      </c>
      <c r="I241" s="18">
        <f>'Raw Data'!O241</f>
        <v/>
      </c>
      <c r="J241" s="14">
        <f>IF(I241=0,"No Flood",IF(I241&lt;=0.5,"Low",IF(I241&lt;=2,"Moderate","High")))</f>
        <v/>
      </c>
    </row>
    <row r="242" ht="15" customHeight="1" s="12">
      <c r="A242" s="14">
        <f>'Raw Data'!A242</f>
        <v/>
      </c>
      <c r="B242" s="14">
        <f>'Raw Data'!B242</f>
        <v/>
      </c>
      <c r="C242" s="14">
        <f>'Raw Data'!C242</f>
        <v/>
      </c>
      <c r="D242" s="15">
        <f>'Raw Data'!M242</f>
        <v/>
      </c>
      <c r="E242" s="18">
        <f>'Raw Data'!M242/'Raw Data'!L242*100</f>
        <v/>
      </c>
      <c r="F242" s="14">
        <f>IF(E242&gt;15,"Wet Year",IF(E242&lt;-15,"Dry Year","Normal Year"))</f>
        <v/>
      </c>
      <c r="G242" s="16">
        <f>'Raw Data'!I242</f>
        <v/>
      </c>
      <c r="H242" s="14">
        <f>IF(G242&lt;15,"Low Variability",IF(G242&lt;=35,"Moderate Variability","High Variability"))</f>
        <v/>
      </c>
      <c r="I242" s="18">
        <f>'Raw Data'!O242</f>
        <v/>
      </c>
      <c r="J242" s="14">
        <f>IF(I242=0,"No Flood",IF(I242&lt;=0.5,"Low",IF(I242&lt;=2,"Moderate","High")))</f>
        <v/>
      </c>
    </row>
    <row r="243" ht="15" customHeight="1" s="12">
      <c r="A243" s="14">
        <f>'Raw Data'!A243</f>
        <v/>
      </c>
      <c r="B243" s="14">
        <f>'Raw Data'!B243</f>
        <v/>
      </c>
      <c r="C243" s="14">
        <f>'Raw Data'!C243</f>
        <v/>
      </c>
      <c r="D243" s="15">
        <f>'Raw Data'!M243</f>
        <v/>
      </c>
      <c r="E243" s="18">
        <f>'Raw Data'!M243/'Raw Data'!L243*100</f>
        <v/>
      </c>
      <c r="F243" s="14">
        <f>IF(E243&gt;15,"Wet Year",IF(E243&lt;-15,"Dry Year","Normal Year"))</f>
        <v/>
      </c>
      <c r="G243" s="16">
        <f>'Raw Data'!I243</f>
        <v/>
      </c>
      <c r="H243" s="14">
        <f>IF(G243&lt;15,"Low Variability",IF(G243&lt;=35,"Moderate Variability","High Variability"))</f>
        <v/>
      </c>
      <c r="I243" s="18">
        <f>'Raw Data'!O243</f>
        <v/>
      </c>
      <c r="J243" s="14">
        <f>IF(I243=0,"No Flood",IF(I243&lt;=0.5,"Low",IF(I243&lt;=2,"Moderate","High")))</f>
        <v/>
      </c>
    </row>
    <row r="244" ht="15" customHeight="1" s="12">
      <c r="A244" s="14">
        <f>'Raw Data'!A244</f>
        <v/>
      </c>
      <c r="B244" s="14">
        <f>'Raw Data'!B244</f>
        <v/>
      </c>
      <c r="C244" s="14">
        <f>'Raw Data'!C244</f>
        <v/>
      </c>
      <c r="D244" s="15">
        <f>'Raw Data'!M244</f>
        <v/>
      </c>
      <c r="E244" s="18">
        <f>'Raw Data'!M244/'Raw Data'!L244*100</f>
        <v/>
      </c>
      <c r="F244" s="14">
        <f>IF(E244&gt;15,"Wet Year",IF(E244&lt;-15,"Dry Year","Normal Year"))</f>
        <v/>
      </c>
      <c r="G244" s="16">
        <f>'Raw Data'!I244</f>
        <v/>
      </c>
      <c r="H244" s="14">
        <f>IF(G244&lt;15,"Low Variability",IF(G244&lt;=35,"Moderate Variability","High Variability"))</f>
        <v/>
      </c>
      <c r="I244" s="18">
        <f>'Raw Data'!O244</f>
        <v/>
      </c>
      <c r="J244" s="14">
        <f>IF(I244=0,"No Flood",IF(I244&lt;=0.5,"Low",IF(I244&lt;=2,"Moderate","High")))</f>
        <v/>
      </c>
    </row>
    <row r="245" ht="15" customHeight="1" s="12">
      <c r="A245" s="14">
        <f>'Raw Data'!A245</f>
        <v/>
      </c>
      <c r="B245" s="14">
        <f>'Raw Data'!B245</f>
        <v/>
      </c>
      <c r="C245" s="14">
        <f>'Raw Data'!C245</f>
        <v/>
      </c>
      <c r="D245" s="15">
        <f>'Raw Data'!M245</f>
        <v/>
      </c>
      <c r="E245" s="18">
        <f>'Raw Data'!M245/'Raw Data'!L245*100</f>
        <v/>
      </c>
      <c r="F245" s="14">
        <f>IF(E245&gt;15,"Wet Year",IF(E245&lt;-15,"Dry Year","Normal Year"))</f>
        <v/>
      </c>
      <c r="G245" s="16">
        <f>'Raw Data'!I245</f>
        <v/>
      </c>
      <c r="H245" s="14">
        <f>IF(G245&lt;15,"Low Variability",IF(G245&lt;=35,"Moderate Variability","High Variability"))</f>
        <v/>
      </c>
      <c r="I245" s="18">
        <f>'Raw Data'!O245</f>
        <v/>
      </c>
      <c r="J245" s="14">
        <f>IF(I245=0,"No Flood",IF(I245&lt;=0.5,"Low",IF(I245&lt;=2,"Moderate","High")))</f>
        <v/>
      </c>
    </row>
    <row r="246" ht="15" customHeight="1" s="12">
      <c r="A246" s="14">
        <f>'Raw Data'!A246</f>
        <v/>
      </c>
      <c r="B246" s="14">
        <f>'Raw Data'!B246</f>
        <v/>
      </c>
      <c r="C246" s="14">
        <f>'Raw Data'!C246</f>
        <v/>
      </c>
      <c r="D246" s="15">
        <f>'Raw Data'!M246</f>
        <v/>
      </c>
      <c r="E246" s="18">
        <f>'Raw Data'!M246/'Raw Data'!L246*100</f>
        <v/>
      </c>
      <c r="F246" s="14">
        <f>IF(E246&gt;15,"Wet Year",IF(E246&lt;-15,"Dry Year","Normal Year"))</f>
        <v/>
      </c>
      <c r="G246" s="16">
        <f>'Raw Data'!I246</f>
        <v/>
      </c>
      <c r="H246" s="14">
        <f>IF(G246&lt;15,"Low Variability",IF(G246&lt;=35,"Moderate Variability","High Variability"))</f>
        <v/>
      </c>
      <c r="I246" s="18">
        <f>'Raw Data'!O246</f>
        <v/>
      </c>
      <c r="J246" s="14">
        <f>IF(I246=0,"No Flood",IF(I246&lt;=0.5,"Low",IF(I246&lt;=2,"Moderate","High")))</f>
        <v/>
      </c>
    </row>
    <row r="247" ht="15" customHeight="1" s="12">
      <c r="A247" s="14">
        <f>'Raw Data'!A247</f>
        <v/>
      </c>
      <c r="B247" s="14">
        <f>'Raw Data'!B247</f>
        <v/>
      </c>
      <c r="C247" s="14">
        <f>'Raw Data'!C247</f>
        <v/>
      </c>
      <c r="D247" s="15">
        <f>'Raw Data'!M247</f>
        <v/>
      </c>
      <c r="E247" s="18">
        <f>'Raw Data'!M247/'Raw Data'!L247*100</f>
        <v/>
      </c>
      <c r="F247" s="14">
        <f>IF(E247&gt;15,"Wet Year",IF(E247&lt;-15,"Dry Year","Normal Year"))</f>
        <v/>
      </c>
      <c r="G247" s="16">
        <f>'Raw Data'!I247</f>
        <v/>
      </c>
      <c r="H247" s="14">
        <f>IF(G247&lt;15,"Low Variability",IF(G247&lt;=35,"Moderate Variability","High Variability"))</f>
        <v/>
      </c>
      <c r="I247" s="18">
        <f>'Raw Data'!O247</f>
        <v/>
      </c>
      <c r="J247" s="14">
        <f>IF(I247=0,"No Flood",IF(I247&lt;=0.5,"Low",IF(I247&lt;=2,"Moderate","High")))</f>
        <v/>
      </c>
    </row>
    <row r="248" ht="15" customHeight="1" s="12">
      <c r="A248" s="14">
        <f>'Raw Data'!A248</f>
        <v/>
      </c>
      <c r="B248" s="14">
        <f>'Raw Data'!B248</f>
        <v/>
      </c>
      <c r="C248" s="14">
        <f>'Raw Data'!C248</f>
        <v/>
      </c>
      <c r="D248" s="15">
        <f>'Raw Data'!M248</f>
        <v/>
      </c>
      <c r="E248" s="18">
        <f>'Raw Data'!M248/'Raw Data'!L248*100</f>
        <v/>
      </c>
      <c r="F248" s="14">
        <f>IF(E248&gt;15,"Wet Year",IF(E248&lt;-15,"Dry Year","Normal Year"))</f>
        <v/>
      </c>
      <c r="G248" s="16">
        <f>'Raw Data'!I248</f>
        <v/>
      </c>
      <c r="H248" s="14">
        <f>IF(G248&lt;15,"Low Variability",IF(G248&lt;=35,"Moderate Variability","High Variability"))</f>
        <v/>
      </c>
      <c r="I248" s="18">
        <f>'Raw Data'!O248</f>
        <v/>
      </c>
      <c r="J248" s="14">
        <f>IF(I248=0,"No Flood",IF(I248&lt;=0.5,"Low",IF(I248&lt;=2,"Moderate","High")))</f>
        <v/>
      </c>
    </row>
    <row r="249" ht="15" customHeight="1" s="12">
      <c r="A249" s="14">
        <f>'Raw Data'!A249</f>
        <v/>
      </c>
      <c r="B249" s="14">
        <f>'Raw Data'!B249</f>
        <v/>
      </c>
      <c r="C249" s="14">
        <f>'Raw Data'!C249</f>
        <v/>
      </c>
      <c r="D249" s="15">
        <f>'Raw Data'!M249</f>
        <v/>
      </c>
      <c r="E249" s="18">
        <f>'Raw Data'!M249/'Raw Data'!L249*100</f>
        <v/>
      </c>
      <c r="F249" s="14">
        <f>IF(E249&gt;15,"Wet Year",IF(E249&lt;-15,"Dry Year","Normal Year"))</f>
        <v/>
      </c>
      <c r="G249" s="16">
        <f>'Raw Data'!I249</f>
        <v/>
      </c>
      <c r="H249" s="14">
        <f>IF(G249&lt;15,"Low Variability",IF(G249&lt;=35,"Moderate Variability","High Variability"))</f>
        <v/>
      </c>
      <c r="I249" s="18">
        <f>'Raw Data'!O249</f>
        <v/>
      </c>
      <c r="J249" s="14">
        <f>IF(I249=0,"No Flood",IF(I249&lt;=0.5,"Low",IF(I249&lt;=2,"Moderate","High")))</f>
        <v/>
      </c>
    </row>
    <row r="250" ht="15" customHeight="1" s="12">
      <c r="A250" s="14">
        <f>'Raw Data'!A250</f>
        <v/>
      </c>
      <c r="B250" s="14">
        <f>'Raw Data'!B250</f>
        <v/>
      </c>
      <c r="C250" s="14">
        <f>'Raw Data'!C250</f>
        <v/>
      </c>
      <c r="D250" s="15">
        <f>'Raw Data'!M250</f>
        <v/>
      </c>
      <c r="E250" s="18">
        <f>'Raw Data'!M250/'Raw Data'!L250*100</f>
        <v/>
      </c>
      <c r="F250" s="14">
        <f>IF(E250&gt;15,"Wet Year",IF(E250&lt;-15,"Dry Year","Normal Year"))</f>
        <v/>
      </c>
      <c r="G250" s="16">
        <f>'Raw Data'!I250</f>
        <v/>
      </c>
      <c r="H250" s="14">
        <f>IF(G250&lt;15,"Low Variability",IF(G250&lt;=35,"Moderate Variability","High Variability"))</f>
        <v/>
      </c>
      <c r="I250" s="18">
        <f>'Raw Data'!O250</f>
        <v/>
      </c>
      <c r="J250" s="14">
        <f>IF(I250=0,"No Flood",IF(I250&lt;=0.5,"Low",IF(I250&lt;=2,"Moderate","High")))</f>
        <v/>
      </c>
    </row>
    <row r="251" ht="15" customHeight="1" s="12">
      <c r="A251" s="14">
        <f>'Raw Data'!A251</f>
        <v/>
      </c>
      <c r="B251" s="14">
        <f>'Raw Data'!B251</f>
        <v/>
      </c>
      <c r="C251" s="14">
        <f>'Raw Data'!C251</f>
        <v/>
      </c>
      <c r="D251" s="15">
        <f>'Raw Data'!M251</f>
        <v/>
      </c>
      <c r="E251" s="18">
        <f>'Raw Data'!M251/'Raw Data'!L251*100</f>
        <v/>
      </c>
      <c r="F251" s="14">
        <f>IF(E251&gt;15,"Wet Year",IF(E251&lt;-15,"Dry Year","Normal Year"))</f>
        <v/>
      </c>
      <c r="G251" s="16">
        <f>'Raw Data'!I251</f>
        <v/>
      </c>
      <c r="H251" s="14">
        <f>IF(G251&lt;15,"Low Variability",IF(G251&lt;=35,"Moderate Variability","High Variability"))</f>
        <v/>
      </c>
      <c r="I251" s="18">
        <f>'Raw Data'!O251</f>
        <v/>
      </c>
      <c r="J251" s="14">
        <f>IF(I251=0,"No Flood",IF(I251&lt;=0.5,"Low",IF(I251&lt;=2,"Moderate","High")))</f>
        <v/>
      </c>
    </row>
    <row r="252" ht="15" customHeight="1" s="12">
      <c r="A252" s="14">
        <f>'Raw Data'!A252</f>
        <v/>
      </c>
      <c r="B252" s="14">
        <f>'Raw Data'!B252</f>
        <v/>
      </c>
      <c r="C252" s="14">
        <f>'Raw Data'!C252</f>
        <v/>
      </c>
      <c r="D252" s="15">
        <f>'Raw Data'!M252</f>
        <v/>
      </c>
      <c r="E252" s="18">
        <f>'Raw Data'!M252/'Raw Data'!L252*100</f>
        <v/>
      </c>
      <c r="F252" s="14">
        <f>IF(E252&gt;15,"Wet Year",IF(E252&lt;-15,"Dry Year","Normal Year"))</f>
        <v/>
      </c>
      <c r="G252" s="16">
        <f>'Raw Data'!I252</f>
        <v/>
      </c>
      <c r="H252" s="14">
        <f>IF(G252&lt;15,"Low Variability",IF(G252&lt;=35,"Moderate Variability","High Variability"))</f>
        <v/>
      </c>
      <c r="I252" s="18">
        <f>'Raw Data'!O252</f>
        <v/>
      </c>
      <c r="J252" s="14">
        <f>IF(I252=0,"No Flood",IF(I252&lt;=0.5,"Low",IF(I252&lt;=2,"Moderate","High")))</f>
        <v/>
      </c>
    </row>
    <row r="253" ht="15" customHeight="1" s="12">
      <c r="A253" s="14">
        <f>'Raw Data'!A253</f>
        <v/>
      </c>
      <c r="B253" s="14">
        <f>'Raw Data'!B253</f>
        <v/>
      </c>
      <c r="C253" s="14">
        <f>'Raw Data'!C253</f>
        <v/>
      </c>
      <c r="D253" s="15">
        <f>'Raw Data'!M253</f>
        <v/>
      </c>
      <c r="E253" s="18">
        <f>'Raw Data'!M253/'Raw Data'!L253*100</f>
        <v/>
      </c>
      <c r="F253" s="14">
        <f>IF(E253&gt;15,"Wet Year",IF(E253&lt;-15,"Dry Year","Normal Year"))</f>
        <v/>
      </c>
      <c r="G253" s="16">
        <f>'Raw Data'!I253</f>
        <v/>
      </c>
      <c r="H253" s="14">
        <f>IF(G253&lt;15,"Low Variability",IF(G253&lt;=35,"Moderate Variability","High Variability"))</f>
        <v/>
      </c>
      <c r="I253" s="18">
        <f>'Raw Data'!O253</f>
        <v/>
      </c>
      <c r="J253" s="14">
        <f>IF(I253=0,"No Flood",IF(I253&lt;=0.5,"Low",IF(I253&lt;=2,"Moderate","High")))</f>
        <v/>
      </c>
    </row>
    <row r="254" ht="15" customHeight="1" s="12">
      <c r="A254" s="14">
        <f>'Raw Data'!A254</f>
        <v/>
      </c>
      <c r="B254" s="14">
        <f>'Raw Data'!B254</f>
        <v/>
      </c>
      <c r="C254" s="14">
        <f>'Raw Data'!C254</f>
        <v/>
      </c>
      <c r="D254" s="15">
        <f>'Raw Data'!M254</f>
        <v/>
      </c>
      <c r="E254" s="18">
        <f>'Raw Data'!M254/'Raw Data'!L254*100</f>
        <v/>
      </c>
      <c r="F254" s="14">
        <f>IF(E254&gt;15,"Wet Year",IF(E254&lt;-15,"Dry Year","Normal Year"))</f>
        <v/>
      </c>
      <c r="G254" s="16">
        <f>'Raw Data'!I254</f>
        <v/>
      </c>
      <c r="H254" s="14">
        <f>IF(G254&lt;15,"Low Variability",IF(G254&lt;=35,"Moderate Variability","High Variability"))</f>
        <v/>
      </c>
      <c r="I254" s="18">
        <f>'Raw Data'!O254</f>
        <v/>
      </c>
      <c r="J254" s="14">
        <f>IF(I254=0,"No Flood",IF(I254&lt;=0.5,"Low",IF(I254&lt;=2,"Moderate","High")))</f>
        <v/>
      </c>
    </row>
    <row r="255" ht="15" customHeight="1" s="12">
      <c r="A255" s="14">
        <f>'Raw Data'!A255</f>
        <v/>
      </c>
      <c r="B255" s="14">
        <f>'Raw Data'!B255</f>
        <v/>
      </c>
      <c r="C255" s="14">
        <f>'Raw Data'!C255</f>
        <v/>
      </c>
      <c r="D255" s="15">
        <f>'Raw Data'!M255</f>
        <v/>
      </c>
      <c r="E255" s="18">
        <f>'Raw Data'!M255/'Raw Data'!L255*100</f>
        <v/>
      </c>
      <c r="F255" s="14">
        <f>IF(E255&gt;15,"Wet Year",IF(E255&lt;-15,"Dry Year","Normal Year"))</f>
        <v/>
      </c>
      <c r="G255" s="16">
        <f>'Raw Data'!I255</f>
        <v/>
      </c>
      <c r="H255" s="14">
        <f>IF(G255&lt;15,"Low Variability",IF(G255&lt;=35,"Moderate Variability","High Variability"))</f>
        <v/>
      </c>
      <c r="I255" s="18">
        <f>'Raw Data'!O255</f>
        <v/>
      </c>
      <c r="J255" s="14">
        <f>IF(I255=0,"No Flood",IF(I255&lt;=0.5,"Low",IF(I255&lt;=2,"Moderate","High")))</f>
        <v/>
      </c>
    </row>
    <row r="256" ht="15" customHeight="1" s="12">
      <c r="A256" s="14">
        <f>'Raw Data'!A256</f>
        <v/>
      </c>
      <c r="B256" s="14">
        <f>'Raw Data'!B256</f>
        <v/>
      </c>
      <c r="C256" s="14">
        <f>'Raw Data'!C256</f>
        <v/>
      </c>
      <c r="D256" s="15">
        <f>'Raw Data'!M256</f>
        <v/>
      </c>
      <c r="E256" s="18">
        <f>'Raw Data'!M256/'Raw Data'!L256*100</f>
        <v/>
      </c>
      <c r="F256" s="14">
        <f>IF(E256&gt;15,"Wet Year",IF(E256&lt;-15,"Dry Year","Normal Year"))</f>
        <v/>
      </c>
      <c r="G256" s="16">
        <f>'Raw Data'!I256</f>
        <v/>
      </c>
      <c r="H256" s="14">
        <f>IF(G256&lt;15,"Low Variability",IF(G256&lt;=35,"Moderate Variability","High Variability"))</f>
        <v/>
      </c>
      <c r="I256" s="18">
        <f>'Raw Data'!O256</f>
        <v/>
      </c>
      <c r="J256" s="14">
        <f>IF(I256=0,"No Flood",IF(I256&lt;=0.5,"Low",IF(I256&lt;=2,"Moderate","High")))</f>
        <v/>
      </c>
    </row>
    <row r="257" ht="15" customHeight="1" s="12">
      <c r="A257" s="14">
        <f>'Raw Data'!A257</f>
        <v/>
      </c>
      <c r="B257" s="14">
        <f>'Raw Data'!B257</f>
        <v/>
      </c>
      <c r="C257" s="14">
        <f>'Raw Data'!C257</f>
        <v/>
      </c>
      <c r="D257" s="15">
        <f>'Raw Data'!M257</f>
        <v/>
      </c>
      <c r="E257" s="18">
        <f>'Raw Data'!M257/'Raw Data'!L257*100</f>
        <v/>
      </c>
      <c r="F257" s="14">
        <f>IF(E257&gt;15,"Wet Year",IF(E257&lt;-15,"Dry Year","Normal Year"))</f>
        <v/>
      </c>
      <c r="G257" s="16">
        <f>'Raw Data'!I257</f>
        <v/>
      </c>
      <c r="H257" s="14">
        <f>IF(G257&lt;15,"Low Variability",IF(G257&lt;=35,"Moderate Variability","High Variability"))</f>
        <v/>
      </c>
      <c r="I257" s="18">
        <f>'Raw Data'!O257</f>
        <v/>
      </c>
      <c r="J257" s="14">
        <f>IF(I257=0,"No Flood",IF(I257&lt;=0.5,"Low",IF(I257&lt;=2,"Moderate","High")))</f>
        <v/>
      </c>
    </row>
    <row r="258" ht="15" customHeight="1" s="12">
      <c r="A258" s="14">
        <f>'Raw Data'!A258</f>
        <v/>
      </c>
      <c r="B258" s="14">
        <f>'Raw Data'!B258</f>
        <v/>
      </c>
      <c r="C258" s="14">
        <f>'Raw Data'!C258</f>
        <v/>
      </c>
      <c r="D258" s="15">
        <f>'Raw Data'!M258</f>
        <v/>
      </c>
      <c r="E258" s="18">
        <f>'Raw Data'!M258/'Raw Data'!L258*100</f>
        <v/>
      </c>
      <c r="F258" s="14">
        <f>IF(E258&gt;15,"Wet Year",IF(E258&lt;-15,"Dry Year","Normal Year"))</f>
        <v/>
      </c>
      <c r="G258" s="16">
        <f>'Raw Data'!I258</f>
        <v/>
      </c>
      <c r="H258" s="14">
        <f>IF(G258&lt;15,"Low Variability",IF(G258&lt;=35,"Moderate Variability","High Variability"))</f>
        <v/>
      </c>
      <c r="I258" s="18">
        <f>'Raw Data'!O258</f>
        <v/>
      </c>
      <c r="J258" s="14">
        <f>IF(I258=0,"No Flood",IF(I258&lt;=0.5,"Low",IF(I258&lt;=2,"Moderate","High")))</f>
        <v/>
      </c>
    </row>
    <row r="259" ht="15" customHeight="1" s="12">
      <c r="A259" s="14">
        <f>'Raw Data'!A259</f>
        <v/>
      </c>
      <c r="B259" s="14">
        <f>'Raw Data'!B259</f>
        <v/>
      </c>
      <c r="C259" s="14">
        <f>'Raw Data'!C259</f>
        <v/>
      </c>
      <c r="D259" s="15">
        <f>'Raw Data'!M259</f>
        <v/>
      </c>
      <c r="E259" s="18">
        <f>'Raw Data'!M259/'Raw Data'!L259*100</f>
        <v/>
      </c>
      <c r="F259" s="14">
        <f>IF(E259&gt;15,"Wet Year",IF(E259&lt;-15,"Dry Year","Normal Year"))</f>
        <v/>
      </c>
      <c r="G259" s="16">
        <f>'Raw Data'!I259</f>
        <v/>
      </c>
      <c r="H259" s="14">
        <f>IF(G259&lt;15,"Low Variability",IF(G259&lt;=35,"Moderate Variability","High Variability"))</f>
        <v/>
      </c>
      <c r="I259" s="18">
        <f>'Raw Data'!O259</f>
        <v/>
      </c>
      <c r="J259" s="14">
        <f>IF(I259=0,"No Flood",IF(I259&lt;=0.5,"Low",IF(I259&lt;=2,"Moderate","High")))</f>
        <v/>
      </c>
    </row>
    <row r="260" ht="15" customHeight="1" s="12">
      <c r="A260" s="14">
        <f>'Raw Data'!A260</f>
        <v/>
      </c>
      <c r="B260" s="14">
        <f>'Raw Data'!B260</f>
        <v/>
      </c>
      <c r="C260" s="14">
        <f>'Raw Data'!C260</f>
        <v/>
      </c>
      <c r="D260" s="15">
        <f>'Raw Data'!M260</f>
        <v/>
      </c>
      <c r="E260" s="18">
        <f>'Raw Data'!M260/'Raw Data'!L260*100</f>
        <v/>
      </c>
      <c r="F260" s="14">
        <f>IF(E260&gt;15,"Wet Year",IF(E260&lt;-15,"Dry Year","Normal Year"))</f>
        <v/>
      </c>
      <c r="G260" s="16">
        <f>'Raw Data'!I260</f>
        <v/>
      </c>
      <c r="H260" s="14">
        <f>IF(G260&lt;15,"Low Variability",IF(G260&lt;=35,"Moderate Variability","High Variability"))</f>
        <v/>
      </c>
      <c r="I260" s="18">
        <f>'Raw Data'!O260</f>
        <v/>
      </c>
      <c r="J260" s="14">
        <f>IF(I260=0,"No Flood",IF(I260&lt;=0.5,"Low",IF(I260&lt;=2,"Moderate","High")))</f>
        <v/>
      </c>
    </row>
    <row r="261" ht="15" customHeight="1" s="12">
      <c r="A261" s="14">
        <f>'Raw Data'!A261</f>
        <v/>
      </c>
      <c r="B261" s="14">
        <f>'Raw Data'!B261</f>
        <v/>
      </c>
      <c r="C261" s="14">
        <f>'Raw Data'!C261</f>
        <v/>
      </c>
      <c r="D261" s="15">
        <f>'Raw Data'!M261</f>
        <v/>
      </c>
      <c r="E261" s="18">
        <f>'Raw Data'!M261/'Raw Data'!L261*100</f>
        <v/>
      </c>
      <c r="F261" s="14">
        <f>IF(E261&gt;15,"Wet Year",IF(E261&lt;-15,"Dry Year","Normal Year"))</f>
        <v/>
      </c>
      <c r="G261" s="16">
        <f>'Raw Data'!I261</f>
        <v/>
      </c>
      <c r="H261" s="14">
        <f>IF(G261&lt;15,"Low Variability",IF(G261&lt;=35,"Moderate Variability","High Variability"))</f>
        <v/>
      </c>
      <c r="I261" s="18">
        <f>'Raw Data'!O261</f>
        <v/>
      </c>
      <c r="J261" s="14">
        <f>IF(I261=0,"No Flood",IF(I261&lt;=0.5,"Low",IF(I261&lt;=2,"Moderate","High")))</f>
        <v/>
      </c>
    </row>
    <row r="262" ht="15" customHeight="1" s="12">
      <c r="A262" s="14">
        <f>'Raw Data'!A262</f>
        <v/>
      </c>
      <c r="B262" s="14">
        <f>'Raw Data'!B262</f>
        <v/>
      </c>
      <c r="C262" s="14">
        <f>'Raw Data'!C262</f>
        <v/>
      </c>
      <c r="D262" s="15">
        <f>'Raw Data'!M262</f>
        <v/>
      </c>
      <c r="E262" s="18">
        <f>'Raw Data'!M262/'Raw Data'!L262*100</f>
        <v/>
      </c>
      <c r="F262" s="14">
        <f>IF(E262&gt;15,"Wet Year",IF(E262&lt;-15,"Dry Year","Normal Year"))</f>
        <v/>
      </c>
      <c r="G262" s="16">
        <f>'Raw Data'!I262</f>
        <v/>
      </c>
      <c r="H262" s="14">
        <f>IF(G262&lt;15,"Low Variability",IF(G262&lt;=35,"Moderate Variability","High Variability"))</f>
        <v/>
      </c>
      <c r="I262" s="18">
        <f>'Raw Data'!O262</f>
        <v/>
      </c>
      <c r="J262" s="14">
        <f>IF(I262=0,"No Flood",IF(I262&lt;=0.5,"Low",IF(I262&lt;=2,"Moderate","High")))</f>
        <v/>
      </c>
    </row>
    <row r="263" ht="15" customHeight="1" s="12">
      <c r="A263" s="14">
        <f>'Raw Data'!A263</f>
        <v/>
      </c>
      <c r="B263" s="14">
        <f>'Raw Data'!B263</f>
        <v/>
      </c>
      <c r="C263" s="14">
        <f>'Raw Data'!C263</f>
        <v/>
      </c>
      <c r="D263" s="15">
        <f>'Raw Data'!M263</f>
        <v/>
      </c>
      <c r="E263" s="18">
        <f>'Raw Data'!M263/'Raw Data'!L263*100</f>
        <v/>
      </c>
      <c r="F263" s="14">
        <f>IF(E263&gt;15,"Wet Year",IF(E263&lt;-15,"Dry Year","Normal Year"))</f>
        <v/>
      </c>
      <c r="G263" s="16">
        <f>'Raw Data'!I263</f>
        <v/>
      </c>
      <c r="H263" s="14">
        <f>IF(G263&lt;15,"Low Variability",IF(G263&lt;=35,"Moderate Variability","High Variability"))</f>
        <v/>
      </c>
      <c r="I263" s="18">
        <f>'Raw Data'!O263</f>
        <v/>
      </c>
      <c r="J263" s="14">
        <f>IF(I263=0,"No Flood",IF(I263&lt;=0.5,"Low",IF(I263&lt;=2,"Moderate","High")))</f>
        <v/>
      </c>
    </row>
    <row r="264" ht="15" customHeight="1" s="12">
      <c r="A264" s="14">
        <f>'Raw Data'!A264</f>
        <v/>
      </c>
      <c r="B264" s="14">
        <f>'Raw Data'!B264</f>
        <v/>
      </c>
      <c r="C264" s="14">
        <f>'Raw Data'!C264</f>
        <v/>
      </c>
      <c r="D264" s="15">
        <f>'Raw Data'!M264</f>
        <v/>
      </c>
      <c r="E264" s="18">
        <f>'Raw Data'!M264/'Raw Data'!L264*100</f>
        <v/>
      </c>
      <c r="F264" s="14">
        <f>IF(E264&gt;15,"Wet Year",IF(E264&lt;-15,"Dry Year","Normal Year"))</f>
        <v/>
      </c>
      <c r="G264" s="16">
        <f>'Raw Data'!I264</f>
        <v/>
      </c>
      <c r="H264" s="14">
        <f>IF(G264&lt;15,"Low Variability",IF(G264&lt;=35,"Moderate Variability","High Variability"))</f>
        <v/>
      </c>
      <c r="I264" s="18">
        <f>'Raw Data'!O264</f>
        <v/>
      </c>
      <c r="J264" s="14">
        <f>IF(I264=0,"No Flood",IF(I264&lt;=0.5,"Low",IF(I264&lt;=2,"Moderate","High")))</f>
        <v/>
      </c>
    </row>
    <row r="265" ht="15" customHeight="1" s="12">
      <c r="A265" s="14">
        <f>'Raw Data'!A265</f>
        <v/>
      </c>
      <c r="B265" s="14">
        <f>'Raw Data'!B265</f>
        <v/>
      </c>
      <c r="C265" s="14">
        <f>'Raw Data'!C265</f>
        <v/>
      </c>
      <c r="D265" s="15">
        <f>'Raw Data'!M265</f>
        <v/>
      </c>
      <c r="E265" s="18">
        <f>'Raw Data'!M265/'Raw Data'!L265*100</f>
        <v/>
      </c>
      <c r="F265" s="14">
        <f>IF(E265&gt;15,"Wet Year",IF(E265&lt;-15,"Dry Year","Normal Year"))</f>
        <v/>
      </c>
      <c r="G265" s="16">
        <f>'Raw Data'!I265</f>
        <v/>
      </c>
      <c r="H265" s="14">
        <f>IF(G265&lt;15,"Low Variability",IF(G265&lt;=35,"Moderate Variability","High Variability"))</f>
        <v/>
      </c>
      <c r="I265" s="18">
        <f>'Raw Data'!O265</f>
        <v/>
      </c>
      <c r="J265" s="14">
        <f>IF(I265=0,"No Flood",IF(I265&lt;=0.5,"Low",IF(I265&lt;=2,"Moderate","High")))</f>
        <v/>
      </c>
    </row>
    <row r="266" ht="15" customHeight="1" s="12">
      <c r="A266" s="14">
        <f>'Raw Data'!A266</f>
        <v/>
      </c>
      <c r="B266" s="14">
        <f>'Raw Data'!B266</f>
        <v/>
      </c>
      <c r="C266" s="14">
        <f>'Raw Data'!C266</f>
        <v/>
      </c>
      <c r="D266" s="15">
        <f>'Raw Data'!M266</f>
        <v/>
      </c>
      <c r="E266" s="18">
        <f>'Raw Data'!M266/'Raw Data'!L266*100</f>
        <v/>
      </c>
      <c r="F266" s="14">
        <f>IF(E266&gt;15,"Wet Year",IF(E266&lt;-15,"Dry Year","Normal Year"))</f>
        <v/>
      </c>
      <c r="G266" s="16">
        <f>'Raw Data'!I266</f>
        <v/>
      </c>
      <c r="H266" s="14">
        <f>IF(G266&lt;15,"Low Variability",IF(G266&lt;=35,"Moderate Variability","High Variability"))</f>
        <v/>
      </c>
      <c r="I266" s="18">
        <f>'Raw Data'!O266</f>
        <v/>
      </c>
      <c r="J266" s="14">
        <f>IF(I266=0,"No Flood",IF(I266&lt;=0.5,"Low",IF(I266&lt;=2,"Moderate","High")))</f>
        <v/>
      </c>
    </row>
    <row r="267" ht="15" customHeight="1" s="12">
      <c r="A267" s="14">
        <f>'Raw Data'!A267</f>
        <v/>
      </c>
      <c r="B267" s="14">
        <f>'Raw Data'!B267</f>
        <v/>
      </c>
      <c r="C267" s="14">
        <f>'Raw Data'!C267</f>
        <v/>
      </c>
      <c r="D267" s="15">
        <f>'Raw Data'!M267</f>
        <v/>
      </c>
      <c r="E267" s="18">
        <f>'Raw Data'!M267/'Raw Data'!L267*100</f>
        <v/>
      </c>
      <c r="F267" s="14">
        <f>IF(E267&gt;15,"Wet Year",IF(E267&lt;-15,"Dry Year","Normal Year"))</f>
        <v/>
      </c>
      <c r="G267" s="16">
        <f>'Raw Data'!I267</f>
        <v/>
      </c>
      <c r="H267" s="14">
        <f>IF(G267&lt;15,"Low Variability",IF(G267&lt;=35,"Moderate Variability","High Variability"))</f>
        <v/>
      </c>
      <c r="I267" s="18">
        <f>'Raw Data'!O267</f>
        <v/>
      </c>
      <c r="J267" s="14">
        <f>IF(I267=0,"No Flood",IF(I267&lt;=0.5,"Low",IF(I267&lt;=2,"Moderate","High")))</f>
        <v/>
      </c>
    </row>
    <row r="268" ht="15" customHeight="1" s="12">
      <c r="A268" s="14">
        <f>'Raw Data'!A268</f>
        <v/>
      </c>
      <c r="B268" s="14">
        <f>'Raw Data'!B268</f>
        <v/>
      </c>
      <c r="C268" s="14">
        <f>'Raw Data'!C268</f>
        <v/>
      </c>
      <c r="D268" s="15">
        <f>'Raw Data'!M268</f>
        <v/>
      </c>
      <c r="E268" s="18">
        <f>'Raw Data'!M268/'Raw Data'!L268*100</f>
        <v/>
      </c>
      <c r="F268" s="14">
        <f>IF(E268&gt;15,"Wet Year",IF(E268&lt;-15,"Dry Year","Normal Year"))</f>
        <v/>
      </c>
      <c r="G268" s="16">
        <f>'Raw Data'!I268</f>
        <v/>
      </c>
      <c r="H268" s="14">
        <f>IF(G268&lt;15,"Low Variability",IF(G268&lt;=35,"Moderate Variability","High Variability"))</f>
        <v/>
      </c>
      <c r="I268" s="18">
        <f>'Raw Data'!O268</f>
        <v/>
      </c>
      <c r="J268" s="14">
        <f>IF(I268=0,"No Flood",IF(I268&lt;=0.5,"Low",IF(I268&lt;=2,"Moderate","High")))</f>
        <v/>
      </c>
    </row>
    <row r="269" ht="15" customHeight="1" s="12">
      <c r="A269" s="14">
        <f>'Raw Data'!A269</f>
        <v/>
      </c>
      <c r="B269" s="14">
        <f>'Raw Data'!B269</f>
        <v/>
      </c>
      <c r="C269" s="14">
        <f>'Raw Data'!C269</f>
        <v/>
      </c>
      <c r="D269" s="15">
        <f>'Raw Data'!M269</f>
        <v/>
      </c>
      <c r="E269" s="18">
        <f>'Raw Data'!M269/'Raw Data'!L269*100</f>
        <v/>
      </c>
      <c r="F269" s="14">
        <f>IF(E269&gt;15,"Wet Year",IF(E269&lt;-15,"Dry Year","Normal Year"))</f>
        <v/>
      </c>
      <c r="G269" s="16">
        <f>'Raw Data'!I269</f>
        <v/>
      </c>
      <c r="H269" s="14">
        <f>IF(G269&lt;15,"Low Variability",IF(G269&lt;=35,"Moderate Variability","High Variability"))</f>
        <v/>
      </c>
      <c r="I269" s="18">
        <f>'Raw Data'!O269</f>
        <v/>
      </c>
      <c r="J269" s="14">
        <f>IF(I269=0,"No Flood",IF(I269&lt;=0.5,"Low",IF(I269&lt;=2,"Moderate","High")))</f>
        <v/>
      </c>
    </row>
    <row r="270" ht="15" customHeight="1" s="12">
      <c r="A270" s="14">
        <f>'Raw Data'!A270</f>
        <v/>
      </c>
      <c r="B270" s="14">
        <f>'Raw Data'!B270</f>
        <v/>
      </c>
      <c r="C270" s="14">
        <f>'Raw Data'!C270</f>
        <v/>
      </c>
      <c r="D270" s="15">
        <f>'Raw Data'!M270</f>
        <v/>
      </c>
      <c r="E270" s="18">
        <f>'Raw Data'!M270/'Raw Data'!L270*100</f>
        <v/>
      </c>
      <c r="F270" s="14">
        <f>IF(E270&gt;15,"Wet Year",IF(E270&lt;-15,"Dry Year","Normal Year"))</f>
        <v/>
      </c>
      <c r="G270" s="16">
        <f>'Raw Data'!I270</f>
        <v/>
      </c>
      <c r="H270" s="14">
        <f>IF(G270&lt;15,"Low Variability",IF(G270&lt;=35,"Moderate Variability","High Variability"))</f>
        <v/>
      </c>
      <c r="I270" s="18">
        <f>'Raw Data'!O270</f>
        <v/>
      </c>
      <c r="J270" s="14">
        <f>IF(I270=0,"No Flood",IF(I270&lt;=0.5,"Low",IF(I270&lt;=2,"Moderate","High")))</f>
        <v/>
      </c>
    </row>
    <row r="271" ht="15" customHeight="1" s="12">
      <c r="A271" s="14">
        <f>'Raw Data'!A271</f>
        <v/>
      </c>
      <c r="B271" s="14">
        <f>'Raw Data'!B271</f>
        <v/>
      </c>
      <c r="C271" s="14">
        <f>'Raw Data'!C271</f>
        <v/>
      </c>
      <c r="D271" s="15">
        <f>'Raw Data'!M271</f>
        <v/>
      </c>
      <c r="E271" s="18">
        <f>'Raw Data'!M271/'Raw Data'!L271*100</f>
        <v/>
      </c>
      <c r="F271" s="14">
        <f>IF(E271&gt;15,"Wet Year",IF(E271&lt;-15,"Dry Year","Normal Year"))</f>
        <v/>
      </c>
      <c r="G271" s="16">
        <f>'Raw Data'!I271</f>
        <v/>
      </c>
      <c r="H271" s="14">
        <f>IF(G271&lt;15,"Low Variability",IF(G271&lt;=35,"Moderate Variability","High Variability"))</f>
        <v/>
      </c>
      <c r="I271" s="18">
        <f>'Raw Data'!O271</f>
        <v/>
      </c>
      <c r="J271" s="14">
        <f>IF(I271=0,"No Flood",IF(I271&lt;=0.5,"Low",IF(I271&lt;=2,"Moderate","High")))</f>
        <v/>
      </c>
    </row>
    <row r="272" ht="15" customHeight="1" s="12">
      <c r="A272" s="14">
        <f>'Raw Data'!A272</f>
        <v/>
      </c>
      <c r="B272" s="14">
        <f>'Raw Data'!B272</f>
        <v/>
      </c>
      <c r="C272" s="14">
        <f>'Raw Data'!C272</f>
        <v/>
      </c>
      <c r="D272" s="15">
        <f>'Raw Data'!M272</f>
        <v/>
      </c>
      <c r="E272" s="18">
        <f>'Raw Data'!M272/'Raw Data'!L272*100</f>
        <v/>
      </c>
      <c r="F272" s="14">
        <f>IF(E272&gt;15,"Wet Year",IF(E272&lt;-15,"Dry Year","Normal Year"))</f>
        <v/>
      </c>
      <c r="G272" s="16">
        <f>'Raw Data'!I272</f>
        <v/>
      </c>
      <c r="H272" s="14">
        <f>IF(G272&lt;15,"Low Variability",IF(G272&lt;=35,"Moderate Variability","High Variability"))</f>
        <v/>
      </c>
      <c r="I272" s="18">
        <f>'Raw Data'!O272</f>
        <v/>
      </c>
      <c r="J272" s="14">
        <f>IF(I272=0,"No Flood",IF(I272&lt;=0.5,"Low",IF(I272&lt;=2,"Moderate","High")))</f>
        <v/>
      </c>
    </row>
    <row r="273" ht="15" customHeight="1" s="12">
      <c r="A273" s="14">
        <f>'Raw Data'!A273</f>
        <v/>
      </c>
      <c r="B273" s="14">
        <f>'Raw Data'!B273</f>
        <v/>
      </c>
      <c r="C273" s="14">
        <f>'Raw Data'!C273</f>
        <v/>
      </c>
      <c r="D273" s="15">
        <f>'Raw Data'!M273</f>
        <v/>
      </c>
      <c r="E273" s="18">
        <f>'Raw Data'!M273/'Raw Data'!L273*100</f>
        <v/>
      </c>
      <c r="F273" s="14">
        <f>IF(E273&gt;15,"Wet Year",IF(E273&lt;-15,"Dry Year","Normal Year"))</f>
        <v/>
      </c>
      <c r="G273" s="16">
        <f>'Raw Data'!I273</f>
        <v/>
      </c>
      <c r="H273" s="14">
        <f>IF(G273&lt;15,"Low Variability",IF(G273&lt;=35,"Moderate Variability","High Variability"))</f>
        <v/>
      </c>
      <c r="I273" s="18">
        <f>'Raw Data'!O273</f>
        <v/>
      </c>
      <c r="J273" s="14">
        <f>IF(I273=0,"No Flood",IF(I273&lt;=0.5,"Low",IF(I273&lt;=2,"Moderate","High")))</f>
        <v/>
      </c>
    </row>
    <row r="274" ht="15" customHeight="1" s="12">
      <c r="A274" s="14">
        <f>'Raw Data'!A274</f>
        <v/>
      </c>
      <c r="B274" s="14">
        <f>'Raw Data'!B274</f>
        <v/>
      </c>
      <c r="C274" s="14">
        <f>'Raw Data'!C274</f>
        <v/>
      </c>
      <c r="D274" s="15">
        <f>'Raw Data'!M274</f>
        <v/>
      </c>
      <c r="E274" s="18">
        <f>'Raw Data'!M274/'Raw Data'!L274*100</f>
        <v/>
      </c>
      <c r="F274" s="14">
        <f>IF(E274&gt;15,"Wet Year",IF(E274&lt;-15,"Dry Year","Normal Year"))</f>
        <v/>
      </c>
      <c r="G274" s="16">
        <f>'Raw Data'!I274</f>
        <v/>
      </c>
      <c r="H274" s="14">
        <f>IF(G274&lt;15,"Low Variability",IF(G274&lt;=35,"Moderate Variability","High Variability"))</f>
        <v/>
      </c>
      <c r="I274" s="18">
        <f>'Raw Data'!O274</f>
        <v/>
      </c>
      <c r="J274" s="14">
        <f>IF(I274=0,"No Flood",IF(I274&lt;=0.5,"Low",IF(I274&lt;=2,"Moderate","High")))</f>
        <v/>
      </c>
    </row>
    <row r="275" ht="15" customHeight="1" s="12">
      <c r="A275" s="14">
        <f>'Raw Data'!A275</f>
        <v/>
      </c>
      <c r="B275" s="14">
        <f>'Raw Data'!B275</f>
        <v/>
      </c>
      <c r="C275" s="14">
        <f>'Raw Data'!C275</f>
        <v/>
      </c>
      <c r="D275" s="15">
        <f>'Raw Data'!M275</f>
        <v/>
      </c>
      <c r="E275" s="18">
        <f>'Raw Data'!M275/'Raw Data'!L275*100</f>
        <v/>
      </c>
      <c r="F275" s="14">
        <f>IF(E275&gt;15,"Wet Year",IF(E275&lt;-15,"Dry Year","Normal Year"))</f>
        <v/>
      </c>
      <c r="G275" s="16">
        <f>'Raw Data'!I275</f>
        <v/>
      </c>
      <c r="H275" s="14">
        <f>IF(G275&lt;15,"Low Variability",IF(G275&lt;=35,"Moderate Variability","High Variability"))</f>
        <v/>
      </c>
      <c r="I275" s="18">
        <f>'Raw Data'!O275</f>
        <v/>
      </c>
      <c r="J275" s="14">
        <f>IF(I275=0,"No Flood",IF(I275&lt;=0.5,"Low",IF(I275&lt;=2,"Moderate","High")))</f>
        <v/>
      </c>
    </row>
    <row r="276" ht="15" customHeight="1" s="12">
      <c r="A276" s="14">
        <f>'Raw Data'!A276</f>
        <v/>
      </c>
      <c r="B276" s="14">
        <f>'Raw Data'!B276</f>
        <v/>
      </c>
      <c r="C276" s="14">
        <f>'Raw Data'!C276</f>
        <v/>
      </c>
      <c r="D276" s="15">
        <f>'Raw Data'!M276</f>
        <v/>
      </c>
      <c r="E276" s="18">
        <f>'Raw Data'!M276/'Raw Data'!L276*100</f>
        <v/>
      </c>
      <c r="F276" s="14">
        <f>IF(E276&gt;15,"Wet Year",IF(E276&lt;-15,"Dry Year","Normal Year"))</f>
        <v/>
      </c>
      <c r="G276" s="16">
        <f>'Raw Data'!I276</f>
        <v/>
      </c>
      <c r="H276" s="14">
        <f>IF(G276&lt;15,"Low Variability",IF(G276&lt;=35,"Moderate Variability","High Variability"))</f>
        <v/>
      </c>
      <c r="I276" s="18">
        <f>'Raw Data'!O276</f>
        <v/>
      </c>
      <c r="J276" s="14">
        <f>IF(I276=0,"No Flood",IF(I276&lt;=0.5,"Low",IF(I276&lt;=2,"Moderate","High")))</f>
        <v/>
      </c>
    </row>
    <row r="277" ht="15" customHeight="1" s="12">
      <c r="A277" s="14">
        <f>'Raw Data'!A277</f>
        <v/>
      </c>
      <c r="B277" s="14">
        <f>'Raw Data'!B277</f>
        <v/>
      </c>
      <c r="C277" s="14">
        <f>'Raw Data'!C277</f>
        <v/>
      </c>
      <c r="D277" s="15">
        <f>'Raw Data'!M277</f>
        <v/>
      </c>
      <c r="E277" s="18">
        <f>'Raw Data'!M277/'Raw Data'!L277*100</f>
        <v/>
      </c>
      <c r="F277" s="14">
        <f>IF(E277&gt;15,"Wet Year",IF(E277&lt;-15,"Dry Year","Normal Year"))</f>
        <v/>
      </c>
      <c r="G277" s="16">
        <f>'Raw Data'!I277</f>
        <v/>
      </c>
      <c r="H277" s="14">
        <f>IF(G277&lt;15,"Low Variability",IF(G277&lt;=35,"Moderate Variability","High Variability"))</f>
        <v/>
      </c>
      <c r="I277" s="18">
        <f>'Raw Data'!O277</f>
        <v/>
      </c>
      <c r="J277" s="14">
        <f>IF(I277=0,"No Flood",IF(I277&lt;=0.5,"Low",IF(I277&lt;=2,"Moderate","High")))</f>
        <v/>
      </c>
    </row>
    <row r="278" ht="15" customHeight="1" s="12">
      <c r="A278" s="14">
        <f>'Raw Data'!A278</f>
        <v/>
      </c>
      <c r="B278" s="14">
        <f>'Raw Data'!B278</f>
        <v/>
      </c>
      <c r="C278" s="14">
        <f>'Raw Data'!C278</f>
        <v/>
      </c>
      <c r="D278" s="15">
        <f>'Raw Data'!M278</f>
        <v/>
      </c>
      <c r="E278" s="18">
        <f>'Raw Data'!M278/'Raw Data'!L278*100</f>
        <v/>
      </c>
      <c r="F278" s="14">
        <f>IF(E278&gt;15,"Wet Year",IF(E278&lt;-15,"Dry Year","Normal Year"))</f>
        <v/>
      </c>
      <c r="G278" s="16">
        <f>'Raw Data'!I278</f>
        <v/>
      </c>
      <c r="H278" s="14">
        <f>IF(G278&lt;15,"Low Variability",IF(G278&lt;=35,"Moderate Variability","High Variability"))</f>
        <v/>
      </c>
      <c r="I278" s="18">
        <f>'Raw Data'!O278</f>
        <v/>
      </c>
      <c r="J278" s="14">
        <f>IF(I278=0,"No Flood",IF(I278&lt;=0.5,"Low",IF(I278&lt;=2,"Moderate","High")))</f>
        <v/>
      </c>
    </row>
    <row r="279" ht="15" customHeight="1" s="12">
      <c r="A279" s="14">
        <f>'Raw Data'!A279</f>
        <v/>
      </c>
      <c r="B279" s="14">
        <f>'Raw Data'!B279</f>
        <v/>
      </c>
      <c r="C279" s="14">
        <f>'Raw Data'!C279</f>
        <v/>
      </c>
      <c r="D279" s="15">
        <f>'Raw Data'!M279</f>
        <v/>
      </c>
      <c r="E279" s="18">
        <f>'Raw Data'!M279/'Raw Data'!L279*100</f>
        <v/>
      </c>
      <c r="F279" s="14">
        <f>IF(E279&gt;15,"Wet Year",IF(E279&lt;-15,"Dry Year","Normal Year"))</f>
        <v/>
      </c>
      <c r="G279" s="16">
        <f>'Raw Data'!I279</f>
        <v/>
      </c>
      <c r="H279" s="14">
        <f>IF(G279&lt;15,"Low Variability",IF(G279&lt;=35,"Moderate Variability","High Variability"))</f>
        <v/>
      </c>
      <c r="I279" s="18">
        <f>'Raw Data'!O279</f>
        <v/>
      </c>
      <c r="J279" s="14">
        <f>IF(I279=0,"No Flood",IF(I279&lt;=0.5,"Low",IF(I279&lt;=2,"Moderate","High")))</f>
        <v/>
      </c>
    </row>
    <row r="280" ht="15" customHeight="1" s="12">
      <c r="A280" s="14">
        <f>'Raw Data'!A280</f>
        <v/>
      </c>
      <c r="B280" s="14">
        <f>'Raw Data'!B280</f>
        <v/>
      </c>
      <c r="C280" s="14">
        <f>'Raw Data'!C280</f>
        <v/>
      </c>
      <c r="D280" s="15">
        <f>'Raw Data'!M280</f>
        <v/>
      </c>
      <c r="E280" s="18">
        <f>'Raw Data'!M280/'Raw Data'!L280*100</f>
        <v/>
      </c>
      <c r="F280" s="14">
        <f>IF(E280&gt;15,"Wet Year",IF(E280&lt;-15,"Dry Year","Normal Year"))</f>
        <v/>
      </c>
      <c r="G280" s="16">
        <f>'Raw Data'!I280</f>
        <v/>
      </c>
      <c r="H280" s="14">
        <f>IF(G280&lt;15,"Low Variability",IF(G280&lt;=35,"Moderate Variability","High Variability"))</f>
        <v/>
      </c>
      <c r="I280" s="18">
        <f>'Raw Data'!O280</f>
        <v/>
      </c>
      <c r="J280" s="14">
        <f>IF(I280=0,"No Flood",IF(I280&lt;=0.5,"Low",IF(I280&lt;=2,"Moderate","High")))</f>
        <v/>
      </c>
    </row>
    <row r="281" ht="15" customHeight="1" s="12">
      <c r="A281" s="14">
        <f>'Raw Data'!A281</f>
        <v/>
      </c>
      <c r="B281" s="14">
        <f>'Raw Data'!B281</f>
        <v/>
      </c>
      <c r="C281" s="14">
        <f>'Raw Data'!C281</f>
        <v/>
      </c>
      <c r="D281" s="15">
        <f>'Raw Data'!M281</f>
        <v/>
      </c>
      <c r="E281" s="18">
        <f>'Raw Data'!M281/'Raw Data'!L281*100</f>
        <v/>
      </c>
      <c r="F281" s="14">
        <f>IF(E281&gt;15,"Wet Year",IF(E281&lt;-15,"Dry Year","Normal Year"))</f>
        <v/>
      </c>
      <c r="G281" s="16">
        <f>'Raw Data'!I281</f>
        <v/>
      </c>
      <c r="H281" s="14">
        <f>IF(G281&lt;15,"Low Variability",IF(G281&lt;=35,"Moderate Variability","High Variability"))</f>
        <v/>
      </c>
      <c r="I281" s="18">
        <f>'Raw Data'!O281</f>
        <v/>
      </c>
      <c r="J281" s="14">
        <f>IF(I281=0,"No Flood",IF(I281&lt;=0.5,"Low",IF(I281&lt;=2,"Moderate","High")))</f>
        <v/>
      </c>
    </row>
    <row r="282" ht="15" customHeight="1" s="12">
      <c r="A282" s="14">
        <f>'Raw Data'!A282</f>
        <v/>
      </c>
      <c r="B282" s="14">
        <f>'Raw Data'!B282</f>
        <v/>
      </c>
      <c r="C282" s="14">
        <f>'Raw Data'!C282</f>
        <v/>
      </c>
      <c r="D282" s="15">
        <f>'Raw Data'!M282</f>
        <v/>
      </c>
      <c r="E282" s="18">
        <f>'Raw Data'!M282/'Raw Data'!L282*100</f>
        <v/>
      </c>
      <c r="F282" s="14">
        <f>IF(E282&gt;15,"Wet Year",IF(E282&lt;-15,"Dry Year","Normal Year"))</f>
        <v/>
      </c>
      <c r="G282" s="16">
        <f>'Raw Data'!I282</f>
        <v/>
      </c>
      <c r="H282" s="14">
        <f>IF(G282&lt;15,"Low Variability",IF(G282&lt;=35,"Moderate Variability","High Variability"))</f>
        <v/>
      </c>
      <c r="I282" s="18">
        <f>'Raw Data'!O282</f>
        <v/>
      </c>
      <c r="J282" s="14">
        <f>IF(I282=0,"No Flood",IF(I282&lt;=0.5,"Low",IF(I282&lt;=2,"Moderate","High")))</f>
        <v/>
      </c>
    </row>
    <row r="283" ht="15" customHeight="1" s="12">
      <c r="A283" s="14">
        <f>'Raw Data'!A283</f>
        <v/>
      </c>
      <c r="B283" s="14">
        <f>'Raw Data'!B283</f>
        <v/>
      </c>
      <c r="C283" s="14">
        <f>'Raw Data'!C283</f>
        <v/>
      </c>
      <c r="D283" s="15">
        <f>'Raw Data'!M283</f>
        <v/>
      </c>
      <c r="E283" s="18">
        <f>'Raw Data'!M283/'Raw Data'!L283*100</f>
        <v/>
      </c>
      <c r="F283" s="14">
        <f>IF(E283&gt;15,"Wet Year",IF(E283&lt;-15,"Dry Year","Normal Year"))</f>
        <v/>
      </c>
      <c r="G283" s="16">
        <f>'Raw Data'!I283</f>
        <v/>
      </c>
      <c r="H283" s="14">
        <f>IF(G283&lt;15,"Low Variability",IF(G283&lt;=35,"Moderate Variability","High Variability"))</f>
        <v/>
      </c>
      <c r="I283" s="18">
        <f>'Raw Data'!O283</f>
        <v/>
      </c>
      <c r="J283" s="14">
        <f>IF(I283=0,"No Flood",IF(I283&lt;=0.5,"Low",IF(I283&lt;=2,"Moderate","High")))</f>
        <v/>
      </c>
    </row>
    <row r="284" ht="15" customHeight="1" s="12">
      <c r="A284" s="14">
        <f>'Raw Data'!A284</f>
        <v/>
      </c>
      <c r="B284" s="14">
        <f>'Raw Data'!B284</f>
        <v/>
      </c>
      <c r="C284" s="14">
        <f>'Raw Data'!C284</f>
        <v/>
      </c>
      <c r="D284" s="15">
        <f>'Raw Data'!M284</f>
        <v/>
      </c>
      <c r="E284" s="18">
        <f>'Raw Data'!M284/'Raw Data'!L284*100</f>
        <v/>
      </c>
      <c r="F284" s="14">
        <f>IF(E284&gt;15,"Wet Year",IF(E284&lt;-15,"Dry Year","Normal Year"))</f>
        <v/>
      </c>
      <c r="G284" s="16">
        <f>'Raw Data'!I284</f>
        <v/>
      </c>
      <c r="H284" s="14">
        <f>IF(G284&lt;15,"Low Variability",IF(G284&lt;=35,"Moderate Variability","High Variability"))</f>
        <v/>
      </c>
      <c r="I284" s="18">
        <f>'Raw Data'!O284</f>
        <v/>
      </c>
      <c r="J284" s="14">
        <f>IF(I284=0,"No Flood",IF(I284&lt;=0.5,"Low",IF(I284&lt;=2,"Moderate","High")))</f>
        <v/>
      </c>
    </row>
    <row r="285" ht="15" customHeight="1" s="12">
      <c r="A285" s="14">
        <f>'Raw Data'!A285</f>
        <v/>
      </c>
      <c r="B285" s="14">
        <f>'Raw Data'!B285</f>
        <v/>
      </c>
      <c r="C285" s="14">
        <f>'Raw Data'!C285</f>
        <v/>
      </c>
      <c r="D285" s="15">
        <f>'Raw Data'!M285</f>
        <v/>
      </c>
      <c r="E285" s="18">
        <f>'Raw Data'!M285/'Raw Data'!L285*100</f>
        <v/>
      </c>
      <c r="F285" s="14">
        <f>IF(E285&gt;15,"Wet Year",IF(E285&lt;-15,"Dry Year","Normal Year"))</f>
        <v/>
      </c>
      <c r="G285" s="16">
        <f>'Raw Data'!I285</f>
        <v/>
      </c>
      <c r="H285" s="14">
        <f>IF(G285&lt;15,"Low Variability",IF(G285&lt;=35,"Moderate Variability","High Variability"))</f>
        <v/>
      </c>
      <c r="I285" s="18">
        <f>'Raw Data'!O285</f>
        <v/>
      </c>
      <c r="J285" s="14">
        <f>IF(I285=0,"No Flood",IF(I285&lt;=0.5,"Low",IF(I285&lt;=2,"Moderate","High")))</f>
        <v/>
      </c>
    </row>
    <row r="286" ht="15" customHeight="1" s="12">
      <c r="A286" s="14">
        <f>'Raw Data'!A286</f>
        <v/>
      </c>
      <c r="B286" s="14">
        <f>'Raw Data'!B286</f>
        <v/>
      </c>
      <c r="C286" s="14">
        <f>'Raw Data'!C286</f>
        <v/>
      </c>
      <c r="D286" s="15">
        <f>'Raw Data'!M286</f>
        <v/>
      </c>
      <c r="E286" s="18">
        <f>'Raw Data'!M286/'Raw Data'!L286*100</f>
        <v/>
      </c>
      <c r="F286" s="14">
        <f>IF(E286&gt;15,"Wet Year",IF(E286&lt;-15,"Dry Year","Normal Year"))</f>
        <v/>
      </c>
      <c r="G286" s="16">
        <f>'Raw Data'!I286</f>
        <v/>
      </c>
      <c r="H286" s="14">
        <f>IF(G286&lt;15,"Low Variability",IF(G286&lt;=35,"Moderate Variability","High Variability"))</f>
        <v/>
      </c>
      <c r="I286" s="18">
        <f>'Raw Data'!O286</f>
        <v/>
      </c>
      <c r="J286" s="14">
        <f>IF(I286=0,"No Flood",IF(I286&lt;=0.5,"Low",IF(I286&lt;=2,"Moderate","High")))</f>
        <v/>
      </c>
    </row>
    <row r="287" ht="15" customHeight="1" s="12">
      <c r="A287" s="14">
        <f>'Raw Data'!A287</f>
        <v/>
      </c>
      <c r="B287" s="14">
        <f>'Raw Data'!B287</f>
        <v/>
      </c>
      <c r="C287" s="14">
        <f>'Raw Data'!C287</f>
        <v/>
      </c>
      <c r="D287" s="15">
        <f>'Raw Data'!M287</f>
        <v/>
      </c>
      <c r="E287" s="18">
        <f>'Raw Data'!M287/'Raw Data'!L287*100</f>
        <v/>
      </c>
      <c r="F287" s="14">
        <f>IF(E287&gt;15,"Wet Year",IF(E287&lt;-15,"Dry Year","Normal Year"))</f>
        <v/>
      </c>
      <c r="G287" s="16">
        <f>'Raw Data'!I287</f>
        <v/>
      </c>
      <c r="H287" s="14">
        <f>IF(G287&lt;15,"Low Variability",IF(G287&lt;=35,"Moderate Variability","High Variability"))</f>
        <v/>
      </c>
      <c r="I287" s="18">
        <f>'Raw Data'!O287</f>
        <v/>
      </c>
      <c r="J287" s="14">
        <f>IF(I287=0,"No Flood",IF(I287&lt;=0.5,"Low",IF(I287&lt;=2,"Moderate","High")))</f>
        <v/>
      </c>
    </row>
    <row r="288" ht="15" customHeight="1" s="12">
      <c r="A288" s="14">
        <f>'Raw Data'!A288</f>
        <v/>
      </c>
      <c r="B288" s="14">
        <f>'Raw Data'!B288</f>
        <v/>
      </c>
      <c r="C288" s="14">
        <f>'Raw Data'!C288</f>
        <v/>
      </c>
      <c r="D288" s="15">
        <f>'Raw Data'!M288</f>
        <v/>
      </c>
      <c r="E288" s="18">
        <f>'Raw Data'!M288/'Raw Data'!L288*100</f>
        <v/>
      </c>
      <c r="F288" s="14">
        <f>IF(E288&gt;15,"Wet Year",IF(E288&lt;-15,"Dry Year","Normal Year"))</f>
        <v/>
      </c>
      <c r="G288" s="16">
        <f>'Raw Data'!I288</f>
        <v/>
      </c>
      <c r="H288" s="14">
        <f>IF(G288&lt;15,"Low Variability",IF(G288&lt;=35,"Moderate Variability","High Variability"))</f>
        <v/>
      </c>
      <c r="I288" s="18">
        <f>'Raw Data'!O288</f>
        <v/>
      </c>
      <c r="J288" s="14">
        <f>IF(I288=0,"No Flood",IF(I288&lt;=0.5,"Low",IF(I288&lt;=2,"Moderate","High")))</f>
        <v/>
      </c>
    </row>
    <row r="289" ht="15" customHeight="1" s="12">
      <c r="A289" s="14">
        <f>'Raw Data'!A289</f>
        <v/>
      </c>
      <c r="B289" s="14">
        <f>'Raw Data'!B289</f>
        <v/>
      </c>
      <c r="C289" s="14">
        <f>'Raw Data'!C289</f>
        <v/>
      </c>
      <c r="D289" s="15">
        <f>'Raw Data'!M289</f>
        <v/>
      </c>
      <c r="E289" s="18">
        <f>'Raw Data'!M289/'Raw Data'!L289*100</f>
        <v/>
      </c>
      <c r="F289" s="14">
        <f>IF(E289&gt;15,"Wet Year",IF(E289&lt;-15,"Dry Year","Normal Year"))</f>
        <v/>
      </c>
      <c r="G289" s="16">
        <f>'Raw Data'!I289</f>
        <v/>
      </c>
      <c r="H289" s="14">
        <f>IF(G289&lt;15,"Low Variability",IF(G289&lt;=35,"Moderate Variability","High Variability"))</f>
        <v/>
      </c>
      <c r="I289" s="18">
        <f>'Raw Data'!O289</f>
        <v/>
      </c>
      <c r="J289" s="14">
        <f>IF(I289=0,"No Flood",IF(I289&lt;=0.5,"Low",IF(I289&lt;=2,"Moderate","High")))</f>
        <v/>
      </c>
    </row>
    <row r="290" ht="15" customHeight="1" s="12">
      <c r="A290" s="14">
        <f>'Raw Data'!A290</f>
        <v/>
      </c>
      <c r="B290" s="14">
        <f>'Raw Data'!B290</f>
        <v/>
      </c>
      <c r="C290" s="14">
        <f>'Raw Data'!C290</f>
        <v/>
      </c>
      <c r="D290" s="15">
        <f>'Raw Data'!M290</f>
        <v/>
      </c>
      <c r="E290" s="18">
        <f>'Raw Data'!M290/'Raw Data'!L290*100</f>
        <v/>
      </c>
      <c r="F290" s="14">
        <f>IF(E290&gt;15,"Wet Year",IF(E290&lt;-15,"Dry Year","Normal Year"))</f>
        <v/>
      </c>
      <c r="G290" s="16">
        <f>'Raw Data'!I290</f>
        <v/>
      </c>
      <c r="H290" s="14">
        <f>IF(G290&lt;15,"Low Variability",IF(G290&lt;=35,"Moderate Variability","High Variability"))</f>
        <v/>
      </c>
      <c r="I290" s="18">
        <f>'Raw Data'!O290</f>
        <v/>
      </c>
      <c r="J290" s="14">
        <f>IF(I290=0,"No Flood",IF(I290&lt;=0.5,"Low",IF(I290&lt;=2,"Moderate","High")))</f>
        <v/>
      </c>
    </row>
    <row r="291" ht="15" customHeight="1" s="12">
      <c r="A291" s="14">
        <f>'Raw Data'!A291</f>
        <v/>
      </c>
      <c r="B291" s="14">
        <f>'Raw Data'!B291</f>
        <v/>
      </c>
      <c r="C291" s="14">
        <f>'Raw Data'!C291</f>
        <v/>
      </c>
      <c r="D291" s="15">
        <f>'Raw Data'!M291</f>
        <v/>
      </c>
      <c r="E291" s="18">
        <f>'Raw Data'!M291/'Raw Data'!L291*100</f>
        <v/>
      </c>
      <c r="F291" s="14">
        <f>IF(E291&gt;15,"Wet Year",IF(E291&lt;-15,"Dry Year","Normal Year"))</f>
        <v/>
      </c>
      <c r="G291" s="16">
        <f>'Raw Data'!I291</f>
        <v/>
      </c>
      <c r="H291" s="14">
        <f>IF(G291&lt;15,"Low Variability",IF(G291&lt;=35,"Moderate Variability","High Variability"))</f>
        <v/>
      </c>
      <c r="I291" s="18">
        <f>'Raw Data'!O291</f>
        <v/>
      </c>
      <c r="J291" s="14">
        <f>IF(I291=0,"No Flood",IF(I291&lt;=0.5,"Low",IF(I291&lt;=2,"Moderate","High")))</f>
        <v/>
      </c>
    </row>
    <row r="292" ht="15" customHeight="1" s="12">
      <c r="A292" s="14">
        <f>'Raw Data'!A292</f>
        <v/>
      </c>
      <c r="B292" s="14">
        <f>'Raw Data'!B292</f>
        <v/>
      </c>
      <c r="C292" s="14">
        <f>'Raw Data'!C292</f>
        <v/>
      </c>
      <c r="D292" s="15">
        <f>'Raw Data'!M292</f>
        <v/>
      </c>
      <c r="E292" s="18">
        <f>'Raw Data'!M292/'Raw Data'!L292*100</f>
        <v/>
      </c>
      <c r="F292" s="14">
        <f>IF(E292&gt;15,"Wet Year",IF(E292&lt;-15,"Dry Year","Normal Year"))</f>
        <v/>
      </c>
      <c r="G292" s="16">
        <f>'Raw Data'!I292</f>
        <v/>
      </c>
      <c r="H292" s="14">
        <f>IF(G292&lt;15,"Low Variability",IF(G292&lt;=35,"Moderate Variability","High Variability"))</f>
        <v/>
      </c>
      <c r="I292" s="18">
        <f>'Raw Data'!O292</f>
        <v/>
      </c>
      <c r="J292" s="14">
        <f>IF(I292=0,"No Flood",IF(I292&lt;=0.5,"Low",IF(I292&lt;=2,"Moderate","High")))</f>
        <v/>
      </c>
    </row>
    <row r="293" ht="15" customHeight="1" s="12">
      <c r="A293" s="14">
        <f>'Raw Data'!A293</f>
        <v/>
      </c>
      <c r="B293" s="14">
        <f>'Raw Data'!B293</f>
        <v/>
      </c>
      <c r="C293" s="14">
        <f>'Raw Data'!C293</f>
        <v/>
      </c>
      <c r="D293" s="15">
        <f>'Raw Data'!M293</f>
        <v/>
      </c>
      <c r="E293" s="18">
        <f>'Raw Data'!M293/'Raw Data'!L293*100</f>
        <v/>
      </c>
      <c r="F293" s="14">
        <f>IF(E293&gt;15,"Wet Year",IF(E293&lt;-15,"Dry Year","Normal Year"))</f>
        <v/>
      </c>
      <c r="G293" s="16">
        <f>'Raw Data'!I293</f>
        <v/>
      </c>
      <c r="H293" s="14">
        <f>IF(G293&lt;15,"Low Variability",IF(G293&lt;=35,"Moderate Variability","High Variability"))</f>
        <v/>
      </c>
      <c r="I293" s="18">
        <f>'Raw Data'!O293</f>
        <v/>
      </c>
      <c r="J293" s="14">
        <f>IF(I293=0,"No Flood",IF(I293&lt;=0.5,"Low",IF(I293&lt;=2,"Moderate","High")))</f>
        <v/>
      </c>
    </row>
    <row r="294" ht="15" customHeight="1" s="12">
      <c r="A294" s="14">
        <f>'Raw Data'!A294</f>
        <v/>
      </c>
      <c r="B294" s="14">
        <f>'Raw Data'!B294</f>
        <v/>
      </c>
      <c r="C294" s="14">
        <f>'Raw Data'!C294</f>
        <v/>
      </c>
      <c r="D294" s="15">
        <f>'Raw Data'!M294</f>
        <v/>
      </c>
      <c r="E294" s="18">
        <f>'Raw Data'!M294/'Raw Data'!L294*100</f>
        <v/>
      </c>
      <c r="F294" s="14">
        <f>IF(E294&gt;15,"Wet Year",IF(E294&lt;-15,"Dry Year","Normal Year"))</f>
        <v/>
      </c>
      <c r="G294" s="16">
        <f>'Raw Data'!I294</f>
        <v/>
      </c>
      <c r="H294" s="14">
        <f>IF(G294&lt;15,"Low Variability",IF(G294&lt;=35,"Moderate Variability","High Variability"))</f>
        <v/>
      </c>
      <c r="I294" s="18">
        <f>'Raw Data'!O294</f>
        <v/>
      </c>
      <c r="J294" s="14">
        <f>IF(I294=0,"No Flood",IF(I294&lt;=0.5,"Low",IF(I294&lt;=2,"Moderate","High")))</f>
        <v/>
      </c>
    </row>
    <row r="295" ht="15" customHeight="1" s="12">
      <c r="A295" s="14">
        <f>'Raw Data'!A295</f>
        <v/>
      </c>
      <c r="B295" s="14">
        <f>'Raw Data'!B295</f>
        <v/>
      </c>
      <c r="C295" s="14">
        <f>'Raw Data'!C295</f>
        <v/>
      </c>
      <c r="D295" s="15">
        <f>'Raw Data'!M295</f>
        <v/>
      </c>
      <c r="E295" s="18">
        <f>'Raw Data'!M295/'Raw Data'!L295*100</f>
        <v/>
      </c>
      <c r="F295" s="14">
        <f>IF(E295&gt;15,"Wet Year",IF(E295&lt;-15,"Dry Year","Normal Year"))</f>
        <v/>
      </c>
      <c r="G295" s="16">
        <f>'Raw Data'!I295</f>
        <v/>
      </c>
      <c r="H295" s="14">
        <f>IF(G295&lt;15,"Low Variability",IF(G295&lt;=35,"Moderate Variability","High Variability"))</f>
        <v/>
      </c>
      <c r="I295" s="18">
        <f>'Raw Data'!O295</f>
        <v/>
      </c>
      <c r="J295" s="14">
        <f>IF(I295=0,"No Flood",IF(I295&lt;=0.5,"Low",IF(I295&lt;=2,"Moderate","High")))</f>
        <v/>
      </c>
    </row>
    <row r="296" ht="15" customHeight="1" s="12">
      <c r="A296" s="14">
        <f>'Raw Data'!A296</f>
        <v/>
      </c>
      <c r="B296" s="14">
        <f>'Raw Data'!B296</f>
        <v/>
      </c>
      <c r="C296" s="14">
        <f>'Raw Data'!C296</f>
        <v/>
      </c>
      <c r="D296" s="15">
        <f>'Raw Data'!M296</f>
        <v/>
      </c>
      <c r="E296" s="18">
        <f>'Raw Data'!M296/'Raw Data'!L296*100</f>
        <v/>
      </c>
      <c r="F296" s="14">
        <f>IF(E296&gt;15,"Wet Year",IF(E296&lt;-15,"Dry Year","Normal Year"))</f>
        <v/>
      </c>
      <c r="G296" s="16">
        <f>'Raw Data'!I296</f>
        <v/>
      </c>
      <c r="H296" s="14">
        <f>IF(G296&lt;15,"Low Variability",IF(G296&lt;=35,"Moderate Variability","High Variability"))</f>
        <v/>
      </c>
      <c r="I296" s="18">
        <f>'Raw Data'!O296</f>
        <v/>
      </c>
      <c r="J296" s="14">
        <f>IF(I296=0,"No Flood",IF(I296&lt;=0.5,"Low",IF(I296&lt;=2,"Moderate","High")))</f>
        <v/>
      </c>
    </row>
    <row r="297" ht="15" customHeight="1" s="12">
      <c r="A297" s="14">
        <f>'Raw Data'!A297</f>
        <v/>
      </c>
      <c r="B297" s="14">
        <f>'Raw Data'!B297</f>
        <v/>
      </c>
      <c r="C297" s="14">
        <f>'Raw Data'!C297</f>
        <v/>
      </c>
      <c r="D297" s="15">
        <f>'Raw Data'!M297</f>
        <v/>
      </c>
      <c r="E297" s="18">
        <f>'Raw Data'!M297/'Raw Data'!L297*100</f>
        <v/>
      </c>
      <c r="F297" s="14">
        <f>IF(E297&gt;15,"Wet Year",IF(E297&lt;-15,"Dry Year","Normal Year"))</f>
        <v/>
      </c>
      <c r="G297" s="16">
        <f>'Raw Data'!I297</f>
        <v/>
      </c>
      <c r="H297" s="14">
        <f>IF(G297&lt;15,"Low Variability",IF(G297&lt;=35,"Moderate Variability","High Variability"))</f>
        <v/>
      </c>
      <c r="I297" s="18">
        <f>'Raw Data'!O297</f>
        <v/>
      </c>
      <c r="J297" s="14">
        <f>IF(I297=0,"No Flood",IF(I297&lt;=0.5,"Low",IF(I297&lt;=2,"Moderate","High")))</f>
        <v/>
      </c>
    </row>
    <row r="298" ht="15" customHeight="1" s="12">
      <c r="A298" s="14">
        <f>'Raw Data'!A298</f>
        <v/>
      </c>
      <c r="B298" s="14">
        <f>'Raw Data'!B298</f>
        <v/>
      </c>
      <c r="C298" s="14">
        <f>'Raw Data'!C298</f>
        <v/>
      </c>
      <c r="D298" s="15">
        <f>'Raw Data'!M298</f>
        <v/>
      </c>
      <c r="E298" s="18">
        <f>'Raw Data'!M298/'Raw Data'!L298*100</f>
        <v/>
      </c>
      <c r="F298" s="14">
        <f>IF(E298&gt;15,"Wet Year",IF(E298&lt;-15,"Dry Year","Normal Year"))</f>
        <v/>
      </c>
      <c r="G298" s="16">
        <f>'Raw Data'!I298</f>
        <v/>
      </c>
      <c r="H298" s="14">
        <f>IF(G298&lt;15,"Low Variability",IF(G298&lt;=35,"Moderate Variability","High Variability"))</f>
        <v/>
      </c>
      <c r="I298" s="18">
        <f>'Raw Data'!O298</f>
        <v/>
      </c>
      <c r="J298" s="14">
        <f>IF(I298=0,"No Flood",IF(I298&lt;=0.5,"Low",IF(I298&lt;=2,"Moderate","High")))</f>
        <v/>
      </c>
    </row>
    <row r="299" ht="15" customHeight="1" s="12">
      <c r="A299" s="14">
        <f>'Raw Data'!A299</f>
        <v/>
      </c>
      <c r="B299" s="14">
        <f>'Raw Data'!B299</f>
        <v/>
      </c>
      <c r="C299" s="14">
        <f>'Raw Data'!C299</f>
        <v/>
      </c>
      <c r="D299" s="15">
        <f>'Raw Data'!M299</f>
        <v/>
      </c>
      <c r="E299" s="18">
        <f>'Raw Data'!M299/'Raw Data'!L299*100</f>
        <v/>
      </c>
      <c r="F299" s="14">
        <f>IF(E299&gt;15,"Wet Year",IF(E299&lt;-15,"Dry Year","Normal Year"))</f>
        <v/>
      </c>
      <c r="G299" s="16">
        <f>'Raw Data'!I299</f>
        <v/>
      </c>
      <c r="H299" s="14">
        <f>IF(G299&lt;15,"Low Variability",IF(G299&lt;=35,"Moderate Variability","High Variability"))</f>
        <v/>
      </c>
      <c r="I299" s="18">
        <f>'Raw Data'!O299</f>
        <v/>
      </c>
      <c r="J299" s="14">
        <f>IF(I299=0,"No Flood",IF(I299&lt;=0.5,"Low",IF(I299&lt;=2,"Moderate","High")))</f>
        <v/>
      </c>
    </row>
    <row r="300" ht="15" customHeight="1" s="12">
      <c r="A300" s="14">
        <f>'Raw Data'!A300</f>
        <v/>
      </c>
      <c r="B300" s="14">
        <f>'Raw Data'!B300</f>
        <v/>
      </c>
      <c r="C300" s="14">
        <f>'Raw Data'!C300</f>
        <v/>
      </c>
      <c r="D300" s="15">
        <f>'Raw Data'!M300</f>
        <v/>
      </c>
      <c r="E300" s="18">
        <f>'Raw Data'!M300/'Raw Data'!L300*100</f>
        <v/>
      </c>
      <c r="F300" s="14">
        <f>IF(E300&gt;15,"Wet Year",IF(E300&lt;-15,"Dry Year","Normal Year"))</f>
        <v/>
      </c>
      <c r="G300" s="16">
        <f>'Raw Data'!I300</f>
        <v/>
      </c>
      <c r="H300" s="14">
        <f>IF(G300&lt;15,"Low Variability",IF(G300&lt;=35,"Moderate Variability","High Variability"))</f>
        <v/>
      </c>
      <c r="I300" s="18">
        <f>'Raw Data'!O300</f>
        <v/>
      </c>
      <c r="J300" s="14">
        <f>IF(I300=0,"No Flood",IF(I300&lt;=0.5,"Low",IF(I300&lt;=2,"Moderate","High")))</f>
        <v/>
      </c>
    </row>
    <row r="301" ht="15" customHeight="1" s="12">
      <c r="A301" s="14">
        <f>'Raw Data'!A301</f>
        <v/>
      </c>
      <c r="B301" s="14">
        <f>'Raw Data'!B301</f>
        <v/>
      </c>
      <c r="C301" s="14">
        <f>'Raw Data'!C301</f>
        <v/>
      </c>
      <c r="D301" s="15">
        <f>'Raw Data'!M301</f>
        <v/>
      </c>
      <c r="E301" s="18">
        <f>'Raw Data'!M301/'Raw Data'!L301*100</f>
        <v/>
      </c>
      <c r="F301" s="14">
        <f>IF(E301&gt;15,"Wet Year",IF(E301&lt;-15,"Dry Year","Normal Year"))</f>
        <v/>
      </c>
      <c r="G301" s="16">
        <f>'Raw Data'!I301</f>
        <v/>
      </c>
      <c r="H301" s="14">
        <f>IF(G301&lt;15,"Low Variability",IF(G301&lt;=35,"Moderate Variability","High Variability"))</f>
        <v/>
      </c>
      <c r="I301" s="18">
        <f>'Raw Data'!O301</f>
        <v/>
      </c>
      <c r="J301" s="14">
        <f>IF(I301=0,"No Flood",IF(I301&lt;=0.5,"Low",IF(I301&lt;=2,"Moderate","High")))</f>
        <v/>
      </c>
    </row>
    <row r="302" ht="15" customHeight="1" s="12">
      <c r="A302" s="14">
        <f>'Raw Data'!A302</f>
        <v/>
      </c>
      <c r="B302" s="14">
        <f>'Raw Data'!B302</f>
        <v/>
      </c>
      <c r="C302" s="14">
        <f>'Raw Data'!C302</f>
        <v/>
      </c>
      <c r="D302" s="15">
        <f>'Raw Data'!M302</f>
        <v/>
      </c>
      <c r="E302" s="18">
        <f>'Raw Data'!M302/'Raw Data'!L302*100</f>
        <v/>
      </c>
      <c r="F302" s="14">
        <f>IF(E302&gt;15,"Wet Year",IF(E302&lt;-15,"Dry Year","Normal Year"))</f>
        <v/>
      </c>
      <c r="G302" s="16">
        <f>'Raw Data'!I302</f>
        <v/>
      </c>
      <c r="H302" s="14">
        <f>IF(G302&lt;15,"Low Variability",IF(G302&lt;=35,"Moderate Variability","High Variability"))</f>
        <v/>
      </c>
      <c r="I302" s="18">
        <f>'Raw Data'!O302</f>
        <v/>
      </c>
      <c r="J302" s="14">
        <f>IF(I302=0,"No Flood",IF(I302&lt;=0.5,"Low",IF(I302&lt;=2,"Moderate","High")))</f>
        <v/>
      </c>
    </row>
    <row r="303" ht="15" customHeight="1" s="12">
      <c r="A303" s="14">
        <f>'Raw Data'!A303</f>
        <v/>
      </c>
      <c r="B303" s="14">
        <f>'Raw Data'!B303</f>
        <v/>
      </c>
      <c r="C303" s="14">
        <f>'Raw Data'!C303</f>
        <v/>
      </c>
      <c r="D303" s="15">
        <f>'Raw Data'!M303</f>
        <v/>
      </c>
      <c r="E303" s="18">
        <f>'Raw Data'!M303/'Raw Data'!L303*100</f>
        <v/>
      </c>
      <c r="F303" s="14">
        <f>IF(E303&gt;15,"Wet Year",IF(E303&lt;-15,"Dry Year","Normal Year"))</f>
        <v/>
      </c>
      <c r="G303" s="16">
        <f>'Raw Data'!I303</f>
        <v/>
      </c>
      <c r="H303" s="14">
        <f>IF(G303&lt;15,"Low Variability",IF(G303&lt;=35,"Moderate Variability","High Variability"))</f>
        <v/>
      </c>
      <c r="I303" s="18">
        <f>'Raw Data'!O303</f>
        <v/>
      </c>
      <c r="J303" s="14">
        <f>IF(I303=0,"No Flood",IF(I303&lt;=0.5,"Low",IF(I303&lt;=2,"Moderate","High")))</f>
        <v/>
      </c>
    </row>
    <row r="304" ht="15" customHeight="1" s="12">
      <c r="A304" s="14">
        <f>'Raw Data'!A304</f>
        <v/>
      </c>
      <c r="B304" s="14">
        <f>'Raw Data'!B304</f>
        <v/>
      </c>
      <c r="C304" s="14">
        <f>'Raw Data'!C304</f>
        <v/>
      </c>
      <c r="D304" s="15">
        <f>'Raw Data'!M304</f>
        <v/>
      </c>
      <c r="E304" s="18">
        <f>'Raw Data'!M304/'Raw Data'!L304*100</f>
        <v/>
      </c>
      <c r="F304" s="14">
        <f>IF(E304&gt;15,"Wet Year",IF(E304&lt;-15,"Dry Year","Normal Year"))</f>
        <v/>
      </c>
      <c r="G304" s="16">
        <f>'Raw Data'!I304</f>
        <v/>
      </c>
      <c r="H304" s="14">
        <f>IF(G304&lt;15,"Low Variability",IF(G304&lt;=35,"Moderate Variability","High Variability"))</f>
        <v/>
      </c>
      <c r="I304" s="18">
        <f>'Raw Data'!O304</f>
        <v/>
      </c>
      <c r="J304" s="14">
        <f>IF(I304=0,"No Flood",IF(I304&lt;=0.5,"Low",IF(I304&lt;=2,"Moderate","High")))</f>
        <v/>
      </c>
    </row>
    <row r="305" ht="15" customHeight="1" s="12">
      <c r="A305" s="14">
        <f>'Raw Data'!A305</f>
        <v/>
      </c>
      <c r="B305" s="14">
        <f>'Raw Data'!B305</f>
        <v/>
      </c>
      <c r="C305" s="14">
        <f>'Raw Data'!C305</f>
        <v/>
      </c>
      <c r="D305" s="15">
        <f>'Raw Data'!M305</f>
        <v/>
      </c>
      <c r="E305" s="18">
        <f>'Raw Data'!M305/'Raw Data'!L305*100</f>
        <v/>
      </c>
      <c r="F305" s="14">
        <f>IF(E305&gt;15,"Wet Year",IF(E305&lt;-15,"Dry Year","Normal Year"))</f>
        <v/>
      </c>
      <c r="G305" s="16">
        <f>'Raw Data'!I305</f>
        <v/>
      </c>
      <c r="H305" s="14">
        <f>IF(G305&lt;15,"Low Variability",IF(G305&lt;=35,"Moderate Variability","High Variability"))</f>
        <v/>
      </c>
      <c r="I305" s="18">
        <f>'Raw Data'!O305</f>
        <v/>
      </c>
      <c r="J305" s="14">
        <f>IF(I305=0,"No Flood",IF(I305&lt;=0.5,"Low",IF(I305&lt;=2,"Moderate","High")))</f>
        <v/>
      </c>
    </row>
    <row r="306" ht="15" customHeight="1" s="12">
      <c r="A306" s="14">
        <f>'Raw Data'!A306</f>
        <v/>
      </c>
      <c r="B306" s="14">
        <f>'Raw Data'!B306</f>
        <v/>
      </c>
      <c r="C306" s="14">
        <f>'Raw Data'!C306</f>
        <v/>
      </c>
      <c r="D306" s="15">
        <f>'Raw Data'!M306</f>
        <v/>
      </c>
      <c r="E306" s="18">
        <f>'Raw Data'!M306/'Raw Data'!L306*100</f>
        <v/>
      </c>
      <c r="F306" s="14">
        <f>IF(E306&gt;15,"Wet Year",IF(E306&lt;-15,"Dry Year","Normal Year"))</f>
        <v/>
      </c>
      <c r="G306" s="16">
        <f>'Raw Data'!I306</f>
        <v/>
      </c>
      <c r="H306" s="14">
        <f>IF(G306&lt;15,"Low Variability",IF(G306&lt;=35,"Moderate Variability","High Variability"))</f>
        <v/>
      </c>
      <c r="I306" s="18">
        <f>'Raw Data'!O306</f>
        <v/>
      </c>
      <c r="J306" s="14">
        <f>IF(I306=0,"No Flood",IF(I306&lt;=0.5,"Low",IF(I306&lt;=2,"Moderate","High")))</f>
        <v/>
      </c>
    </row>
    <row r="307" ht="15" customHeight="1" s="12">
      <c r="A307" s="14">
        <f>'Raw Data'!A307</f>
        <v/>
      </c>
      <c r="B307" s="14">
        <f>'Raw Data'!B307</f>
        <v/>
      </c>
      <c r="C307" s="14">
        <f>'Raw Data'!C307</f>
        <v/>
      </c>
      <c r="D307" s="15">
        <f>'Raw Data'!M307</f>
        <v/>
      </c>
      <c r="E307" s="18">
        <f>'Raw Data'!M307/'Raw Data'!L307*100</f>
        <v/>
      </c>
      <c r="F307" s="14">
        <f>IF(E307&gt;15,"Wet Year",IF(E307&lt;-15,"Dry Year","Normal Year"))</f>
        <v/>
      </c>
      <c r="G307" s="16">
        <f>'Raw Data'!I307</f>
        <v/>
      </c>
      <c r="H307" s="14">
        <f>IF(G307&lt;15,"Low Variability",IF(G307&lt;=35,"Moderate Variability","High Variability"))</f>
        <v/>
      </c>
      <c r="I307" s="18">
        <f>'Raw Data'!O307</f>
        <v/>
      </c>
      <c r="J307" s="14">
        <f>IF(I307=0,"No Flood",IF(I307&lt;=0.5,"Low",IF(I307&lt;=2,"Moderate","High")))</f>
        <v/>
      </c>
    </row>
    <row r="308" ht="15" customHeight="1" s="12">
      <c r="A308" s="14">
        <f>'Raw Data'!A308</f>
        <v/>
      </c>
      <c r="B308" s="14">
        <f>'Raw Data'!B308</f>
        <v/>
      </c>
      <c r="C308" s="14">
        <f>'Raw Data'!C308</f>
        <v/>
      </c>
      <c r="D308" s="15">
        <f>'Raw Data'!M308</f>
        <v/>
      </c>
      <c r="E308" s="18">
        <f>'Raw Data'!M308/'Raw Data'!L308*100</f>
        <v/>
      </c>
      <c r="F308" s="14">
        <f>IF(E308&gt;15,"Wet Year",IF(E308&lt;-15,"Dry Year","Normal Year"))</f>
        <v/>
      </c>
      <c r="G308" s="16">
        <f>'Raw Data'!I308</f>
        <v/>
      </c>
      <c r="H308" s="14">
        <f>IF(G308&lt;15,"Low Variability",IF(G308&lt;=35,"Moderate Variability","High Variability"))</f>
        <v/>
      </c>
      <c r="I308" s="18">
        <f>'Raw Data'!O308</f>
        <v/>
      </c>
      <c r="J308" s="14">
        <f>IF(I308=0,"No Flood",IF(I308&lt;=0.5,"Low",IF(I308&lt;=2,"Moderate","High")))</f>
        <v/>
      </c>
    </row>
    <row r="309" ht="15" customHeight="1" s="12">
      <c r="A309" s="14">
        <f>'Raw Data'!A309</f>
        <v/>
      </c>
      <c r="B309" s="14">
        <f>'Raw Data'!B309</f>
        <v/>
      </c>
      <c r="C309" s="14">
        <f>'Raw Data'!C309</f>
        <v/>
      </c>
      <c r="D309" s="15">
        <f>'Raw Data'!M309</f>
        <v/>
      </c>
      <c r="E309" s="18">
        <f>'Raw Data'!M309/'Raw Data'!L309*100</f>
        <v/>
      </c>
      <c r="F309" s="14">
        <f>IF(E309&gt;15,"Wet Year",IF(E309&lt;-15,"Dry Year","Normal Year"))</f>
        <v/>
      </c>
      <c r="G309" s="16">
        <f>'Raw Data'!I309</f>
        <v/>
      </c>
      <c r="H309" s="14">
        <f>IF(G309&lt;15,"Low Variability",IF(G309&lt;=35,"Moderate Variability","High Variability"))</f>
        <v/>
      </c>
      <c r="I309" s="18">
        <f>'Raw Data'!O309</f>
        <v/>
      </c>
      <c r="J309" s="14">
        <f>IF(I309=0,"No Flood",IF(I309&lt;=0.5,"Low",IF(I309&lt;=2,"Moderate","High")))</f>
        <v/>
      </c>
    </row>
    <row r="310" ht="15" customHeight="1" s="12">
      <c r="A310" s="14">
        <f>'Raw Data'!A310</f>
        <v/>
      </c>
      <c r="B310" s="14">
        <f>'Raw Data'!B310</f>
        <v/>
      </c>
      <c r="C310" s="14">
        <f>'Raw Data'!C310</f>
        <v/>
      </c>
      <c r="D310" s="15">
        <f>'Raw Data'!M310</f>
        <v/>
      </c>
      <c r="E310" s="18">
        <f>'Raw Data'!M310/'Raw Data'!L310*100</f>
        <v/>
      </c>
      <c r="F310" s="14">
        <f>IF(E310&gt;15,"Wet Year",IF(E310&lt;-15,"Dry Year","Normal Year"))</f>
        <v/>
      </c>
      <c r="G310" s="16">
        <f>'Raw Data'!I310</f>
        <v/>
      </c>
      <c r="H310" s="14">
        <f>IF(G310&lt;15,"Low Variability",IF(G310&lt;=35,"Moderate Variability","High Variability"))</f>
        <v/>
      </c>
      <c r="I310" s="18">
        <f>'Raw Data'!O310</f>
        <v/>
      </c>
      <c r="J310" s="14">
        <f>IF(I310=0,"No Flood",IF(I310&lt;=0.5,"Low",IF(I310&lt;=2,"Moderate","High")))</f>
        <v/>
      </c>
    </row>
    <row r="311" ht="15" customHeight="1" s="12">
      <c r="A311" s="14">
        <f>'Raw Data'!A311</f>
        <v/>
      </c>
      <c r="B311" s="14">
        <f>'Raw Data'!B311</f>
        <v/>
      </c>
      <c r="C311" s="14">
        <f>'Raw Data'!C311</f>
        <v/>
      </c>
      <c r="D311" s="15">
        <f>'Raw Data'!M311</f>
        <v/>
      </c>
      <c r="E311" s="18">
        <f>'Raw Data'!M311/'Raw Data'!L311*100</f>
        <v/>
      </c>
      <c r="F311" s="14">
        <f>IF(E311&gt;15,"Wet Year",IF(E311&lt;-15,"Dry Year","Normal Year"))</f>
        <v/>
      </c>
      <c r="G311" s="16">
        <f>'Raw Data'!I311</f>
        <v/>
      </c>
      <c r="H311" s="14">
        <f>IF(G311&lt;15,"Low Variability",IF(G311&lt;=35,"Moderate Variability","High Variability"))</f>
        <v/>
      </c>
      <c r="I311" s="18">
        <f>'Raw Data'!O311</f>
        <v/>
      </c>
      <c r="J311" s="14">
        <f>IF(I311=0,"No Flood",IF(I311&lt;=0.5,"Low",IF(I311&lt;=2,"Moderate","High")))</f>
        <v/>
      </c>
    </row>
    <row r="312" ht="15" customHeight="1" s="12">
      <c r="A312" s="14">
        <f>'Raw Data'!A312</f>
        <v/>
      </c>
      <c r="B312" s="14">
        <f>'Raw Data'!B312</f>
        <v/>
      </c>
      <c r="C312" s="14">
        <f>'Raw Data'!C312</f>
        <v/>
      </c>
      <c r="D312" s="15">
        <f>'Raw Data'!M312</f>
        <v/>
      </c>
      <c r="E312" s="18">
        <f>'Raw Data'!M312/'Raw Data'!L312*100</f>
        <v/>
      </c>
      <c r="F312" s="14">
        <f>IF(E312&gt;15,"Wet Year",IF(E312&lt;-15,"Dry Year","Normal Year"))</f>
        <v/>
      </c>
      <c r="G312" s="16">
        <f>'Raw Data'!I312</f>
        <v/>
      </c>
      <c r="H312" s="14">
        <f>IF(G312&lt;15,"Low Variability",IF(G312&lt;=35,"Moderate Variability","High Variability"))</f>
        <v/>
      </c>
      <c r="I312" s="18">
        <f>'Raw Data'!O312</f>
        <v/>
      </c>
      <c r="J312" s="14">
        <f>IF(I312=0,"No Flood",IF(I312&lt;=0.5,"Low",IF(I312&lt;=2,"Moderate","High")))</f>
        <v/>
      </c>
    </row>
    <row r="313" ht="15" customHeight="1" s="12">
      <c r="A313" s="14">
        <f>'Raw Data'!A313</f>
        <v/>
      </c>
      <c r="B313" s="14">
        <f>'Raw Data'!B313</f>
        <v/>
      </c>
      <c r="C313" s="14">
        <f>'Raw Data'!C313</f>
        <v/>
      </c>
      <c r="D313" s="15">
        <f>'Raw Data'!M313</f>
        <v/>
      </c>
      <c r="E313" s="18">
        <f>'Raw Data'!M313/'Raw Data'!L313*100</f>
        <v/>
      </c>
      <c r="F313" s="14">
        <f>IF(E313&gt;15,"Wet Year",IF(E313&lt;-15,"Dry Year","Normal Year"))</f>
        <v/>
      </c>
      <c r="G313" s="16">
        <f>'Raw Data'!I313</f>
        <v/>
      </c>
      <c r="H313" s="14">
        <f>IF(G313&lt;15,"Low Variability",IF(G313&lt;=35,"Moderate Variability","High Variability"))</f>
        <v/>
      </c>
      <c r="I313" s="18">
        <f>'Raw Data'!O313</f>
        <v/>
      </c>
      <c r="J313" s="14">
        <f>IF(I313=0,"No Flood",IF(I313&lt;=0.5,"Low",IF(I313&lt;=2,"Moderate","High")))</f>
        <v/>
      </c>
    </row>
    <row r="314" ht="15" customHeight="1" s="12">
      <c r="A314" s="14">
        <f>'Raw Data'!A314</f>
        <v/>
      </c>
      <c r="B314" s="14">
        <f>'Raw Data'!B314</f>
        <v/>
      </c>
      <c r="C314" s="14">
        <f>'Raw Data'!C314</f>
        <v/>
      </c>
      <c r="D314" s="15">
        <f>'Raw Data'!M314</f>
        <v/>
      </c>
      <c r="E314" s="18">
        <f>'Raw Data'!M314/'Raw Data'!L314*100</f>
        <v/>
      </c>
      <c r="F314" s="14">
        <f>IF(E314&gt;15,"Wet Year",IF(E314&lt;-15,"Dry Year","Normal Year"))</f>
        <v/>
      </c>
      <c r="G314" s="16">
        <f>'Raw Data'!I314</f>
        <v/>
      </c>
      <c r="H314" s="14">
        <f>IF(G314&lt;15,"Low Variability",IF(G314&lt;=35,"Moderate Variability","High Variability"))</f>
        <v/>
      </c>
      <c r="I314" s="18">
        <f>'Raw Data'!O314</f>
        <v/>
      </c>
      <c r="J314" s="14">
        <f>IF(I314=0,"No Flood",IF(I314&lt;=0.5,"Low",IF(I314&lt;=2,"Moderate","High")))</f>
        <v/>
      </c>
    </row>
    <row r="315" ht="15" customHeight="1" s="12">
      <c r="A315" s="14">
        <f>'Raw Data'!A315</f>
        <v/>
      </c>
      <c r="B315" s="14">
        <f>'Raw Data'!B315</f>
        <v/>
      </c>
      <c r="C315" s="14">
        <f>'Raw Data'!C315</f>
        <v/>
      </c>
      <c r="D315" s="15">
        <f>'Raw Data'!M315</f>
        <v/>
      </c>
      <c r="E315" s="18">
        <f>'Raw Data'!M315/'Raw Data'!L315*100</f>
        <v/>
      </c>
      <c r="F315" s="14">
        <f>IF(E315&gt;15,"Wet Year",IF(E315&lt;-15,"Dry Year","Normal Year"))</f>
        <v/>
      </c>
      <c r="G315" s="16">
        <f>'Raw Data'!I315</f>
        <v/>
      </c>
      <c r="H315" s="14">
        <f>IF(G315&lt;15,"Low Variability",IF(G315&lt;=35,"Moderate Variability","High Variability"))</f>
        <v/>
      </c>
      <c r="I315" s="18">
        <f>'Raw Data'!O315</f>
        <v/>
      </c>
      <c r="J315" s="14">
        <f>IF(I315=0,"No Flood",IF(I315&lt;=0.5,"Low",IF(I315&lt;=2,"Moderate","High")))</f>
        <v/>
      </c>
    </row>
    <row r="316" ht="15" customHeight="1" s="12">
      <c r="A316" s="14">
        <f>'Raw Data'!A316</f>
        <v/>
      </c>
      <c r="B316" s="14">
        <f>'Raw Data'!B316</f>
        <v/>
      </c>
      <c r="C316" s="14">
        <f>'Raw Data'!C316</f>
        <v/>
      </c>
      <c r="D316" s="15">
        <f>'Raw Data'!M316</f>
        <v/>
      </c>
      <c r="E316" s="18">
        <f>'Raw Data'!M316/'Raw Data'!L316*100</f>
        <v/>
      </c>
      <c r="F316" s="14">
        <f>IF(E316&gt;15,"Wet Year",IF(E316&lt;-15,"Dry Year","Normal Year"))</f>
        <v/>
      </c>
      <c r="G316" s="16">
        <f>'Raw Data'!I316</f>
        <v/>
      </c>
      <c r="H316" s="14">
        <f>IF(G316&lt;15,"Low Variability",IF(G316&lt;=35,"Moderate Variability","High Variability"))</f>
        <v/>
      </c>
      <c r="I316" s="18">
        <f>'Raw Data'!O316</f>
        <v/>
      </c>
      <c r="J316" s="14">
        <f>IF(I316=0,"No Flood",IF(I316&lt;=0.5,"Low",IF(I316&lt;=2,"Moderate","High")))</f>
        <v/>
      </c>
    </row>
    <row r="317" ht="15" customHeight="1" s="12">
      <c r="A317" s="14">
        <f>'Raw Data'!A317</f>
        <v/>
      </c>
      <c r="B317" s="14">
        <f>'Raw Data'!B317</f>
        <v/>
      </c>
      <c r="C317" s="14">
        <f>'Raw Data'!C317</f>
        <v/>
      </c>
      <c r="D317" s="15">
        <f>'Raw Data'!M317</f>
        <v/>
      </c>
      <c r="E317" s="18">
        <f>'Raw Data'!M317/'Raw Data'!L317*100</f>
        <v/>
      </c>
      <c r="F317" s="14">
        <f>IF(E317&gt;15,"Wet Year",IF(E317&lt;-15,"Dry Year","Normal Year"))</f>
        <v/>
      </c>
      <c r="G317" s="16">
        <f>'Raw Data'!I317</f>
        <v/>
      </c>
      <c r="H317" s="14">
        <f>IF(G317&lt;15,"Low Variability",IF(G317&lt;=35,"Moderate Variability","High Variability"))</f>
        <v/>
      </c>
      <c r="I317" s="18">
        <f>'Raw Data'!O317</f>
        <v/>
      </c>
      <c r="J317" s="14">
        <f>IF(I317=0,"No Flood",IF(I317&lt;=0.5,"Low",IF(I317&lt;=2,"Moderate","High")))</f>
        <v/>
      </c>
    </row>
    <row r="318" ht="15" customHeight="1" s="12">
      <c r="A318" s="14">
        <f>'Raw Data'!A318</f>
        <v/>
      </c>
      <c r="B318" s="14">
        <f>'Raw Data'!B318</f>
        <v/>
      </c>
      <c r="C318" s="14">
        <f>'Raw Data'!C318</f>
        <v/>
      </c>
      <c r="D318" s="15">
        <f>'Raw Data'!M318</f>
        <v/>
      </c>
      <c r="E318" s="18">
        <f>'Raw Data'!M318/'Raw Data'!L318*100</f>
        <v/>
      </c>
      <c r="F318" s="14">
        <f>IF(E318&gt;15,"Wet Year",IF(E318&lt;-15,"Dry Year","Normal Year"))</f>
        <v/>
      </c>
      <c r="G318" s="16">
        <f>'Raw Data'!I318</f>
        <v/>
      </c>
      <c r="H318" s="14">
        <f>IF(G318&lt;15,"Low Variability",IF(G318&lt;=35,"Moderate Variability","High Variability"))</f>
        <v/>
      </c>
      <c r="I318" s="18">
        <f>'Raw Data'!O318</f>
        <v/>
      </c>
      <c r="J318" s="14">
        <f>IF(I318=0,"No Flood",IF(I318&lt;=0.5,"Low",IF(I318&lt;=2,"Moderate","High")))</f>
        <v/>
      </c>
    </row>
    <row r="319" ht="15" customHeight="1" s="12">
      <c r="A319" s="14">
        <f>'Raw Data'!A319</f>
        <v/>
      </c>
      <c r="B319" s="14">
        <f>'Raw Data'!B319</f>
        <v/>
      </c>
      <c r="C319" s="14">
        <f>'Raw Data'!C319</f>
        <v/>
      </c>
      <c r="D319" s="15">
        <f>'Raw Data'!M319</f>
        <v/>
      </c>
      <c r="E319" s="18">
        <f>'Raw Data'!M319/'Raw Data'!L319*100</f>
        <v/>
      </c>
      <c r="F319" s="14">
        <f>IF(E319&gt;15,"Wet Year",IF(E319&lt;-15,"Dry Year","Normal Year"))</f>
        <v/>
      </c>
      <c r="G319" s="16">
        <f>'Raw Data'!I319</f>
        <v/>
      </c>
      <c r="H319" s="14">
        <f>IF(G319&lt;15,"Low Variability",IF(G319&lt;=35,"Moderate Variability","High Variability"))</f>
        <v/>
      </c>
      <c r="I319" s="18">
        <f>'Raw Data'!O319</f>
        <v/>
      </c>
      <c r="J319" s="14">
        <f>IF(I319=0,"No Flood",IF(I319&lt;=0.5,"Low",IF(I319&lt;=2,"Moderate","High")))</f>
        <v/>
      </c>
    </row>
    <row r="320" ht="15" customHeight="1" s="12">
      <c r="A320" s="14">
        <f>'Raw Data'!A320</f>
        <v/>
      </c>
      <c r="B320" s="14">
        <f>'Raw Data'!B320</f>
        <v/>
      </c>
      <c r="C320" s="14">
        <f>'Raw Data'!C320</f>
        <v/>
      </c>
      <c r="D320" s="15">
        <f>'Raw Data'!M320</f>
        <v/>
      </c>
      <c r="E320" s="18">
        <f>'Raw Data'!M320/'Raw Data'!L320*100</f>
        <v/>
      </c>
      <c r="F320" s="14">
        <f>IF(E320&gt;15,"Wet Year",IF(E320&lt;-15,"Dry Year","Normal Year"))</f>
        <v/>
      </c>
      <c r="G320" s="16">
        <f>'Raw Data'!I320</f>
        <v/>
      </c>
      <c r="H320" s="14">
        <f>IF(G320&lt;15,"Low Variability",IF(G320&lt;=35,"Moderate Variability","High Variability"))</f>
        <v/>
      </c>
      <c r="I320" s="18">
        <f>'Raw Data'!O320</f>
        <v/>
      </c>
      <c r="J320" s="14">
        <f>IF(I320=0,"No Flood",IF(I320&lt;=0.5,"Low",IF(I320&lt;=2,"Moderate","High")))</f>
        <v/>
      </c>
    </row>
    <row r="321" ht="15" customHeight="1" s="12">
      <c r="A321" s="14">
        <f>'Raw Data'!A321</f>
        <v/>
      </c>
      <c r="B321" s="14">
        <f>'Raw Data'!B321</f>
        <v/>
      </c>
      <c r="C321" s="14">
        <f>'Raw Data'!C321</f>
        <v/>
      </c>
      <c r="D321" s="15">
        <f>'Raw Data'!M321</f>
        <v/>
      </c>
      <c r="E321" s="18">
        <f>'Raw Data'!M321/'Raw Data'!L321*100</f>
        <v/>
      </c>
      <c r="F321" s="14">
        <f>IF(E321&gt;15,"Wet Year",IF(E321&lt;-15,"Dry Year","Normal Year"))</f>
        <v/>
      </c>
      <c r="G321" s="16">
        <f>'Raw Data'!I321</f>
        <v/>
      </c>
      <c r="H321" s="14">
        <f>IF(G321&lt;15,"Low Variability",IF(G321&lt;=35,"Moderate Variability","High Variability"))</f>
        <v/>
      </c>
      <c r="I321" s="18">
        <f>'Raw Data'!O321</f>
        <v/>
      </c>
      <c r="J321" s="14">
        <f>IF(I321=0,"No Flood",IF(I321&lt;=0.5,"Low",IF(I321&lt;=2,"Moderate","High")))</f>
        <v/>
      </c>
    </row>
    <row r="322" ht="15" customHeight="1" s="12">
      <c r="A322" s="14">
        <f>'Raw Data'!A322</f>
        <v/>
      </c>
      <c r="B322" s="14">
        <f>'Raw Data'!B322</f>
        <v/>
      </c>
      <c r="C322" s="14">
        <f>'Raw Data'!C322</f>
        <v/>
      </c>
      <c r="D322" s="15">
        <f>'Raw Data'!M322</f>
        <v/>
      </c>
      <c r="E322" s="18">
        <f>'Raw Data'!M322/'Raw Data'!L322*100</f>
        <v/>
      </c>
      <c r="F322" s="14">
        <f>IF(E322&gt;15,"Wet Year",IF(E322&lt;-15,"Dry Year","Normal Year"))</f>
        <v/>
      </c>
      <c r="G322" s="16">
        <f>'Raw Data'!I322</f>
        <v/>
      </c>
      <c r="H322" s="14">
        <f>IF(G322&lt;15,"Low Variability",IF(G322&lt;=35,"Moderate Variability","High Variability"))</f>
        <v/>
      </c>
      <c r="I322" s="18">
        <f>'Raw Data'!O322</f>
        <v/>
      </c>
      <c r="J322" s="14">
        <f>IF(I322=0,"No Flood",IF(I322&lt;=0.5,"Low",IF(I322&lt;=2,"Moderate","High")))</f>
        <v/>
      </c>
    </row>
    <row r="323" ht="15" customHeight="1" s="12">
      <c r="A323" s="14">
        <f>'Raw Data'!A323</f>
        <v/>
      </c>
      <c r="B323" s="14">
        <f>'Raw Data'!B323</f>
        <v/>
      </c>
      <c r="C323" s="14">
        <f>'Raw Data'!C323</f>
        <v/>
      </c>
      <c r="D323" s="15">
        <f>'Raw Data'!M323</f>
        <v/>
      </c>
      <c r="E323" s="18">
        <f>'Raw Data'!M323/'Raw Data'!L323*100</f>
        <v/>
      </c>
      <c r="F323" s="14">
        <f>IF(E323&gt;15,"Wet Year",IF(E323&lt;-15,"Dry Year","Normal Year"))</f>
        <v/>
      </c>
      <c r="G323" s="16">
        <f>'Raw Data'!I323</f>
        <v/>
      </c>
      <c r="H323" s="14">
        <f>IF(G323&lt;15,"Low Variability",IF(G323&lt;=35,"Moderate Variability","High Variability"))</f>
        <v/>
      </c>
      <c r="I323" s="18">
        <f>'Raw Data'!O323</f>
        <v/>
      </c>
      <c r="J323" s="14">
        <f>IF(I323=0,"No Flood",IF(I323&lt;=0.5,"Low",IF(I323&lt;=2,"Moderate","High")))</f>
        <v/>
      </c>
    </row>
    <row r="324" ht="15" customHeight="1" s="12">
      <c r="A324" s="14">
        <f>'Raw Data'!A324</f>
        <v/>
      </c>
      <c r="B324" s="14">
        <f>'Raw Data'!B324</f>
        <v/>
      </c>
      <c r="C324" s="14">
        <f>'Raw Data'!C324</f>
        <v/>
      </c>
      <c r="D324" s="15">
        <f>'Raw Data'!M324</f>
        <v/>
      </c>
      <c r="E324" s="18">
        <f>'Raw Data'!M324/'Raw Data'!L324*100</f>
        <v/>
      </c>
      <c r="F324" s="14">
        <f>IF(E324&gt;15,"Wet Year",IF(E324&lt;-15,"Dry Year","Normal Year"))</f>
        <v/>
      </c>
      <c r="G324" s="16">
        <f>'Raw Data'!I324</f>
        <v/>
      </c>
      <c r="H324" s="14">
        <f>IF(G324&lt;15,"Low Variability",IF(G324&lt;=35,"Moderate Variability","High Variability"))</f>
        <v/>
      </c>
      <c r="I324" s="18">
        <f>'Raw Data'!O324</f>
        <v/>
      </c>
      <c r="J324" s="14">
        <f>IF(I324=0,"No Flood",IF(I324&lt;=0.5,"Low",IF(I324&lt;=2,"Moderate","High")))</f>
        <v/>
      </c>
    </row>
    <row r="325" ht="15" customHeight="1" s="12">
      <c r="A325" s="14">
        <f>'Raw Data'!A325</f>
        <v/>
      </c>
      <c r="B325" s="14">
        <f>'Raw Data'!B325</f>
        <v/>
      </c>
      <c r="C325" s="14">
        <f>'Raw Data'!C325</f>
        <v/>
      </c>
      <c r="D325" s="15">
        <f>'Raw Data'!M325</f>
        <v/>
      </c>
      <c r="E325" s="18">
        <f>'Raw Data'!M325/'Raw Data'!L325*100</f>
        <v/>
      </c>
      <c r="F325" s="14">
        <f>IF(E325&gt;15,"Wet Year",IF(E325&lt;-15,"Dry Year","Normal Year"))</f>
        <v/>
      </c>
      <c r="G325" s="16">
        <f>'Raw Data'!I325</f>
        <v/>
      </c>
      <c r="H325" s="14">
        <f>IF(G325&lt;15,"Low Variability",IF(G325&lt;=35,"Moderate Variability","High Variability"))</f>
        <v/>
      </c>
      <c r="I325" s="18">
        <f>'Raw Data'!O325</f>
        <v/>
      </c>
      <c r="J325" s="14">
        <f>IF(I325=0,"No Flood",IF(I325&lt;=0.5,"Low",IF(I325&lt;=2,"Moderate","High")))</f>
        <v/>
      </c>
    </row>
    <row r="326" ht="15" customHeight="1" s="12">
      <c r="A326" s="14">
        <f>'Raw Data'!A326</f>
        <v/>
      </c>
      <c r="B326" s="14">
        <f>'Raw Data'!B326</f>
        <v/>
      </c>
      <c r="C326" s="14">
        <f>'Raw Data'!C326</f>
        <v/>
      </c>
      <c r="D326" s="15">
        <f>'Raw Data'!M326</f>
        <v/>
      </c>
      <c r="E326" s="18">
        <f>'Raw Data'!M326/'Raw Data'!L326*100</f>
        <v/>
      </c>
      <c r="F326" s="14">
        <f>IF(E326&gt;15,"Wet Year",IF(E326&lt;-15,"Dry Year","Normal Year"))</f>
        <v/>
      </c>
      <c r="G326" s="16">
        <f>'Raw Data'!I326</f>
        <v/>
      </c>
      <c r="H326" s="14">
        <f>IF(G326&lt;15,"Low Variability",IF(G326&lt;=35,"Moderate Variability","High Variability"))</f>
        <v/>
      </c>
      <c r="I326" s="18">
        <f>'Raw Data'!O326</f>
        <v/>
      </c>
      <c r="J326" s="14">
        <f>IF(I326=0,"No Flood",IF(I326&lt;=0.5,"Low",IF(I326&lt;=2,"Moderate","High")))</f>
        <v/>
      </c>
    </row>
    <row r="327" ht="15" customHeight="1" s="12">
      <c r="A327" s="14">
        <f>'Raw Data'!A327</f>
        <v/>
      </c>
      <c r="B327" s="14">
        <f>'Raw Data'!B327</f>
        <v/>
      </c>
      <c r="C327" s="14">
        <f>'Raw Data'!C327</f>
        <v/>
      </c>
      <c r="D327" s="15">
        <f>'Raw Data'!M327</f>
        <v/>
      </c>
      <c r="E327" s="18">
        <f>'Raw Data'!M327/'Raw Data'!L327*100</f>
        <v/>
      </c>
      <c r="F327" s="14">
        <f>IF(E327&gt;15,"Wet Year",IF(E327&lt;-15,"Dry Year","Normal Year"))</f>
        <v/>
      </c>
      <c r="G327" s="16">
        <f>'Raw Data'!I327</f>
        <v/>
      </c>
      <c r="H327" s="14">
        <f>IF(G327&lt;15,"Low Variability",IF(G327&lt;=35,"Moderate Variability","High Variability"))</f>
        <v/>
      </c>
      <c r="I327" s="18">
        <f>'Raw Data'!O327</f>
        <v/>
      </c>
      <c r="J327" s="14">
        <f>IF(I327=0,"No Flood",IF(I327&lt;=0.5,"Low",IF(I327&lt;=2,"Moderate","High")))</f>
        <v/>
      </c>
    </row>
    <row r="328" ht="15" customHeight="1" s="12">
      <c r="A328" s="14">
        <f>'Raw Data'!A328</f>
        <v/>
      </c>
      <c r="B328" s="14">
        <f>'Raw Data'!B328</f>
        <v/>
      </c>
      <c r="C328" s="14">
        <f>'Raw Data'!C328</f>
        <v/>
      </c>
      <c r="D328" s="15">
        <f>'Raw Data'!M328</f>
        <v/>
      </c>
      <c r="E328" s="18">
        <f>'Raw Data'!M328/'Raw Data'!L328*100</f>
        <v/>
      </c>
      <c r="F328" s="14">
        <f>IF(E328&gt;15,"Wet Year",IF(E328&lt;-15,"Dry Year","Normal Year"))</f>
        <v/>
      </c>
      <c r="G328" s="16">
        <f>'Raw Data'!I328</f>
        <v/>
      </c>
      <c r="H328" s="14">
        <f>IF(G328&lt;15,"Low Variability",IF(G328&lt;=35,"Moderate Variability","High Variability"))</f>
        <v/>
      </c>
      <c r="I328" s="18">
        <f>'Raw Data'!O328</f>
        <v/>
      </c>
      <c r="J328" s="14">
        <f>IF(I328=0,"No Flood",IF(I328&lt;=0.5,"Low",IF(I328&lt;=2,"Moderate","High")))</f>
        <v/>
      </c>
    </row>
    <row r="329" ht="15" customHeight="1" s="12">
      <c r="A329" s="14">
        <f>'Raw Data'!A329</f>
        <v/>
      </c>
      <c r="B329" s="14">
        <f>'Raw Data'!B329</f>
        <v/>
      </c>
      <c r="C329" s="14">
        <f>'Raw Data'!C329</f>
        <v/>
      </c>
      <c r="D329" s="15">
        <f>'Raw Data'!M329</f>
        <v/>
      </c>
      <c r="E329" s="18">
        <f>'Raw Data'!M329/'Raw Data'!L329*100</f>
        <v/>
      </c>
      <c r="F329" s="14">
        <f>IF(E329&gt;15,"Wet Year",IF(E329&lt;-15,"Dry Year","Normal Year"))</f>
        <v/>
      </c>
      <c r="G329" s="16">
        <f>'Raw Data'!I329</f>
        <v/>
      </c>
      <c r="H329" s="14">
        <f>IF(G329&lt;15,"Low Variability",IF(G329&lt;=35,"Moderate Variability","High Variability"))</f>
        <v/>
      </c>
      <c r="I329" s="18">
        <f>'Raw Data'!O329</f>
        <v/>
      </c>
      <c r="J329" s="14">
        <f>IF(I329=0,"No Flood",IF(I329&lt;=0.5,"Low",IF(I329&lt;=2,"Moderate","High")))</f>
        <v/>
      </c>
    </row>
    <row r="330" ht="15" customHeight="1" s="12">
      <c r="A330" s="14">
        <f>'Raw Data'!A330</f>
        <v/>
      </c>
      <c r="B330" s="14">
        <f>'Raw Data'!B330</f>
        <v/>
      </c>
      <c r="C330" s="14">
        <f>'Raw Data'!C330</f>
        <v/>
      </c>
      <c r="D330" s="15">
        <f>'Raw Data'!M330</f>
        <v/>
      </c>
      <c r="E330" s="18">
        <f>'Raw Data'!M330/'Raw Data'!L330*100</f>
        <v/>
      </c>
      <c r="F330" s="14">
        <f>IF(E330&gt;15,"Wet Year",IF(E330&lt;-15,"Dry Year","Normal Year"))</f>
        <v/>
      </c>
      <c r="G330" s="16">
        <f>'Raw Data'!I330</f>
        <v/>
      </c>
      <c r="H330" s="14">
        <f>IF(G330&lt;15,"Low Variability",IF(G330&lt;=35,"Moderate Variability","High Variability"))</f>
        <v/>
      </c>
      <c r="I330" s="18">
        <f>'Raw Data'!O330</f>
        <v/>
      </c>
      <c r="J330" s="14">
        <f>IF(I330=0,"No Flood",IF(I330&lt;=0.5,"Low",IF(I330&lt;=2,"Moderate","High")))</f>
        <v/>
      </c>
    </row>
    <row r="331" ht="15" customHeight="1" s="12">
      <c r="A331" s="14">
        <f>'Raw Data'!A331</f>
        <v/>
      </c>
      <c r="B331" s="14">
        <f>'Raw Data'!B331</f>
        <v/>
      </c>
      <c r="C331" s="14">
        <f>'Raw Data'!C331</f>
        <v/>
      </c>
      <c r="D331" s="15">
        <f>'Raw Data'!M331</f>
        <v/>
      </c>
      <c r="E331" s="18">
        <f>'Raw Data'!M331/'Raw Data'!L331*100</f>
        <v/>
      </c>
      <c r="F331" s="14">
        <f>IF(E331&gt;15,"Wet Year",IF(E331&lt;-15,"Dry Year","Normal Year"))</f>
        <v/>
      </c>
      <c r="G331" s="16">
        <f>'Raw Data'!I331</f>
        <v/>
      </c>
      <c r="H331" s="14">
        <f>IF(G331&lt;15,"Low Variability",IF(G331&lt;=35,"Moderate Variability","High Variability"))</f>
        <v/>
      </c>
      <c r="I331" s="18">
        <f>'Raw Data'!O331</f>
        <v/>
      </c>
      <c r="J331" s="14">
        <f>IF(I331=0,"No Flood",IF(I331&lt;=0.5,"Low",IF(I331&lt;=2,"Moderate","High")))</f>
        <v/>
      </c>
    </row>
    <row r="332" ht="15" customHeight="1" s="12">
      <c r="A332" s="14">
        <f>'Raw Data'!A332</f>
        <v/>
      </c>
      <c r="B332" s="14">
        <f>'Raw Data'!B332</f>
        <v/>
      </c>
      <c r="C332" s="14">
        <f>'Raw Data'!C332</f>
        <v/>
      </c>
      <c r="D332" s="15">
        <f>'Raw Data'!M332</f>
        <v/>
      </c>
      <c r="E332" s="18">
        <f>'Raw Data'!M332/'Raw Data'!L332*100</f>
        <v/>
      </c>
      <c r="F332" s="14">
        <f>IF(E332&gt;15,"Wet Year",IF(E332&lt;-15,"Dry Year","Normal Year"))</f>
        <v/>
      </c>
      <c r="G332" s="16">
        <f>'Raw Data'!I332</f>
        <v/>
      </c>
      <c r="H332" s="14">
        <f>IF(G332&lt;15,"Low Variability",IF(G332&lt;=35,"Moderate Variability","High Variability"))</f>
        <v/>
      </c>
      <c r="I332" s="18">
        <f>'Raw Data'!O332</f>
        <v/>
      </c>
      <c r="J332" s="14">
        <f>IF(I332=0,"No Flood",IF(I332&lt;=0.5,"Low",IF(I332&lt;=2,"Moderate","High")))</f>
        <v/>
      </c>
    </row>
    <row r="333" ht="15" customHeight="1" s="12">
      <c r="A333" s="14">
        <f>'Raw Data'!A333</f>
        <v/>
      </c>
      <c r="B333" s="14">
        <f>'Raw Data'!B333</f>
        <v/>
      </c>
      <c r="C333" s="14">
        <f>'Raw Data'!C333</f>
        <v/>
      </c>
      <c r="D333" s="15">
        <f>'Raw Data'!M333</f>
        <v/>
      </c>
      <c r="E333" s="18">
        <f>'Raw Data'!M333/'Raw Data'!L333*100</f>
        <v/>
      </c>
      <c r="F333" s="14">
        <f>IF(E333&gt;15,"Wet Year",IF(E333&lt;-15,"Dry Year","Normal Year"))</f>
        <v/>
      </c>
      <c r="G333" s="16">
        <f>'Raw Data'!I333</f>
        <v/>
      </c>
      <c r="H333" s="14">
        <f>IF(G333&lt;15,"Low Variability",IF(G333&lt;=35,"Moderate Variability","High Variability"))</f>
        <v/>
      </c>
      <c r="I333" s="18">
        <f>'Raw Data'!O333</f>
        <v/>
      </c>
      <c r="J333" s="14">
        <f>IF(I333=0,"No Flood",IF(I333&lt;=0.5,"Low",IF(I333&lt;=2,"Moderate","High")))</f>
        <v/>
      </c>
    </row>
    <row r="334" ht="15" customHeight="1" s="12">
      <c r="A334" s="14">
        <f>'Raw Data'!A334</f>
        <v/>
      </c>
      <c r="B334" s="14">
        <f>'Raw Data'!B334</f>
        <v/>
      </c>
      <c r="C334" s="14">
        <f>'Raw Data'!C334</f>
        <v/>
      </c>
      <c r="D334" s="15">
        <f>'Raw Data'!M334</f>
        <v/>
      </c>
      <c r="E334" s="18">
        <f>'Raw Data'!M334/'Raw Data'!L334*100</f>
        <v/>
      </c>
      <c r="F334" s="14">
        <f>IF(E334&gt;15,"Wet Year",IF(E334&lt;-15,"Dry Year","Normal Year"))</f>
        <v/>
      </c>
      <c r="G334" s="16">
        <f>'Raw Data'!I334</f>
        <v/>
      </c>
      <c r="H334" s="14">
        <f>IF(G334&lt;15,"Low Variability",IF(G334&lt;=35,"Moderate Variability","High Variability"))</f>
        <v/>
      </c>
      <c r="I334" s="18">
        <f>'Raw Data'!O334</f>
        <v/>
      </c>
      <c r="J334" s="14">
        <f>IF(I334=0,"No Flood",IF(I334&lt;=0.5,"Low",IF(I334&lt;=2,"Moderate","High")))</f>
        <v/>
      </c>
    </row>
    <row r="335" ht="15" customHeight="1" s="12">
      <c r="A335" s="14">
        <f>'Raw Data'!A335</f>
        <v/>
      </c>
      <c r="B335" s="14">
        <f>'Raw Data'!B335</f>
        <v/>
      </c>
      <c r="C335" s="14">
        <f>'Raw Data'!C335</f>
        <v/>
      </c>
      <c r="D335" s="15">
        <f>'Raw Data'!M335</f>
        <v/>
      </c>
      <c r="E335" s="18">
        <f>'Raw Data'!M335/'Raw Data'!L335*100</f>
        <v/>
      </c>
      <c r="F335" s="14">
        <f>IF(E335&gt;15,"Wet Year",IF(E335&lt;-15,"Dry Year","Normal Year"))</f>
        <v/>
      </c>
      <c r="G335" s="16">
        <f>'Raw Data'!I335</f>
        <v/>
      </c>
      <c r="H335" s="14">
        <f>IF(G335&lt;15,"Low Variability",IF(G335&lt;=35,"Moderate Variability","High Variability"))</f>
        <v/>
      </c>
      <c r="I335" s="18">
        <f>'Raw Data'!O335</f>
        <v/>
      </c>
      <c r="J335" s="14">
        <f>IF(I335=0,"No Flood",IF(I335&lt;=0.5,"Low",IF(I335&lt;=2,"Moderate","High")))</f>
        <v/>
      </c>
    </row>
    <row r="336" ht="15" customHeight="1" s="12">
      <c r="A336" s="14">
        <f>'Raw Data'!A336</f>
        <v/>
      </c>
      <c r="B336" s="14">
        <f>'Raw Data'!B336</f>
        <v/>
      </c>
      <c r="C336" s="14">
        <f>'Raw Data'!C336</f>
        <v/>
      </c>
      <c r="D336" s="15">
        <f>'Raw Data'!M336</f>
        <v/>
      </c>
      <c r="E336" s="18">
        <f>'Raw Data'!M336/'Raw Data'!L336*100</f>
        <v/>
      </c>
      <c r="F336" s="14">
        <f>IF(E336&gt;15,"Wet Year",IF(E336&lt;-15,"Dry Year","Normal Year"))</f>
        <v/>
      </c>
      <c r="G336" s="16">
        <f>'Raw Data'!I336</f>
        <v/>
      </c>
      <c r="H336" s="14">
        <f>IF(G336&lt;15,"Low Variability",IF(G336&lt;=35,"Moderate Variability","High Variability"))</f>
        <v/>
      </c>
      <c r="I336" s="18">
        <f>'Raw Data'!O336</f>
        <v/>
      </c>
      <c r="J336" s="14">
        <f>IF(I336=0,"No Flood",IF(I336&lt;=0.5,"Low",IF(I336&lt;=2,"Moderate","High")))</f>
        <v/>
      </c>
    </row>
    <row r="337" ht="15" customHeight="1" s="12">
      <c r="A337" s="14">
        <f>'Raw Data'!A337</f>
        <v/>
      </c>
      <c r="B337" s="14">
        <f>'Raw Data'!B337</f>
        <v/>
      </c>
      <c r="C337" s="14">
        <f>'Raw Data'!C337</f>
        <v/>
      </c>
      <c r="D337" s="15">
        <f>'Raw Data'!M337</f>
        <v/>
      </c>
      <c r="E337" s="18">
        <f>'Raw Data'!M337/'Raw Data'!L337*100</f>
        <v/>
      </c>
      <c r="F337" s="14">
        <f>IF(E337&gt;15,"Wet Year",IF(E337&lt;-15,"Dry Year","Normal Year"))</f>
        <v/>
      </c>
      <c r="G337" s="16">
        <f>'Raw Data'!I337</f>
        <v/>
      </c>
      <c r="H337" s="14">
        <f>IF(G337&lt;15,"Low Variability",IF(G337&lt;=35,"Moderate Variability","High Variability"))</f>
        <v/>
      </c>
      <c r="I337" s="18">
        <f>'Raw Data'!O337</f>
        <v/>
      </c>
      <c r="J337" s="14">
        <f>IF(I337=0,"No Flood",IF(I337&lt;=0.5,"Low",IF(I337&lt;=2,"Moderate","High")))</f>
        <v/>
      </c>
    </row>
    <row r="338" ht="15" customHeight="1" s="12">
      <c r="A338" s="14">
        <f>'Raw Data'!A338</f>
        <v/>
      </c>
      <c r="B338" s="14">
        <f>'Raw Data'!B338</f>
        <v/>
      </c>
      <c r="C338" s="14">
        <f>'Raw Data'!C338</f>
        <v/>
      </c>
      <c r="D338" s="15">
        <f>'Raw Data'!M338</f>
        <v/>
      </c>
      <c r="E338" s="18">
        <f>'Raw Data'!M338/'Raw Data'!L338*100</f>
        <v/>
      </c>
      <c r="F338" s="14">
        <f>IF(E338&gt;15,"Wet Year",IF(E338&lt;-15,"Dry Year","Normal Year"))</f>
        <v/>
      </c>
      <c r="G338" s="16">
        <f>'Raw Data'!I338</f>
        <v/>
      </c>
      <c r="H338" s="14">
        <f>IF(G338&lt;15,"Low Variability",IF(G338&lt;=35,"Moderate Variability","High Variability"))</f>
        <v/>
      </c>
      <c r="I338" s="18">
        <f>'Raw Data'!O338</f>
        <v/>
      </c>
      <c r="J338" s="14">
        <f>IF(I338=0,"No Flood",IF(I338&lt;=0.5,"Low",IF(I338&lt;=2,"Moderate","High")))</f>
        <v/>
      </c>
    </row>
    <row r="339" ht="15" customHeight="1" s="12">
      <c r="A339" s="14">
        <f>'Raw Data'!A339</f>
        <v/>
      </c>
      <c r="B339" s="14">
        <f>'Raw Data'!B339</f>
        <v/>
      </c>
      <c r="C339" s="14">
        <f>'Raw Data'!C339</f>
        <v/>
      </c>
      <c r="D339" s="15">
        <f>'Raw Data'!M339</f>
        <v/>
      </c>
      <c r="E339" s="18">
        <f>'Raw Data'!M339/'Raw Data'!L339*100</f>
        <v/>
      </c>
      <c r="F339" s="14">
        <f>IF(E339&gt;15,"Wet Year",IF(E339&lt;-15,"Dry Year","Normal Year"))</f>
        <v/>
      </c>
      <c r="G339" s="16">
        <f>'Raw Data'!I339</f>
        <v/>
      </c>
      <c r="H339" s="14">
        <f>IF(G339&lt;15,"Low Variability",IF(G339&lt;=35,"Moderate Variability","High Variability"))</f>
        <v/>
      </c>
      <c r="I339" s="18">
        <f>'Raw Data'!O339</f>
        <v/>
      </c>
      <c r="J339" s="14">
        <f>IF(I339=0,"No Flood",IF(I339&lt;=0.5,"Low",IF(I339&lt;=2,"Moderate","High")))</f>
        <v/>
      </c>
    </row>
    <row r="340" ht="15" customHeight="1" s="12">
      <c r="A340" s="14">
        <f>'Raw Data'!A340</f>
        <v/>
      </c>
      <c r="B340" s="14">
        <f>'Raw Data'!B340</f>
        <v/>
      </c>
      <c r="C340" s="14">
        <f>'Raw Data'!C340</f>
        <v/>
      </c>
      <c r="D340" s="15">
        <f>'Raw Data'!M340</f>
        <v/>
      </c>
      <c r="E340" s="18">
        <f>'Raw Data'!M340/'Raw Data'!L340*100</f>
        <v/>
      </c>
      <c r="F340" s="14">
        <f>IF(E340&gt;15,"Wet Year",IF(E340&lt;-15,"Dry Year","Normal Year"))</f>
        <v/>
      </c>
      <c r="G340" s="16">
        <f>'Raw Data'!I340</f>
        <v/>
      </c>
      <c r="H340" s="14">
        <f>IF(G340&lt;15,"Low Variability",IF(G340&lt;=35,"Moderate Variability","High Variability"))</f>
        <v/>
      </c>
      <c r="I340" s="18">
        <f>'Raw Data'!O340</f>
        <v/>
      </c>
      <c r="J340" s="14">
        <f>IF(I340=0,"No Flood",IF(I340&lt;=0.5,"Low",IF(I340&lt;=2,"Moderate","High")))</f>
        <v/>
      </c>
    </row>
    <row r="341" ht="15" customHeight="1" s="12">
      <c r="A341" s="14">
        <f>'Raw Data'!A341</f>
        <v/>
      </c>
      <c r="B341" s="14">
        <f>'Raw Data'!B341</f>
        <v/>
      </c>
      <c r="C341" s="14">
        <f>'Raw Data'!C341</f>
        <v/>
      </c>
      <c r="D341" s="15">
        <f>'Raw Data'!M341</f>
        <v/>
      </c>
      <c r="E341" s="18">
        <f>'Raw Data'!M341/'Raw Data'!L341*100</f>
        <v/>
      </c>
      <c r="F341" s="14">
        <f>IF(E341&gt;15,"Wet Year",IF(E341&lt;-15,"Dry Year","Normal Year"))</f>
        <v/>
      </c>
      <c r="G341" s="16">
        <f>'Raw Data'!I341</f>
        <v/>
      </c>
      <c r="H341" s="14">
        <f>IF(G341&lt;15,"Low Variability",IF(G341&lt;=35,"Moderate Variability","High Variability"))</f>
        <v/>
      </c>
      <c r="I341" s="18">
        <f>'Raw Data'!O341</f>
        <v/>
      </c>
      <c r="J341" s="14">
        <f>IF(I341=0,"No Flood",IF(I341&lt;=0.5,"Low",IF(I341&lt;=2,"Moderate","High")))</f>
        <v/>
      </c>
    </row>
    <row r="342" ht="15" customHeight="1" s="12">
      <c r="A342" s="14">
        <f>'Raw Data'!A342</f>
        <v/>
      </c>
      <c r="B342" s="14">
        <f>'Raw Data'!B342</f>
        <v/>
      </c>
      <c r="C342" s="14">
        <f>'Raw Data'!C342</f>
        <v/>
      </c>
      <c r="D342" s="15">
        <f>'Raw Data'!M342</f>
        <v/>
      </c>
      <c r="E342" s="18">
        <f>'Raw Data'!M342/'Raw Data'!L342*100</f>
        <v/>
      </c>
      <c r="F342" s="14">
        <f>IF(E342&gt;15,"Wet Year",IF(E342&lt;-15,"Dry Year","Normal Year"))</f>
        <v/>
      </c>
      <c r="G342" s="16">
        <f>'Raw Data'!I342</f>
        <v/>
      </c>
      <c r="H342" s="14">
        <f>IF(G342&lt;15,"Low Variability",IF(G342&lt;=35,"Moderate Variability","High Variability"))</f>
        <v/>
      </c>
      <c r="I342" s="18">
        <f>'Raw Data'!O342</f>
        <v/>
      </c>
      <c r="J342" s="14">
        <f>IF(I342=0,"No Flood",IF(I342&lt;=0.5,"Low",IF(I342&lt;=2,"Moderate","High")))</f>
        <v/>
      </c>
    </row>
    <row r="343" ht="15" customHeight="1" s="12">
      <c r="A343" s="14">
        <f>'Raw Data'!A343</f>
        <v/>
      </c>
      <c r="B343" s="14">
        <f>'Raw Data'!B343</f>
        <v/>
      </c>
      <c r="C343" s="14">
        <f>'Raw Data'!C343</f>
        <v/>
      </c>
      <c r="D343" s="15">
        <f>'Raw Data'!M343</f>
        <v/>
      </c>
      <c r="E343" s="18">
        <f>'Raw Data'!M343/'Raw Data'!L343*100</f>
        <v/>
      </c>
      <c r="F343" s="14">
        <f>IF(E343&gt;15,"Wet Year",IF(E343&lt;-15,"Dry Year","Normal Year"))</f>
        <v/>
      </c>
      <c r="G343" s="16">
        <f>'Raw Data'!I343</f>
        <v/>
      </c>
      <c r="H343" s="14">
        <f>IF(G343&lt;15,"Low Variability",IF(G343&lt;=35,"Moderate Variability","High Variability"))</f>
        <v/>
      </c>
      <c r="I343" s="18">
        <f>'Raw Data'!O343</f>
        <v/>
      </c>
      <c r="J343" s="14">
        <f>IF(I343=0,"No Flood",IF(I343&lt;=0.5,"Low",IF(I343&lt;=2,"Moderate","High")))</f>
        <v/>
      </c>
    </row>
    <row r="344" ht="15" customHeight="1" s="12">
      <c r="A344" s="14">
        <f>'Raw Data'!A344</f>
        <v/>
      </c>
      <c r="B344" s="14">
        <f>'Raw Data'!B344</f>
        <v/>
      </c>
      <c r="C344" s="14">
        <f>'Raw Data'!C344</f>
        <v/>
      </c>
      <c r="D344" s="15">
        <f>'Raw Data'!M344</f>
        <v/>
      </c>
      <c r="E344" s="18">
        <f>'Raw Data'!M344/'Raw Data'!L344*100</f>
        <v/>
      </c>
      <c r="F344" s="14">
        <f>IF(E344&gt;15,"Wet Year",IF(E344&lt;-15,"Dry Year","Normal Year"))</f>
        <v/>
      </c>
      <c r="G344" s="16">
        <f>'Raw Data'!I344</f>
        <v/>
      </c>
      <c r="H344" s="14">
        <f>IF(G344&lt;15,"Low Variability",IF(G344&lt;=35,"Moderate Variability","High Variability"))</f>
        <v/>
      </c>
      <c r="I344" s="18">
        <f>'Raw Data'!O344</f>
        <v/>
      </c>
      <c r="J344" s="14">
        <f>IF(I344=0,"No Flood",IF(I344&lt;=0.5,"Low",IF(I344&lt;=2,"Moderate","High")))</f>
        <v/>
      </c>
    </row>
    <row r="345" ht="15" customHeight="1" s="12">
      <c r="A345" s="14">
        <f>'Raw Data'!A345</f>
        <v/>
      </c>
      <c r="B345" s="14">
        <f>'Raw Data'!B345</f>
        <v/>
      </c>
      <c r="C345" s="14">
        <f>'Raw Data'!C345</f>
        <v/>
      </c>
      <c r="D345" s="15">
        <f>'Raw Data'!M345</f>
        <v/>
      </c>
      <c r="E345" s="18">
        <f>'Raw Data'!M345/'Raw Data'!L345*100</f>
        <v/>
      </c>
      <c r="F345" s="14">
        <f>IF(E345&gt;15,"Wet Year",IF(E345&lt;-15,"Dry Year","Normal Year"))</f>
        <v/>
      </c>
      <c r="G345" s="16">
        <f>'Raw Data'!I345</f>
        <v/>
      </c>
      <c r="H345" s="14">
        <f>IF(G345&lt;15,"Low Variability",IF(G345&lt;=35,"Moderate Variability","High Variability"))</f>
        <v/>
      </c>
      <c r="I345" s="18">
        <f>'Raw Data'!O345</f>
        <v/>
      </c>
      <c r="J345" s="14">
        <f>IF(I345=0,"No Flood",IF(I345&lt;=0.5,"Low",IF(I345&lt;=2,"Moderate","High")))</f>
        <v/>
      </c>
    </row>
    <row r="346" ht="15" customHeight="1" s="12">
      <c r="A346" s="14">
        <f>'Raw Data'!A346</f>
        <v/>
      </c>
      <c r="B346" s="14">
        <f>'Raw Data'!B346</f>
        <v/>
      </c>
      <c r="C346" s="14">
        <f>'Raw Data'!C346</f>
        <v/>
      </c>
      <c r="D346" s="15">
        <f>'Raw Data'!M346</f>
        <v/>
      </c>
      <c r="E346" s="18">
        <f>'Raw Data'!M346/'Raw Data'!L346*100</f>
        <v/>
      </c>
      <c r="F346" s="14">
        <f>IF(E346&gt;15,"Wet Year",IF(E346&lt;-15,"Dry Year","Normal Year"))</f>
        <v/>
      </c>
      <c r="G346" s="16">
        <f>'Raw Data'!I346</f>
        <v/>
      </c>
      <c r="H346" s="14">
        <f>IF(G346&lt;15,"Low Variability",IF(G346&lt;=35,"Moderate Variability","High Variability"))</f>
        <v/>
      </c>
      <c r="I346" s="18">
        <f>'Raw Data'!O346</f>
        <v/>
      </c>
      <c r="J346" s="14">
        <f>IF(I346=0,"No Flood",IF(I346&lt;=0.5,"Low",IF(I346&lt;=2,"Moderate","High")))</f>
        <v/>
      </c>
    </row>
    <row r="347" ht="15" customHeight="1" s="12">
      <c r="A347" s="14">
        <f>'Raw Data'!A347</f>
        <v/>
      </c>
      <c r="B347" s="14">
        <f>'Raw Data'!B347</f>
        <v/>
      </c>
      <c r="C347" s="14">
        <f>'Raw Data'!C347</f>
        <v/>
      </c>
      <c r="D347" s="15">
        <f>'Raw Data'!M347</f>
        <v/>
      </c>
      <c r="E347" s="18">
        <f>'Raw Data'!M347/'Raw Data'!L347*100</f>
        <v/>
      </c>
      <c r="F347" s="14">
        <f>IF(E347&gt;15,"Wet Year",IF(E347&lt;-15,"Dry Year","Normal Year"))</f>
        <v/>
      </c>
      <c r="G347" s="16">
        <f>'Raw Data'!I347</f>
        <v/>
      </c>
      <c r="H347" s="14">
        <f>IF(G347&lt;15,"Low Variability",IF(G347&lt;=35,"Moderate Variability","High Variability"))</f>
        <v/>
      </c>
      <c r="I347" s="18">
        <f>'Raw Data'!O347</f>
        <v/>
      </c>
      <c r="J347" s="14">
        <f>IF(I347=0,"No Flood",IF(I347&lt;=0.5,"Low",IF(I347&lt;=2,"Moderate","High")))</f>
        <v/>
      </c>
    </row>
    <row r="348" ht="15" customHeight="1" s="12">
      <c r="A348" s="14">
        <f>'Raw Data'!A348</f>
        <v/>
      </c>
      <c r="B348" s="14">
        <f>'Raw Data'!B348</f>
        <v/>
      </c>
      <c r="C348" s="14">
        <f>'Raw Data'!C348</f>
        <v/>
      </c>
      <c r="D348" s="15">
        <f>'Raw Data'!M348</f>
        <v/>
      </c>
      <c r="E348" s="18">
        <f>'Raw Data'!M348/'Raw Data'!L348*100</f>
        <v/>
      </c>
      <c r="F348" s="14">
        <f>IF(E348&gt;15,"Wet Year",IF(E348&lt;-15,"Dry Year","Normal Year"))</f>
        <v/>
      </c>
      <c r="G348" s="16">
        <f>'Raw Data'!I348</f>
        <v/>
      </c>
      <c r="H348" s="14">
        <f>IF(G348&lt;15,"Low Variability",IF(G348&lt;=35,"Moderate Variability","High Variability"))</f>
        <v/>
      </c>
      <c r="I348" s="18">
        <f>'Raw Data'!O348</f>
        <v/>
      </c>
      <c r="J348" s="14">
        <f>IF(I348=0,"No Flood",IF(I348&lt;=0.5,"Low",IF(I348&lt;=2,"Moderate","High")))</f>
        <v/>
      </c>
    </row>
    <row r="349" ht="15" customHeight="1" s="12">
      <c r="A349" s="14">
        <f>'Raw Data'!A349</f>
        <v/>
      </c>
      <c r="B349" s="14">
        <f>'Raw Data'!B349</f>
        <v/>
      </c>
      <c r="C349" s="14">
        <f>'Raw Data'!C349</f>
        <v/>
      </c>
      <c r="D349" s="15">
        <f>'Raw Data'!M349</f>
        <v/>
      </c>
      <c r="E349" s="18">
        <f>'Raw Data'!M349/'Raw Data'!L349*100</f>
        <v/>
      </c>
      <c r="F349" s="14">
        <f>IF(E349&gt;15,"Wet Year",IF(E349&lt;-15,"Dry Year","Normal Year"))</f>
        <v/>
      </c>
      <c r="G349" s="16">
        <f>'Raw Data'!I349</f>
        <v/>
      </c>
      <c r="H349" s="14">
        <f>IF(G349&lt;15,"Low Variability",IF(G349&lt;=35,"Moderate Variability","High Variability"))</f>
        <v/>
      </c>
      <c r="I349" s="18">
        <f>'Raw Data'!O349</f>
        <v/>
      </c>
      <c r="J349" s="14">
        <f>IF(I349=0,"No Flood",IF(I349&lt;=0.5,"Low",IF(I349&lt;=2,"Moderate","High")))</f>
        <v/>
      </c>
    </row>
    <row r="350" ht="15" customHeight="1" s="12">
      <c r="A350" s="14">
        <f>'Raw Data'!A350</f>
        <v/>
      </c>
      <c r="B350" s="14">
        <f>'Raw Data'!B350</f>
        <v/>
      </c>
      <c r="C350" s="14">
        <f>'Raw Data'!C350</f>
        <v/>
      </c>
      <c r="D350" s="15">
        <f>'Raw Data'!M350</f>
        <v/>
      </c>
      <c r="E350" s="18">
        <f>'Raw Data'!M350/'Raw Data'!L350*100</f>
        <v/>
      </c>
      <c r="F350" s="14">
        <f>IF(E350&gt;15,"Wet Year",IF(E350&lt;-15,"Dry Year","Normal Year"))</f>
        <v/>
      </c>
      <c r="G350" s="16">
        <f>'Raw Data'!I350</f>
        <v/>
      </c>
      <c r="H350" s="14">
        <f>IF(G350&lt;15,"Low Variability",IF(G350&lt;=35,"Moderate Variability","High Variability"))</f>
        <v/>
      </c>
      <c r="I350" s="18">
        <f>'Raw Data'!O350</f>
        <v/>
      </c>
      <c r="J350" s="14">
        <f>IF(I350=0,"No Flood",IF(I350&lt;=0.5,"Low",IF(I350&lt;=2,"Moderate","High")))</f>
        <v/>
      </c>
    </row>
    <row r="351" ht="15" customHeight="1" s="12">
      <c r="A351" s="14">
        <f>'Raw Data'!A351</f>
        <v/>
      </c>
      <c r="B351" s="14">
        <f>'Raw Data'!B351</f>
        <v/>
      </c>
      <c r="C351" s="14">
        <f>'Raw Data'!C351</f>
        <v/>
      </c>
      <c r="D351" s="15">
        <f>'Raw Data'!M351</f>
        <v/>
      </c>
      <c r="E351" s="18">
        <f>'Raw Data'!M351/'Raw Data'!L351*100</f>
        <v/>
      </c>
      <c r="F351" s="14">
        <f>IF(E351&gt;15,"Wet Year",IF(E351&lt;-15,"Dry Year","Normal Year"))</f>
        <v/>
      </c>
      <c r="G351" s="16">
        <f>'Raw Data'!I351</f>
        <v/>
      </c>
      <c r="H351" s="14">
        <f>IF(G351&lt;15,"Low Variability",IF(G351&lt;=35,"Moderate Variability","High Variability"))</f>
        <v/>
      </c>
      <c r="I351" s="18">
        <f>'Raw Data'!O351</f>
        <v/>
      </c>
      <c r="J351" s="14">
        <f>IF(I351=0,"No Flood",IF(I351&lt;=0.5,"Low",IF(I351&lt;=2,"Moderate","High")))</f>
        <v/>
      </c>
    </row>
    <row r="352" ht="15" customHeight="1" s="12">
      <c r="A352" s="14">
        <f>'Raw Data'!A352</f>
        <v/>
      </c>
      <c r="B352" s="14">
        <f>'Raw Data'!B352</f>
        <v/>
      </c>
      <c r="C352" s="14">
        <f>'Raw Data'!C352</f>
        <v/>
      </c>
      <c r="D352" s="15">
        <f>'Raw Data'!M352</f>
        <v/>
      </c>
      <c r="E352" s="18">
        <f>'Raw Data'!M352/'Raw Data'!L352*100</f>
        <v/>
      </c>
      <c r="F352" s="14">
        <f>IF(E352&gt;15,"Wet Year",IF(E352&lt;-15,"Dry Year","Normal Year"))</f>
        <v/>
      </c>
      <c r="G352" s="16">
        <f>'Raw Data'!I352</f>
        <v/>
      </c>
      <c r="H352" s="14">
        <f>IF(G352&lt;15,"Low Variability",IF(G352&lt;=35,"Moderate Variability","High Variability"))</f>
        <v/>
      </c>
      <c r="I352" s="18">
        <f>'Raw Data'!O352</f>
        <v/>
      </c>
      <c r="J352" s="14">
        <f>IF(I352=0,"No Flood",IF(I352&lt;=0.5,"Low",IF(I352&lt;=2,"Moderate","High")))</f>
        <v/>
      </c>
    </row>
    <row r="353" ht="15" customHeight="1" s="12">
      <c r="A353" s="14">
        <f>'Raw Data'!A353</f>
        <v/>
      </c>
      <c r="B353" s="14">
        <f>'Raw Data'!B353</f>
        <v/>
      </c>
      <c r="C353" s="14">
        <f>'Raw Data'!C353</f>
        <v/>
      </c>
      <c r="D353" s="15">
        <f>'Raw Data'!M353</f>
        <v/>
      </c>
      <c r="E353" s="18">
        <f>'Raw Data'!M353/'Raw Data'!L353*100</f>
        <v/>
      </c>
      <c r="F353" s="14">
        <f>IF(E353&gt;15,"Wet Year",IF(E353&lt;-15,"Dry Year","Normal Year"))</f>
        <v/>
      </c>
      <c r="G353" s="16">
        <f>'Raw Data'!I353</f>
        <v/>
      </c>
      <c r="H353" s="14">
        <f>IF(G353&lt;15,"Low Variability",IF(G353&lt;=35,"Moderate Variability","High Variability"))</f>
        <v/>
      </c>
      <c r="I353" s="18">
        <f>'Raw Data'!O353</f>
        <v/>
      </c>
      <c r="J353" s="14">
        <f>IF(I353=0,"No Flood",IF(I353&lt;=0.5,"Low",IF(I353&lt;=2,"Moderate","High")))</f>
        <v/>
      </c>
    </row>
    <row r="354" ht="15" customHeight="1" s="12">
      <c r="A354" s="14">
        <f>'Raw Data'!A354</f>
        <v/>
      </c>
      <c r="B354" s="14">
        <f>'Raw Data'!B354</f>
        <v/>
      </c>
      <c r="C354" s="14">
        <f>'Raw Data'!C354</f>
        <v/>
      </c>
      <c r="D354" s="15">
        <f>'Raw Data'!M354</f>
        <v/>
      </c>
      <c r="E354" s="18">
        <f>'Raw Data'!M354/'Raw Data'!L354*100</f>
        <v/>
      </c>
      <c r="F354" s="14">
        <f>IF(E354&gt;15,"Wet Year",IF(E354&lt;-15,"Dry Year","Normal Year"))</f>
        <v/>
      </c>
      <c r="G354" s="16">
        <f>'Raw Data'!I354</f>
        <v/>
      </c>
      <c r="H354" s="14">
        <f>IF(G354&lt;15,"Low Variability",IF(G354&lt;=35,"Moderate Variability","High Variability"))</f>
        <v/>
      </c>
      <c r="I354" s="18">
        <f>'Raw Data'!O354</f>
        <v/>
      </c>
      <c r="J354" s="14">
        <f>IF(I354=0,"No Flood",IF(I354&lt;=0.5,"Low",IF(I354&lt;=2,"Moderate","High")))</f>
        <v/>
      </c>
    </row>
    <row r="355" ht="15" customHeight="1" s="12">
      <c r="A355" s="14">
        <f>'Raw Data'!A355</f>
        <v/>
      </c>
      <c r="B355" s="14">
        <f>'Raw Data'!B355</f>
        <v/>
      </c>
      <c r="C355" s="14">
        <f>'Raw Data'!C355</f>
        <v/>
      </c>
      <c r="D355" s="15">
        <f>'Raw Data'!M355</f>
        <v/>
      </c>
      <c r="E355" s="18">
        <f>'Raw Data'!M355/'Raw Data'!L355*100</f>
        <v/>
      </c>
      <c r="F355" s="14">
        <f>IF(E355&gt;15,"Wet Year",IF(E355&lt;-15,"Dry Year","Normal Year"))</f>
        <v/>
      </c>
      <c r="G355" s="16">
        <f>'Raw Data'!I355</f>
        <v/>
      </c>
      <c r="H355" s="14">
        <f>IF(G355&lt;15,"Low Variability",IF(G355&lt;=35,"Moderate Variability","High Variability"))</f>
        <v/>
      </c>
      <c r="I355" s="18">
        <f>'Raw Data'!O355</f>
        <v/>
      </c>
      <c r="J355" s="14">
        <f>IF(I355=0,"No Flood",IF(I355&lt;=0.5,"Low",IF(I355&lt;=2,"Moderate","High")))</f>
        <v/>
      </c>
    </row>
    <row r="356" ht="15" customHeight="1" s="12">
      <c r="A356" s="14">
        <f>'Raw Data'!A356</f>
        <v/>
      </c>
      <c r="B356" s="14">
        <f>'Raw Data'!B356</f>
        <v/>
      </c>
      <c r="C356" s="14">
        <f>'Raw Data'!C356</f>
        <v/>
      </c>
      <c r="D356" s="15">
        <f>'Raw Data'!M356</f>
        <v/>
      </c>
      <c r="E356" s="18">
        <f>'Raw Data'!M356/'Raw Data'!L356*100</f>
        <v/>
      </c>
      <c r="F356" s="14">
        <f>IF(E356&gt;15,"Wet Year",IF(E356&lt;-15,"Dry Year","Normal Year"))</f>
        <v/>
      </c>
      <c r="G356" s="16">
        <f>'Raw Data'!I356</f>
        <v/>
      </c>
      <c r="H356" s="14">
        <f>IF(G356&lt;15,"Low Variability",IF(G356&lt;=35,"Moderate Variability","High Variability"))</f>
        <v/>
      </c>
      <c r="I356" s="18">
        <f>'Raw Data'!O356</f>
        <v/>
      </c>
      <c r="J356" s="14">
        <f>IF(I356=0,"No Flood",IF(I356&lt;=0.5,"Low",IF(I356&lt;=2,"Moderate","High")))</f>
        <v/>
      </c>
    </row>
    <row r="357" ht="15" customHeight="1" s="12">
      <c r="A357" s="14">
        <f>'Raw Data'!A357</f>
        <v/>
      </c>
      <c r="B357" s="14">
        <f>'Raw Data'!B357</f>
        <v/>
      </c>
      <c r="C357" s="14">
        <f>'Raw Data'!C357</f>
        <v/>
      </c>
      <c r="D357" s="15">
        <f>'Raw Data'!M357</f>
        <v/>
      </c>
      <c r="E357" s="18">
        <f>'Raw Data'!M357/'Raw Data'!L357*100</f>
        <v/>
      </c>
      <c r="F357" s="14">
        <f>IF(E357&gt;15,"Wet Year",IF(E357&lt;-15,"Dry Year","Normal Year"))</f>
        <v/>
      </c>
      <c r="G357" s="16">
        <f>'Raw Data'!I357</f>
        <v/>
      </c>
      <c r="H357" s="14">
        <f>IF(G357&lt;15,"Low Variability",IF(G357&lt;=35,"Moderate Variability","High Variability"))</f>
        <v/>
      </c>
      <c r="I357" s="18">
        <f>'Raw Data'!O357</f>
        <v/>
      </c>
      <c r="J357" s="14">
        <f>IF(I357=0,"No Flood",IF(I357&lt;=0.5,"Low",IF(I357&lt;=2,"Moderate","High")))</f>
        <v/>
      </c>
    </row>
    <row r="358" ht="15" customHeight="1" s="12">
      <c r="A358" s="14">
        <f>'Raw Data'!A358</f>
        <v/>
      </c>
      <c r="B358" s="14">
        <f>'Raw Data'!B358</f>
        <v/>
      </c>
      <c r="C358" s="14">
        <f>'Raw Data'!C358</f>
        <v/>
      </c>
      <c r="D358" s="15">
        <f>'Raw Data'!M358</f>
        <v/>
      </c>
      <c r="E358" s="18">
        <f>'Raw Data'!M358/'Raw Data'!L358*100</f>
        <v/>
      </c>
      <c r="F358" s="14">
        <f>IF(E358&gt;15,"Wet Year",IF(E358&lt;-15,"Dry Year","Normal Year"))</f>
        <v/>
      </c>
      <c r="G358" s="16">
        <f>'Raw Data'!I358</f>
        <v/>
      </c>
      <c r="H358" s="14">
        <f>IF(G358&lt;15,"Low Variability",IF(G358&lt;=35,"Moderate Variability","High Variability"))</f>
        <v/>
      </c>
      <c r="I358" s="18">
        <f>'Raw Data'!O358</f>
        <v/>
      </c>
      <c r="J358" s="14">
        <f>IF(I358=0,"No Flood",IF(I358&lt;=0.5,"Low",IF(I358&lt;=2,"Moderate","High")))</f>
        <v/>
      </c>
    </row>
    <row r="359" ht="15" customHeight="1" s="12">
      <c r="A359" s="14">
        <f>'Raw Data'!A359</f>
        <v/>
      </c>
      <c r="B359" s="14">
        <f>'Raw Data'!B359</f>
        <v/>
      </c>
      <c r="C359" s="14">
        <f>'Raw Data'!C359</f>
        <v/>
      </c>
      <c r="D359" s="15">
        <f>'Raw Data'!M359</f>
        <v/>
      </c>
      <c r="E359" s="18">
        <f>'Raw Data'!M359/'Raw Data'!L359*100</f>
        <v/>
      </c>
      <c r="F359" s="14">
        <f>IF(E359&gt;15,"Wet Year",IF(E359&lt;-15,"Dry Year","Normal Year"))</f>
        <v/>
      </c>
      <c r="G359" s="16">
        <f>'Raw Data'!I359</f>
        <v/>
      </c>
      <c r="H359" s="14">
        <f>IF(G359&lt;15,"Low Variability",IF(G359&lt;=35,"Moderate Variability","High Variability"))</f>
        <v/>
      </c>
      <c r="I359" s="18">
        <f>'Raw Data'!O359</f>
        <v/>
      </c>
      <c r="J359" s="14">
        <f>IF(I359=0,"No Flood",IF(I359&lt;=0.5,"Low",IF(I359&lt;=2,"Moderate","High")))</f>
        <v/>
      </c>
    </row>
    <row r="360" ht="15" customHeight="1" s="12">
      <c r="A360" s="14">
        <f>'Raw Data'!A360</f>
        <v/>
      </c>
      <c r="B360" s="14">
        <f>'Raw Data'!B360</f>
        <v/>
      </c>
      <c r="C360" s="14">
        <f>'Raw Data'!C360</f>
        <v/>
      </c>
      <c r="D360" s="15">
        <f>'Raw Data'!M360</f>
        <v/>
      </c>
      <c r="E360" s="18">
        <f>'Raw Data'!M360/'Raw Data'!L360*100</f>
        <v/>
      </c>
      <c r="F360" s="14">
        <f>IF(E360&gt;15,"Wet Year",IF(E360&lt;-15,"Dry Year","Normal Year"))</f>
        <v/>
      </c>
      <c r="G360" s="16">
        <f>'Raw Data'!I360</f>
        <v/>
      </c>
      <c r="H360" s="14">
        <f>IF(G360&lt;15,"Low Variability",IF(G360&lt;=35,"Moderate Variability","High Variability"))</f>
        <v/>
      </c>
      <c r="I360" s="18">
        <f>'Raw Data'!O360</f>
        <v/>
      </c>
      <c r="J360" s="14">
        <f>IF(I360=0,"No Flood",IF(I360&lt;=0.5,"Low",IF(I360&lt;=2,"Moderate","High")))</f>
        <v/>
      </c>
    </row>
    <row r="361" ht="15" customHeight="1" s="12">
      <c r="A361" s="14">
        <f>'Raw Data'!A361</f>
        <v/>
      </c>
      <c r="B361" s="14">
        <f>'Raw Data'!B361</f>
        <v/>
      </c>
      <c r="C361" s="14">
        <f>'Raw Data'!C361</f>
        <v/>
      </c>
      <c r="D361" s="15">
        <f>'Raw Data'!M361</f>
        <v/>
      </c>
      <c r="E361" s="18">
        <f>'Raw Data'!M361/'Raw Data'!L361*100</f>
        <v/>
      </c>
      <c r="F361" s="14">
        <f>IF(E361&gt;15,"Wet Year",IF(E361&lt;-15,"Dry Year","Normal Year"))</f>
        <v/>
      </c>
      <c r="G361" s="16">
        <f>'Raw Data'!I361</f>
        <v/>
      </c>
      <c r="H361" s="14">
        <f>IF(G361&lt;15,"Low Variability",IF(G361&lt;=35,"Moderate Variability","High Variability"))</f>
        <v/>
      </c>
      <c r="I361" s="18">
        <f>'Raw Data'!O361</f>
        <v/>
      </c>
      <c r="J361" s="14">
        <f>IF(I361=0,"No Flood",IF(I361&lt;=0.5,"Low",IF(I361&lt;=2,"Moderate","High")))</f>
        <v/>
      </c>
    </row>
    <row r="362" ht="15" customHeight="1" s="12">
      <c r="A362" s="14">
        <f>'Raw Data'!A362</f>
        <v/>
      </c>
      <c r="B362" s="14">
        <f>'Raw Data'!B362</f>
        <v/>
      </c>
      <c r="C362" s="14">
        <f>'Raw Data'!C362</f>
        <v/>
      </c>
      <c r="D362" s="15">
        <f>'Raw Data'!M362</f>
        <v/>
      </c>
      <c r="E362" s="18">
        <f>'Raw Data'!M362/'Raw Data'!L362*100</f>
        <v/>
      </c>
      <c r="F362" s="14">
        <f>IF(E362&gt;15,"Wet Year",IF(E362&lt;-15,"Dry Year","Normal Year"))</f>
        <v/>
      </c>
      <c r="G362" s="16">
        <f>'Raw Data'!I362</f>
        <v/>
      </c>
      <c r="H362" s="14">
        <f>IF(G362&lt;15,"Low Variability",IF(G362&lt;=35,"Moderate Variability","High Variability"))</f>
        <v/>
      </c>
      <c r="I362" s="18">
        <f>'Raw Data'!O362</f>
        <v/>
      </c>
      <c r="J362" s="14">
        <f>IF(I362=0,"No Flood",IF(I362&lt;=0.5,"Low",IF(I362&lt;=2,"Moderate","High")))</f>
        <v/>
      </c>
    </row>
    <row r="363" ht="15" customHeight="1" s="12">
      <c r="A363" s="14">
        <f>'Raw Data'!A363</f>
        <v/>
      </c>
      <c r="B363" s="14">
        <f>'Raw Data'!B363</f>
        <v/>
      </c>
      <c r="C363" s="14">
        <f>'Raw Data'!C363</f>
        <v/>
      </c>
      <c r="D363" s="15">
        <f>'Raw Data'!M363</f>
        <v/>
      </c>
      <c r="E363" s="18">
        <f>'Raw Data'!M363/'Raw Data'!L363*100</f>
        <v/>
      </c>
      <c r="F363" s="14">
        <f>IF(E363&gt;15,"Wet Year",IF(E363&lt;-15,"Dry Year","Normal Year"))</f>
        <v/>
      </c>
      <c r="G363" s="16">
        <f>'Raw Data'!I363</f>
        <v/>
      </c>
      <c r="H363" s="14">
        <f>IF(G363&lt;15,"Low Variability",IF(G363&lt;=35,"Moderate Variability","High Variability"))</f>
        <v/>
      </c>
      <c r="I363" s="18">
        <f>'Raw Data'!O363</f>
        <v/>
      </c>
      <c r="J363" s="14">
        <f>IF(I363=0,"No Flood",IF(I363&lt;=0.5,"Low",IF(I363&lt;=2,"Moderate","High")))</f>
        <v/>
      </c>
    </row>
    <row r="364" ht="15" customHeight="1" s="12">
      <c r="A364" s="14">
        <f>'Raw Data'!A364</f>
        <v/>
      </c>
      <c r="B364" s="14">
        <f>'Raw Data'!B364</f>
        <v/>
      </c>
      <c r="C364" s="14">
        <f>'Raw Data'!C364</f>
        <v/>
      </c>
      <c r="D364" s="15">
        <f>'Raw Data'!M364</f>
        <v/>
      </c>
      <c r="E364" s="18">
        <f>'Raw Data'!M364/'Raw Data'!L364*100</f>
        <v/>
      </c>
      <c r="F364" s="14">
        <f>IF(E364&gt;15,"Wet Year",IF(E364&lt;-15,"Dry Year","Normal Year"))</f>
        <v/>
      </c>
      <c r="G364" s="16">
        <f>'Raw Data'!I364</f>
        <v/>
      </c>
      <c r="H364" s="14">
        <f>IF(G364&lt;15,"Low Variability",IF(G364&lt;=35,"Moderate Variability","High Variability"))</f>
        <v/>
      </c>
      <c r="I364" s="18">
        <f>'Raw Data'!O364</f>
        <v/>
      </c>
      <c r="J364" s="14">
        <f>IF(I364=0,"No Flood",IF(I364&lt;=0.5,"Low",IF(I364&lt;=2,"Moderate","High")))</f>
        <v/>
      </c>
    </row>
    <row r="365" ht="15" customHeight="1" s="12">
      <c r="A365" s="14">
        <f>'Raw Data'!A365</f>
        <v/>
      </c>
      <c r="B365" s="14">
        <f>'Raw Data'!B365</f>
        <v/>
      </c>
      <c r="C365" s="14">
        <f>'Raw Data'!C365</f>
        <v/>
      </c>
      <c r="D365" s="15">
        <f>'Raw Data'!M365</f>
        <v/>
      </c>
      <c r="E365" s="18">
        <f>'Raw Data'!M365/'Raw Data'!L365*100</f>
        <v/>
      </c>
      <c r="F365" s="14">
        <f>IF(E365&gt;15,"Wet Year",IF(E365&lt;-15,"Dry Year","Normal Year"))</f>
        <v/>
      </c>
      <c r="G365" s="16">
        <f>'Raw Data'!I365</f>
        <v/>
      </c>
      <c r="H365" s="14">
        <f>IF(G365&lt;15,"Low Variability",IF(G365&lt;=35,"Moderate Variability","High Variability"))</f>
        <v/>
      </c>
      <c r="I365" s="18">
        <f>'Raw Data'!O365</f>
        <v/>
      </c>
      <c r="J365" s="14">
        <f>IF(I365=0,"No Flood",IF(I365&lt;=0.5,"Low",IF(I365&lt;=2,"Moderate","High")))</f>
        <v/>
      </c>
    </row>
    <row r="366" ht="15" customHeight="1" s="12">
      <c r="A366" s="14">
        <f>'Raw Data'!A366</f>
        <v/>
      </c>
      <c r="B366" s="14">
        <f>'Raw Data'!B366</f>
        <v/>
      </c>
      <c r="C366" s="14">
        <f>'Raw Data'!C366</f>
        <v/>
      </c>
      <c r="D366" s="15">
        <f>'Raw Data'!M366</f>
        <v/>
      </c>
      <c r="E366" s="18">
        <f>'Raw Data'!M366/'Raw Data'!L366*100</f>
        <v/>
      </c>
      <c r="F366" s="14">
        <f>IF(E366&gt;15,"Wet Year",IF(E366&lt;-15,"Dry Year","Normal Year"))</f>
        <v/>
      </c>
      <c r="G366" s="16">
        <f>'Raw Data'!I366</f>
        <v/>
      </c>
      <c r="H366" s="14">
        <f>IF(G366&lt;15,"Low Variability",IF(G366&lt;=35,"Moderate Variability","High Variability"))</f>
        <v/>
      </c>
      <c r="I366" s="18">
        <f>'Raw Data'!O366</f>
        <v/>
      </c>
      <c r="J366" s="14">
        <f>IF(I366=0,"No Flood",IF(I366&lt;=0.5,"Low",IF(I366&lt;=2,"Moderate","High")))</f>
        <v/>
      </c>
    </row>
    <row r="367" ht="15" customHeight="1" s="12">
      <c r="A367" s="14">
        <f>'Raw Data'!A367</f>
        <v/>
      </c>
      <c r="B367" s="14">
        <f>'Raw Data'!B367</f>
        <v/>
      </c>
      <c r="C367" s="14">
        <f>'Raw Data'!C367</f>
        <v/>
      </c>
      <c r="D367" s="15">
        <f>'Raw Data'!M367</f>
        <v/>
      </c>
      <c r="E367" s="18">
        <f>'Raw Data'!M367/'Raw Data'!L367*100</f>
        <v/>
      </c>
      <c r="F367" s="14">
        <f>IF(E367&gt;15,"Wet Year",IF(E367&lt;-15,"Dry Year","Normal Year"))</f>
        <v/>
      </c>
      <c r="G367" s="16">
        <f>'Raw Data'!I367</f>
        <v/>
      </c>
      <c r="H367" s="14">
        <f>IF(G367&lt;15,"Low Variability",IF(G367&lt;=35,"Moderate Variability","High Variability"))</f>
        <v/>
      </c>
      <c r="I367" s="18">
        <f>'Raw Data'!O367</f>
        <v/>
      </c>
      <c r="J367" s="14">
        <f>IF(I367=0,"No Flood",IF(I367&lt;=0.5,"Low",IF(I367&lt;=2,"Moderate","High")))</f>
        <v/>
      </c>
    </row>
    <row r="368" ht="15" customHeight="1" s="12">
      <c r="A368" s="14">
        <f>'Raw Data'!A368</f>
        <v/>
      </c>
      <c r="B368" s="14">
        <f>'Raw Data'!B368</f>
        <v/>
      </c>
      <c r="C368" s="14">
        <f>'Raw Data'!C368</f>
        <v/>
      </c>
      <c r="D368" s="15">
        <f>'Raw Data'!M368</f>
        <v/>
      </c>
      <c r="E368" s="18">
        <f>'Raw Data'!M368/'Raw Data'!L368*100</f>
        <v/>
      </c>
      <c r="F368" s="14">
        <f>IF(E368&gt;15,"Wet Year",IF(E368&lt;-15,"Dry Year","Normal Year"))</f>
        <v/>
      </c>
      <c r="G368" s="16">
        <f>'Raw Data'!I368</f>
        <v/>
      </c>
      <c r="H368" s="14">
        <f>IF(G368&lt;15,"Low Variability",IF(G368&lt;=35,"Moderate Variability","High Variability"))</f>
        <v/>
      </c>
      <c r="I368" s="18">
        <f>'Raw Data'!O368</f>
        <v/>
      </c>
      <c r="J368" s="14">
        <f>IF(I368=0,"No Flood",IF(I368&lt;=0.5,"Low",IF(I368&lt;=2,"Moderate","High")))</f>
        <v/>
      </c>
    </row>
    <row r="369" ht="15" customHeight="1" s="12">
      <c r="A369" s="14">
        <f>'Raw Data'!A369</f>
        <v/>
      </c>
      <c r="B369" s="14">
        <f>'Raw Data'!B369</f>
        <v/>
      </c>
      <c r="C369" s="14">
        <f>'Raw Data'!C369</f>
        <v/>
      </c>
      <c r="D369" s="15">
        <f>'Raw Data'!M369</f>
        <v/>
      </c>
      <c r="E369" s="18">
        <f>'Raw Data'!M369/'Raw Data'!L369*100</f>
        <v/>
      </c>
      <c r="F369" s="14">
        <f>IF(E369&gt;15,"Wet Year",IF(E369&lt;-15,"Dry Year","Normal Year"))</f>
        <v/>
      </c>
      <c r="G369" s="16">
        <f>'Raw Data'!I369</f>
        <v/>
      </c>
      <c r="H369" s="14">
        <f>IF(G369&lt;15,"Low Variability",IF(G369&lt;=35,"Moderate Variability","High Variability"))</f>
        <v/>
      </c>
      <c r="I369" s="18">
        <f>'Raw Data'!O369</f>
        <v/>
      </c>
      <c r="J369" s="14">
        <f>IF(I369=0,"No Flood",IF(I369&lt;=0.5,"Low",IF(I369&lt;=2,"Moderate","High")))</f>
        <v/>
      </c>
    </row>
    <row r="370" ht="15" customHeight="1" s="12">
      <c r="A370" s="14">
        <f>'Raw Data'!A370</f>
        <v/>
      </c>
      <c r="B370" s="14">
        <f>'Raw Data'!B370</f>
        <v/>
      </c>
      <c r="C370" s="14">
        <f>'Raw Data'!C370</f>
        <v/>
      </c>
      <c r="D370" s="15">
        <f>'Raw Data'!M370</f>
        <v/>
      </c>
      <c r="E370" s="18">
        <f>'Raw Data'!M370/'Raw Data'!L370*100</f>
        <v/>
      </c>
      <c r="F370" s="14">
        <f>IF(E370&gt;15,"Wet Year",IF(E370&lt;-15,"Dry Year","Normal Year"))</f>
        <v/>
      </c>
      <c r="G370" s="16">
        <f>'Raw Data'!I370</f>
        <v/>
      </c>
      <c r="H370" s="14">
        <f>IF(G370&lt;15,"Low Variability",IF(G370&lt;=35,"Moderate Variability","High Variability"))</f>
        <v/>
      </c>
      <c r="I370" s="18">
        <f>'Raw Data'!O370</f>
        <v/>
      </c>
      <c r="J370" s="14">
        <f>IF(I370=0,"No Flood",IF(I370&lt;=0.5,"Low",IF(I370&lt;=2,"Moderate","High")))</f>
        <v/>
      </c>
    </row>
    <row r="371" ht="15" customHeight="1" s="12">
      <c r="A371" s="14">
        <f>'Raw Data'!A371</f>
        <v/>
      </c>
      <c r="B371" s="14">
        <f>'Raw Data'!B371</f>
        <v/>
      </c>
      <c r="C371" s="14">
        <f>'Raw Data'!C371</f>
        <v/>
      </c>
      <c r="D371" s="15">
        <f>'Raw Data'!M371</f>
        <v/>
      </c>
      <c r="E371" s="18">
        <f>'Raw Data'!M371/'Raw Data'!L371*100</f>
        <v/>
      </c>
      <c r="F371" s="14">
        <f>IF(E371&gt;15,"Wet Year",IF(E371&lt;-15,"Dry Year","Normal Year"))</f>
        <v/>
      </c>
      <c r="G371" s="16">
        <f>'Raw Data'!I371</f>
        <v/>
      </c>
      <c r="H371" s="14">
        <f>IF(G371&lt;15,"Low Variability",IF(G371&lt;=35,"Moderate Variability","High Variability"))</f>
        <v/>
      </c>
      <c r="I371" s="18">
        <f>'Raw Data'!O371</f>
        <v/>
      </c>
      <c r="J371" s="14">
        <f>IF(I371=0,"No Flood",IF(I371&lt;=0.5,"Low",IF(I371&lt;=2,"Moderate","High")))</f>
        <v/>
      </c>
    </row>
    <row r="372" ht="15" customHeight="1" s="12">
      <c r="A372" s="14">
        <f>'Raw Data'!A372</f>
        <v/>
      </c>
      <c r="B372" s="14">
        <f>'Raw Data'!B372</f>
        <v/>
      </c>
      <c r="C372" s="14">
        <f>'Raw Data'!C372</f>
        <v/>
      </c>
      <c r="D372" s="15">
        <f>'Raw Data'!M372</f>
        <v/>
      </c>
      <c r="E372" s="18">
        <f>'Raw Data'!M372/'Raw Data'!L372*100</f>
        <v/>
      </c>
      <c r="F372" s="14">
        <f>IF(E372&gt;15,"Wet Year",IF(E372&lt;-15,"Dry Year","Normal Year"))</f>
        <v/>
      </c>
      <c r="G372" s="16">
        <f>'Raw Data'!I372</f>
        <v/>
      </c>
      <c r="H372" s="14">
        <f>IF(G372&lt;15,"Low Variability",IF(G372&lt;=35,"Moderate Variability","High Variability"))</f>
        <v/>
      </c>
      <c r="I372" s="18">
        <f>'Raw Data'!O372</f>
        <v/>
      </c>
      <c r="J372" s="14">
        <f>IF(I372=0,"No Flood",IF(I372&lt;=0.5,"Low",IF(I372&lt;=2,"Moderate","High")))</f>
        <v/>
      </c>
    </row>
    <row r="373" ht="15" customHeight="1" s="12">
      <c r="A373" s="14">
        <f>'Raw Data'!A373</f>
        <v/>
      </c>
      <c r="B373" s="14">
        <f>'Raw Data'!B373</f>
        <v/>
      </c>
      <c r="C373" s="14">
        <f>'Raw Data'!C373</f>
        <v/>
      </c>
      <c r="D373" s="15">
        <f>'Raw Data'!M373</f>
        <v/>
      </c>
      <c r="E373" s="18">
        <f>'Raw Data'!M373/'Raw Data'!L373*100</f>
        <v/>
      </c>
      <c r="F373" s="14">
        <f>IF(E373&gt;15,"Wet Year",IF(E373&lt;-15,"Dry Year","Normal Year"))</f>
        <v/>
      </c>
      <c r="G373" s="16">
        <f>'Raw Data'!I373</f>
        <v/>
      </c>
      <c r="H373" s="14">
        <f>IF(G373&lt;15,"Low Variability",IF(G373&lt;=35,"Moderate Variability","High Variability"))</f>
        <v/>
      </c>
      <c r="I373" s="18">
        <f>'Raw Data'!O373</f>
        <v/>
      </c>
      <c r="J373" s="14">
        <f>IF(I373=0,"No Flood",IF(I373&lt;=0.5,"Low",IF(I373&lt;=2,"Moderate","High")))</f>
        <v/>
      </c>
    </row>
    <row r="374" ht="15" customHeight="1" s="12">
      <c r="A374" s="14">
        <f>'Raw Data'!A374</f>
        <v/>
      </c>
      <c r="B374" s="14">
        <f>'Raw Data'!B374</f>
        <v/>
      </c>
      <c r="C374" s="14">
        <f>'Raw Data'!C374</f>
        <v/>
      </c>
      <c r="D374" s="15">
        <f>'Raw Data'!M374</f>
        <v/>
      </c>
      <c r="E374" s="18">
        <f>'Raw Data'!M374/'Raw Data'!L374*100</f>
        <v/>
      </c>
      <c r="F374" s="14">
        <f>IF(E374&gt;15,"Wet Year",IF(E374&lt;-15,"Dry Year","Normal Year"))</f>
        <v/>
      </c>
      <c r="G374" s="16">
        <f>'Raw Data'!I374</f>
        <v/>
      </c>
      <c r="H374" s="14">
        <f>IF(G374&lt;15,"Low Variability",IF(G374&lt;=35,"Moderate Variability","High Variability"))</f>
        <v/>
      </c>
      <c r="I374" s="18">
        <f>'Raw Data'!O374</f>
        <v/>
      </c>
      <c r="J374" s="14">
        <f>IF(I374=0,"No Flood",IF(I374&lt;=0.5,"Low",IF(I374&lt;=2,"Moderate","High")))</f>
        <v/>
      </c>
    </row>
    <row r="375" ht="15" customHeight="1" s="12">
      <c r="A375" s="14">
        <f>'Raw Data'!A375</f>
        <v/>
      </c>
      <c r="B375" s="14">
        <f>'Raw Data'!B375</f>
        <v/>
      </c>
      <c r="C375" s="14">
        <f>'Raw Data'!C375</f>
        <v/>
      </c>
      <c r="D375" s="15">
        <f>'Raw Data'!M375</f>
        <v/>
      </c>
      <c r="E375" s="18">
        <f>'Raw Data'!M375/'Raw Data'!L375*100</f>
        <v/>
      </c>
      <c r="F375" s="14">
        <f>IF(E375&gt;15,"Wet Year",IF(E375&lt;-15,"Dry Year","Normal Year"))</f>
        <v/>
      </c>
      <c r="G375" s="16">
        <f>'Raw Data'!I375</f>
        <v/>
      </c>
      <c r="H375" s="14">
        <f>IF(G375&lt;15,"Low Variability",IF(G375&lt;=35,"Moderate Variability","High Variability"))</f>
        <v/>
      </c>
      <c r="I375" s="18">
        <f>'Raw Data'!O375</f>
        <v/>
      </c>
      <c r="J375" s="14">
        <f>IF(I375=0,"No Flood",IF(I375&lt;=0.5,"Low",IF(I375&lt;=2,"Moderate","High")))</f>
        <v/>
      </c>
    </row>
    <row r="376" ht="15" customHeight="1" s="12">
      <c r="A376" s="14">
        <f>'Raw Data'!A376</f>
        <v/>
      </c>
      <c r="B376" s="14">
        <f>'Raw Data'!B376</f>
        <v/>
      </c>
      <c r="C376" s="14">
        <f>'Raw Data'!C376</f>
        <v/>
      </c>
      <c r="D376" s="15">
        <f>'Raw Data'!M376</f>
        <v/>
      </c>
      <c r="E376" s="18">
        <f>'Raw Data'!M376/'Raw Data'!L376*100</f>
        <v/>
      </c>
      <c r="F376" s="14">
        <f>IF(E376&gt;15,"Wet Year",IF(E376&lt;-15,"Dry Year","Normal Year"))</f>
        <v/>
      </c>
      <c r="G376" s="16">
        <f>'Raw Data'!I376</f>
        <v/>
      </c>
      <c r="H376" s="14">
        <f>IF(G376&lt;15,"Low Variability",IF(G376&lt;=35,"Moderate Variability","High Variability"))</f>
        <v/>
      </c>
      <c r="I376" s="18">
        <f>'Raw Data'!O376</f>
        <v/>
      </c>
      <c r="J376" s="14">
        <f>IF(I376=0,"No Flood",IF(I376&lt;=0.5,"Low",IF(I376&lt;=2,"Moderate","High")))</f>
        <v/>
      </c>
    </row>
    <row r="377" ht="15" customHeight="1" s="12">
      <c r="A377" s="14">
        <f>'Raw Data'!A377</f>
        <v/>
      </c>
      <c r="B377" s="14">
        <f>'Raw Data'!B377</f>
        <v/>
      </c>
      <c r="C377" s="14">
        <f>'Raw Data'!C377</f>
        <v/>
      </c>
      <c r="D377" s="15">
        <f>'Raw Data'!M377</f>
        <v/>
      </c>
      <c r="E377" s="18">
        <f>'Raw Data'!M377/'Raw Data'!L377*100</f>
        <v/>
      </c>
      <c r="F377" s="14">
        <f>IF(E377&gt;15,"Wet Year",IF(E377&lt;-15,"Dry Year","Normal Year"))</f>
        <v/>
      </c>
      <c r="G377" s="16">
        <f>'Raw Data'!I377</f>
        <v/>
      </c>
      <c r="H377" s="14">
        <f>IF(G377&lt;15,"Low Variability",IF(G377&lt;=35,"Moderate Variability","High Variability"))</f>
        <v/>
      </c>
      <c r="I377" s="18">
        <f>'Raw Data'!O377</f>
        <v/>
      </c>
      <c r="J377" s="14">
        <f>IF(I377=0,"No Flood",IF(I377&lt;=0.5,"Low",IF(I377&lt;=2,"Moderate","High")))</f>
        <v/>
      </c>
    </row>
    <row r="378" ht="15" customHeight="1" s="12">
      <c r="A378" s="14">
        <f>'Raw Data'!A378</f>
        <v/>
      </c>
      <c r="B378" s="14">
        <f>'Raw Data'!B378</f>
        <v/>
      </c>
      <c r="C378" s="14">
        <f>'Raw Data'!C378</f>
        <v/>
      </c>
      <c r="D378" s="15">
        <f>'Raw Data'!M378</f>
        <v/>
      </c>
      <c r="E378" s="18">
        <f>'Raw Data'!M378/'Raw Data'!L378*100</f>
        <v/>
      </c>
      <c r="F378" s="14">
        <f>IF(E378&gt;15,"Wet Year",IF(E378&lt;-15,"Dry Year","Normal Year"))</f>
        <v/>
      </c>
      <c r="G378" s="16">
        <f>'Raw Data'!I378</f>
        <v/>
      </c>
      <c r="H378" s="14">
        <f>IF(G378&lt;15,"Low Variability",IF(G378&lt;=35,"Moderate Variability","High Variability"))</f>
        <v/>
      </c>
      <c r="I378" s="18">
        <f>'Raw Data'!O378</f>
        <v/>
      </c>
      <c r="J378" s="14">
        <f>IF(I378=0,"No Flood",IF(I378&lt;=0.5,"Low",IF(I378&lt;=2,"Moderate","High")))</f>
        <v/>
      </c>
    </row>
    <row r="379" ht="15" customHeight="1" s="12">
      <c r="A379" s="14">
        <f>'Raw Data'!A379</f>
        <v/>
      </c>
      <c r="B379" s="14">
        <f>'Raw Data'!B379</f>
        <v/>
      </c>
      <c r="C379" s="14">
        <f>'Raw Data'!C379</f>
        <v/>
      </c>
      <c r="D379" s="15">
        <f>'Raw Data'!M379</f>
        <v/>
      </c>
      <c r="E379" s="18">
        <f>'Raw Data'!M379/'Raw Data'!L379*100</f>
        <v/>
      </c>
      <c r="F379" s="14">
        <f>IF(E379&gt;15,"Wet Year",IF(E379&lt;-15,"Dry Year","Normal Year"))</f>
        <v/>
      </c>
      <c r="G379" s="16">
        <f>'Raw Data'!I379</f>
        <v/>
      </c>
      <c r="H379" s="14">
        <f>IF(G379&lt;15,"Low Variability",IF(G379&lt;=35,"Moderate Variability","High Variability"))</f>
        <v/>
      </c>
      <c r="I379" s="18">
        <f>'Raw Data'!O379</f>
        <v/>
      </c>
      <c r="J379" s="14">
        <f>IF(I379=0,"No Flood",IF(I379&lt;=0.5,"Low",IF(I379&lt;=2,"Moderate","High")))</f>
        <v/>
      </c>
    </row>
    <row r="380" ht="15" customHeight="1" s="12">
      <c r="A380" s="14">
        <f>'Raw Data'!A380</f>
        <v/>
      </c>
      <c r="B380" s="14">
        <f>'Raw Data'!B380</f>
        <v/>
      </c>
      <c r="C380" s="14">
        <f>'Raw Data'!C380</f>
        <v/>
      </c>
      <c r="D380" s="15">
        <f>'Raw Data'!M380</f>
        <v/>
      </c>
      <c r="E380" s="18">
        <f>'Raw Data'!M380/'Raw Data'!L380*100</f>
        <v/>
      </c>
      <c r="F380" s="14">
        <f>IF(E380&gt;15,"Wet Year",IF(E380&lt;-15,"Dry Year","Normal Year"))</f>
        <v/>
      </c>
      <c r="G380" s="16">
        <f>'Raw Data'!I380</f>
        <v/>
      </c>
      <c r="H380" s="14">
        <f>IF(G380&lt;15,"Low Variability",IF(G380&lt;=35,"Moderate Variability","High Variability"))</f>
        <v/>
      </c>
      <c r="I380" s="18">
        <f>'Raw Data'!O380</f>
        <v/>
      </c>
      <c r="J380" s="14">
        <f>IF(I380=0,"No Flood",IF(I380&lt;=0.5,"Low",IF(I380&lt;=2,"Moderate","High")))</f>
        <v/>
      </c>
    </row>
    <row r="381" ht="15" customHeight="1" s="12">
      <c r="A381" s="14">
        <f>'Raw Data'!A381</f>
        <v/>
      </c>
      <c r="B381" s="14">
        <f>'Raw Data'!B381</f>
        <v/>
      </c>
      <c r="C381" s="14">
        <f>'Raw Data'!C381</f>
        <v/>
      </c>
      <c r="D381" s="15">
        <f>'Raw Data'!M381</f>
        <v/>
      </c>
      <c r="E381" s="18">
        <f>'Raw Data'!M381/'Raw Data'!L381*100</f>
        <v/>
      </c>
      <c r="F381" s="14">
        <f>IF(E381&gt;15,"Wet Year",IF(E381&lt;-15,"Dry Year","Normal Year"))</f>
        <v/>
      </c>
      <c r="G381" s="16">
        <f>'Raw Data'!I381</f>
        <v/>
      </c>
      <c r="H381" s="14">
        <f>IF(G381&lt;15,"Low Variability",IF(G381&lt;=35,"Moderate Variability","High Variability"))</f>
        <v/>
      </c>
      <c r="I381" s="18">
        <f>'Raw Data'!O381</f>
        <v/>
      </c>
      <c r="J381" s="14">
        <f>IF(I381=0,"No Flood",IF(I381&lt;=0.5,"Low",IF(I381&lt;=2,"Moderate","High")))</f>
        <v/>
      </c>
    </row>
    <row r="382" ht="15" customHeight="1" s="12">
      <c r="A382" s="14">
        <f>'Raw Data'!A382</f>
        <v/>
      </c>
      <c r="B382" s="14">
        <f>'Raw Data'!B382</f>
        <v/>
      </c>
      <c r="C382" s="14">
        <f>'Raw Data'!C382</f>
        <v/>
      </c>
      <c r="D382" s="15">
        <f>'Raw Data'!M382</f>
        <v/>
      </c>
      <c r="E382" s="18">
        <f>'Raw Data'!M382/'Raw Data'!L382*100</f>
        <v/>
      </c>
      <c r="F382" s="14">
        <f>IF(E382&gt;15,"Wet Year",IF(E382&lt;-15,"Dry Year","Normal Year"))</f>
        <v/>
      </c>
      <c r="G382" s="16">
        <f>'Raw Data'!I382</f>
        <v/>
      </c>
      <c r="H382" s="14">
        <f>IF(G382&lt;15,"Low Variability",IF(G382&lt;=35,"Moderate Variability","High Variability"))</f>
        <v/>
      </c>
      <c r="I382" s="18">
        <f>'Raw Data'!O382</f>
        <v/>
      </c>
      <c r="J382" s="14">
        <f>IF(I382=0,"No Flood",IF(I382&lt;=0.5,"Low",IF(I382&lt;=2,"Moderate","High")))</f>
        <v/>
      </c>
    </row>
    <row r="383" ht="15" customHeight="1" s="12">
      <c r="A383" s="14">
        <f>'Raw Data'!A383</f>
        <v/>
      </c>
      <c r="B383" s="14">
        <f>'Raw Data'!B383</f>
        <v/>
      </c>
      <c r="C383" s="14">
        <f>'Raw Data'!C383</f>
        <v/>
      </c>
      <c r="D383" s="15">
        <f>'Raw Data'!M383</f>
        <v/>
      </c>
      <c r="E383" s="18">
        <f>'Raw Data'!M383/'Raw Data'!L383*100</f>
        <v/>
      </c>
      <c r="F383" s="14">
        <f>IF(E383&gt;15,"Wet Year",IF(E383&lt;-15,"Dry Year","Normal Year"))</f>
        <v/>
      </c>
      <c r="G383" s="16">
        <f>'Raw Data'!I383</f>
        <v/>
      </c>
      <c r="H383" s="14">
        <f>IF(G383&lt;15,"Low Variability",IF(G383&lt;=35,"Moderate Variability","High Variability"))</f>
        <v/>
      </c>
      <c r="I383" s="18">
        <f>'Raw Data'!O383</f>
        <v/>
      </c>
      <c r="J383" s="14">
        <f>IF(I383=0,"No Flood",IF(I383&lt;=0.5,"Low",IF(I383&lt;=2,"Moderate","High")))</f>
        <v/>
      </c>
    </row>
    <row r="384" ht="15" customHeight="1" s="12">
      <c r="A384" s="14">
        <f>'Raw Data'!A384</f>
        <v/>
      </c>
      <c r="B384" s="14">
        <f>'Raw Data'!B384</f>
        <v/>
      </c>
      <c r="C384" s="14">
        <f>'Raw Data'!C384</f>
        <v/>
      </c>
      <c r="D384" s="15">
        <f>'Raw Data'!M384</f>
        <v/>
      </c>
      <c r="E384" s="18">
        <f>'Raw Data'!M384/'Raw Data'!L384*100</f>
        <v/>
      </c>
      <c r="F384" s="14">
        <f>IF(E384&gt;15,"Wet Year",IF(E384&lt;-15,"Dry Year","Normal Year"))</f>
        <v/>
      </c>
      <c r="G384" s="16">
        <f>'Raw Data'!I384</f>
        <v/>
      </c>
      <c r="H384" s="14">
        <f>IF(G384&lt;15,"Low Variability",IF(G384&lt;=35,"Moderate Variability","High Variability"))</f>
        <v/>
      </c>
      <c r="I384" s="18">
        <f>'Raw Data'!O384</f>
        <v/>
      </c>
      <c r="J384" s="14">
        <f>IF(I384=0,"No Flood",IF(I384&lt;=0.5,"Low",IF(I384&lt;=2,"Moderate","High")))</f>
        <v/>
      </c>
    </row>
    <row r="385" ht="15" customHeight="1" s="12">
      <c r="A385" s="14">
        <f>'Raw Data'!A385</f>
        <v/>
      </c>
      <c r="B385" s="14">
        <f>'Raw Data'!B385</f>
        <v/>
      </c>
      <c r="C385" s="14">
        <f>'Raw Data'!C385</f>
        <v/>
      </c>
      <c r="D385" s="15">
        <f>'Raw Data'!M385</f>
        <v/>
      </c>
      <c r="E385" s="18">
        <f>'Raw Data'!M385/'Raw Data'!L385*100</f>
        <v/>
      </c>
      <c r="F385" s="14">
        <f>IF(E385&gt;15,"Wet Year",IF(E385&lt;-15,"Dry Year","Normal Year"))</f>
        <v/>
      </c>
      <c r="G385" s="16">
        <f>'Raw Data'!I385</f>
        <v/>
      </c>
      <c r="H385" s="14">
        <f>IF(G385&lt;15,"Low Variability",IF(G385&lt;=35,"Moderate Variability","High Variability"))</f>
        <v/>
      </c>
      <c r="I385" s="18">
        <f>'Raw Data'!O385</f>
        <v/>
      </c>
      <c r="J385" s="14">
        <f>IF(I385=0,"No Flood",IF(I385&lt;=0.5,"Low",IF(I385&lt;=2,"Moderate","High")))</f>
        <v/>
      </c>
    </row>
    <row r="386" ht="15" customHeight="1" s="12">
      <c r="A386" s="14">
        <f>'Raw Data'!A386</f>
        <v/>
      </c>
      <c r="B386" s="14">
        <f>'Raw Data'!B386</f>
        <v/>
      </c>
      <c r="C386" s="14">
        <f>'Raw Data'!C386</f>
        <v/>
      </c>
      <c r="D386" s="15">
        <f>'Raw Data'!M386</f>
        <v/>
      </c>
      <c r="E386" s="18">
        <f>'Raw Data'!M386/'Raw Data'!L386*100</f>
        <v/>
      </c>
      <c r="F386" s="14">
        <f>IF(E386&gt;15,"Wet Year",IF(E386&lt;-15,"Dry Year","Normal Year"))</f>
        <v/>
      </c>
      <c r="G386" s="16">
        <f>'Raw Data'!I386</f>
        <v/>
      </c>
      <c r="H386" s="14">
        <f>IF(G386&lt;15,"Low Variability",IF(G386&lt;=35,"Moderate Variability","High Variability"))</f>
        <v/>
      </c>
      <c r="I386" s="18">
        <f>'Raw Data'!O386</f>
        <v/>
      </c>
      <c r="J386" s="14">
        <f>IF(I386=0,"No Flood",IF(I386&lt;=0.5,"Low",IF(I386&lt;=2,"Moderate","High")))</f>
        <v/>
      </c>
    </row>
    <row r="387" ht="15" customHeight="1" s="12">
      <c r="A387" s="14">
        <f>'Raw Data'!A387</f>
        <v/>
      </c>
      <c r="B387" s="14">
        <f>'Raw Data'!B387</f>
        <v/>
      </c>
      <c r="C387" s="14">
        <f>'Raw Data'!C387</f>
        <v/>
      </c>
      <c r="D387" s="15">
        <f>'Raw Data'!M387</f>
        <v/>
      </c>
      <c r="E387" s="18">
        <f>'Raw Data'!M387/'Raw Data'!L387*100</f>
        <v/>
      </c>
      <c r="F387" s="14">
        <f>IF(E387&gt;15,"Wet Year",IF(E387&lt;-15,"Dry Year","Normal Year"))</f>
        <v/>
      </c>
      <c r="G387" s="16">
        <f>'Raw Data'!I387</f>
        <v/>
      </c>
      <c r="H387" s="14">
        <f>IF(G387&lt;15,"Low Variability",IF(G387&lt;=35,"Moderate Variability","High Variability"))</f>
        <v/>
      </c>
      <c r="I387" s="18">
        <f>'Raw Data'!O387</f>
        <v/>
      </c>
      <c r="J387" s="14">
        <f>IF(I387=0,"No Flood",IF(I387&lt;=0.5,"Low",IF(I387&lt;=2,"Moderate","High")))</f>
        <v/>
      </c>
    </row>
    <row r="388" ht="15" customHeight="1" s="12">
      <c r="A388" s="14">
        <f>'Raw Data'!A388</f>
        <v/>
      </c>
      <c r="B388" s="14">
        <f>'Raw Data'!B388</f>
        <v/>
      </c>
      <c r="C388" s="14">
        <f>'Raw Data'!C388</f>
        <v/>
      </c>
      <c r="D388" s="15">
        <f>'Raw Data'!M388</f>
        <v/>
      </c>
      <c r="E388" s="18">
        <f>'Raw Data'!M388/'Raw Data'!L388*100</f>
        <v/>
      </c>
      <c r="F388" s="14">
        <f>IF(E388&gt;15,"Wet Year",IF(E388&lt;-15,"Dry Year","Normal Year"))</f>
        <v/>
      </c>
      <c r="G388" s="16">
        <f>'Raw Data'!I388</f>
        <v/>
      </c>
      <c r="H388" s="14">
        <f>IF(G388&lt;15,"Low Variability",IF(G388&lt;=35,"Moderate Variability","High Variability"))</f>
        <v/>
      </c>
      <c r="I388" s="18">
        <f>'Raw Data'!O388</f>
        <v/>
      </c>
      <c r="J388" s="14">
        <f>IF(I388=0,"No Flood",IF(I388&lt;=0.5,"Low",IF(I388&lt;=2,"Moderate","High")))</f>
        <v/>
      </c>
    </row>
    <row r="389" ht="15" customHeight="1" s="12">
      <c r="A389" s="14">
        <f>'Raw Data'!A389</f>
        <v/>
      </c>
      <c r="B389" s="14">
        <f>'Raw Data'!B389</f>
        <v/>
      </c>
      <c r="C389" s="14">
        <f>'Raw Data'!C389</f>
        <v/>
      </c>
      <c r="D389" s="15">
        <f>'Raw Data'!M389</f>
        <v/>
      </c>
      <c r="E389" s="18">
        <f>'Raw Data'!M389/'Raw Data'!L389*100</f>
        <v/>
      </c>
      <c r="F389" s="14">
        <f>IF(E389&gt;15,"Wet Year",IF(E389&lt;-15,"Dry Year","Normal Year"))</f>
        <v/>
      </c>
      <c r="G389" s="16">
        <f>'Raw Data'!I389</f>
        <v/>
      </c>
      <c r="H389" s="14">
        <f>IF(G389&lt;15,"Low Variability",IF(G389&lt;=35,"Moderate Variability","High Variability"))</f>
        <v/>
      </c>
      <c r="I389" s="18">
        <f>'Raw Data'!O389</f>
        <v/>
      </c>
      <c r="J389" s="14">
        <f>IF(I389=0,"No Flood",IF(I389&lt;=0.5,"Low",IF(I389&lt;=2,"Moderate","High")))</f>
        <v/>
      </c>
    </row>
    <row r="390" ht="15" customHeight="1" s="12">
      <c r="A390" s="14">
        <f>'Raw Data'!A390</f>
        <v/>
      </c>
      <c r="B390" s="14">
        <f>'Raw Data'!B390</f>
        <v/>
      </c>
      <c r="C390" s="14">
        <f>'Raw Data'!C390</f>
        <v/>
      </c>
      <c r="D390" s="15">
        <f>'Raw Data'!M390</f>
        <v/>
      </c>
      <c r="E390" s="18">
        <f>'Raw Data'!M390/'Raw Data'!L390*100</f>
        <v/>
      </c>
      <c r="F390" s="14">
        <f>IF(E390&gt;15,"Wet Year",IF(E390&lt;-15,"Dry Year","Normal Year"))</f>
        <v/>
      </c>
      <c r="G390" s="16">
        <f>'Raw Data'!I390</f>
        <v/>
      </c>
      <c r="H390" s="14">
        <f>IF(G390&lt;15,"Low Variability",IF(G390&lt;=35,"Moderate Variability","High Variability"))</f>
        <v/>
      </c>
      <c r="I390" s="18">
        <f>'Raw Data'!O390</f>
        <v/>
      </c>
      <c r="J390" s="14">
        <f>IF(I390=0,"No Flood",IF(I390&lt;=0.5,"Low",IF(I390&lt;=2,"Moderate","High")))</f>
        <v/>
      </c>
    </row>
    <row r="391" ht="15" customHeight="1" s="12">
      <c r="A391" s="14">
        <f>'Raw Data'!A391</f>
        <v/>
      </c>
      <c r="B391" s="14">
        <f>'Raw Data'!B391</f>
        <v/>
      </c>
      <c r="C391" s="14">
        <f>'Raw Data'!C391</f>
        <v/>
      </c>
      <c r="D391" s="15">
        <f>'Raw Data'!M391</f>
        <v/>
      </c>
      <c r="E391" s="18">
        <f>'Raw Data'!M391/'Raw Data'!L391*100</f>
        <v/>
      </c>
      <c r="F391" s="14">
        <f>IF(E391&gt;15,"Wet Year",IF(E391&lt;-15,"Dry Year","Normal Year"))</f>
        <v/>
      </c>
      <c r="G391" s="16">
        <f>'Raw Data'!I391</f>
        <v/>
      </c>
      <c r="H391" s="14">
        <f>IF(G391&lt;15,"Low Variability",IF(G391&lt;=35,"Moderate Variability","High Variability"))</f>
        <v/>
      </c>
      <c r="I391" s="18">
        <f>'Raw Data'!O391</f>
        <v/>
      </c>
      <c r="J391" s="14">
        <f>IF(I391=0,"No Flood",IF(I391&lt;=0.5,"Low",IF(I391&lt;=2,"Moderate","High")))</f>
        <v/>
      </c>
    </row>
    <row r="392" ht="15" customHeight="1" s="12">
      <c r="A392" s="14">
        <f>'Raw Data'!A392</f>
        <v/>
      </c>
      <c r="B392" s="14">
        <f>'Raw Data'!B392</f>
        <v/>
      </c>
      <c r="C392" s="14">
        <f>'Raw Data'!C392</f>
        <v/>
      </c>
      <c r="D392" s="15">
        <f>'Raw Data'!M392</f>
        <v/>
      </c>
      <c r="E392" s="18">
        <f>'Raw Data'!M392/'Raw Data'!L392*100</f>
        <v/>
      </c>
      <c r="F392" s="14">
        <f>IF(E392&gt;15,"Wet Year",IF(E392&lt;-15,"Dry Year","Normal Year"))</f>
        <v/>
      </c>
      <c r="G392" s="16">
        <f>'Raw Data'!I392</f>
        <v/>
      </c>
      <c r="H392" s="14">
        <f>IF(G392&lt;15,"Low Variability",IF(G392&lt;=35,"Moderate Variability","High Variability"))</f>
        <v/>
      </c>
      <c r="I392" s="18">
        <f>'Raw Data'!O392</f>
        <v/>
      </c>
      <c r="J392" s="14">
        <f>IF(I392=0,"No Flood",IF(I392&lt;=0.5,"Low",IF(I392&lt;=2,"Moderate","High")))</f>
        <v/>
      </c>
    </row>
    <row r="393" ht="15" customHeight="1" s="12">
      <c r="A393" s="14">
        <f>'Raw Data'!A393</f>
        <v/>
      </c>
      <c r="B393" s="14">
        <f>'Raw Data'!B393</f>
        <v/>
      </c>
      <c r="C393" s="14">
        <f>'Raw Data'!C393</f>
        <v/>
      </c>
      <c r="D393" s="15">
        <f>'Raw Data'!M393</f>
        <v/>
      </c>
      <c r="E393" s="18">
        <f>'Raw Data'!M393/'Raw Data'!L393*100</f>
        <v/>
      </c>
      <c r="F393" s="14">
        <f>IF(E393&gt;15,"Wet Year",IF(E393&lt;-15,"Dry Year","Normal Year"))</f>
        <v/>
      </c>
      <c r="G393" s="16">
        <f>'Raw Data'!I393</f>
        <v/>
      </c>
      <c r="H393" s="14">
        <f>IF(G393&lt;15,"Low Variability",IF(G393&lt;=35,"Moderate Variability","High Variability"))</f>
        <v/>
      </c>
      <c r="I393" s="18">
        <f>'Raw Data'!O393</f>
        <v/>
      </c>
      <c r="J393" s="14">
        <f>IF(I393=0,"No Flood",IF(I393&lt;=0.5,"Low",IF(I393&lt;=2,"Moderate","High")))</f>
        <v/>
      </c>
    </row>
    <row r="394" ht="15" customHeight="1" s="12">
      <c r="A394" s="14">
        <f>'Raw Data'!A394</f>
        <v/>
      </c>
      <c r="B394" s="14">
        <f>'Raw Data'!B394</f>
        <v/>
      </c>
      <c r="C394" s="14">
        <f>'Raw Data'!C394</f>
        <v/>
      </c>
      <c r="D394" s="15">
        <f>'Raw Data'!M394</f>
        <v/>
      </c>
      <c r="E394" s="18">
        <f>'Raw Data'!M394/'Raw Data'!L394*100</f>
        <v/>
      </c>
      <c r="F394" s="14">
        <f>IF(E394&gt;15,"Wet Year",IF(E394&lt;-15,"Dry Year","Normal Year"))</f>
        <v/>
      </c>
      <c r="G394" s="16">
        <f>'Raw Data'!I394</f>
        <v/>
      </c>
      <c r="H394" s="14">
        <f>IF(G394&lt;15,"Low Variability",IF(G394&lt;=35,"Moderate Variability","High Variability"))</f>
        <v/>
      </c>
      <c r="I394" s="18">
        <f>'Raw Data'!O394</f>
        <v/>
      </c>
      <c r="J394" s="14">
        <f>IF(I394=0,"No Flood",IF(I394&lt;=0.5,"Low",IF(I394&lt;=2,"Moderate","High")))</f>
        <v/>
      </c>
    </row>
    <row r="395" ht="15" customHeight="1" s="12">
      <c r="A395" s="14">
        <f>'Raw Data'!A395</f>
        <v/>
      </c>
      <c r="B395" s="14">
        <f>'Raw Data'!B395</f>
        <v/>
      </c>
      <c r="C395" s="14">
        <f>'Raw Data'!C395</f>
        <v/>
      </c>
      <c r="D395" s="15">
        <f>'Raw Data'!M395</f>
        <v/>
      </c>
      <c r="E395" s="18">
        <f>'Raw Data'!M395/'Raw Data'!L395*100</f>
        <v/>
      </c>
      <c r="F395" s="14">
        <f>IF(E395&gt;15,"Wet Year",IF(E395&lt;-15,"Dry Year","Normal Year"))</f>
        <v/>
      </c>
      <c r="G395" s="16">
        <f>'Raw Data'!I395</f>
        <v/>
      </c>
      <c r="H395" s="14">
        <f>IF(G395&lt;15,"Low Variability",IF(G395&lt;=35,"Moderate Variability","High Variability"))</f>
        <v/>
      </c>
      <c r="I395" s="18">
        <f>'Raw Data'!O395</f>
        <v/>
      </c>
      <c r="J395" s="14">
        <f>IF(I395=0,"No Flood",IF(I395&lt;=0.5,"Low",IF(I395&lt;=2,"Moderate","High")))</f>
        <v/>
      </c>
    </row>
    <row r="396" ht="15" customHeight="1" s="12">
      <c r="A396" s="14">
        <f>'Raw Data'!A396</f>
        <v/>
      </c>
      <c r="B396" s="14">
        <f>'Raw Data'!B396</f>
        <v/>
      </c>
      <c r="C396" s="14">
        <f>'Raw Data'!C396</f>
        <v/>
      </c>
      <c r="D396" s="15">
        <f>'Raw Data'!M396</f>
        <v/>
      </c>
      <c r="E396" s="18">
        <f>'Raw Data'!M396/'Raw Data'!L396*100</f>
        <v/>
      </c>
      <c r="F396" s="14">
        <f>IF(E396&gt;15,"Wet Year",IF(E396&lt;-15,"Dry Year","Normal Year"))</f>
        <v/>
      </c>
      <c r="G396" s="16">
        <f>'Raw Data'!I396</f>
        <v/>
      </c>
      <c r="H396" s="14">
        <f>IF(G396&lt;15,"Low Variability",IF(G396&lt;=35,"Moderate Variability","High Variability"))</f>
        <v/>
      </c>
      <c r="I396" s="18">
        <f>'Raw Data'!O396</f>
        <v/>
      </c>
      <c r="J396" s="14">
        <f>IF(I396=0,"No Flood",IF(I396&lt;=0.5,"Low",IF(I396&lt;=2,"Moderate","High")))</f>
        <v/>
      </c>
    </row>
    <row r="397" ht="15" customHeight="1" s="12">
      <c r="A397" s="14">
        <f>'Raw Data'!A397</f>
        <v/>
      </c>
      <c r="B397" s="14">
        <f>'Raw Data'!B397</f>
        <v/>
      </c>
      <c r="C397" s="14">
        <f>'Raw Data'!C397</f>
        <v/>
      </c>
      <c r="D397" s="15">
        <f>'Raw Data'!M397</f>
        <v/>
      </c>
      <c r="E397" s="18">
        <f>'Raw Data'!M397/'Raw Data'!L397*100</f>
        <v/>
      </c>
      <c r="F397" s="14">
        <f>IF(E397&gt;15,"Wet Year",IF(E397&lt;-15,"Dry Year","Normal Year"))</f>
        <v/>
      </c>
      <c r="G397" s="16">
        <f>'Raw Data'!I397</f>
        <v/>
      </c>
      <c r="H397" s="14">
        <f>IF(G397&lt;15,"Low Variability",IF(G397&lt;=35,"Moderate Variability","High Variability"))</f>
        <v/>
      </c>
      <c r="I397" s="18">
        <f>'Raw Data'!O397</f>
        <v/>
      </c>
      <c r="J397" s="14">
        <f>IF(I397=0,"No Flood",IF(I397&lt;=0.5,"Low",IF(I397&lt;=2,"Moderate","High")))</f>
        <v/>
      </c>
    </row>
    <row r="398" ht="15" customHeight="1" s="12">
      <c r="A398" s="14">
        <f>'Raw Data'!A398</f>
        <v/>
      </c>
      <c r="B398" s="14">
        <f>'Raw Data'!B398</f>
        <v/>
      </c>
      <c r="C398" s="14">
        <f>'Raw Data'!C398</f>
        <v/>
      </c>
      <c r="D398" s="15">
        <f>'Raw Data'!M398</f>
        <v/>
      </c>
      <c r="E398" s="18">
        <f>'Raw Data'!M398/'Raw Data'!L398*100</f>
        <v/>
      </c>
      <c r="F398" s="14">
        <f>IF(E398&gt;15,"Wet Year",IF(E398&lt;-15,"Dry Year","Normal Year"))</f>
        <v/>
      </c>
      <c r="G398" s="16">
        <f>'Raw Data'!I398</f>
        <v/>
      </c>
      <c r="H398" s="14">
        <f>IF(G398&lt;15,"Low Variability",IF(G398&lt;=35,"Moderate Variability","High Variability"))</f>
        <v/>
      </c>
      <c r="I398" s="18">
        <f>'Raw Data'!O398</f>
        <v/>
      </c>
      <c r="J398" s="14">
        <f>IF(I398=0,"No Flood",IF(I398&lt;=0.5,"Low",IF(I398&lt;=2,"Moderate","High")))</f>
        <v/>
      </c>
    </row>
    <row r="399" ht="15" customHeight="1" s="12">
      <c r="A399" s="14">
        <f>'Raw Data'!A399</f>
        <v/>
      </c>
      <c r="B399" s="14">
        <f>'Raw Data'!B399</f>
        <v/>
      </c>
      <c r="C399" s="14">
        <f>'Raw Data'!C399</f>
        <v/>
      </c>
      <c r="D399" s="15">
        <f>'Raw Data'!M399</f>
        <v/>
      </c>
      <c r="E399" s="18">
        <f>'Raw Data'!M399/'Raw Data'!L399*100</f>
        <v/>
      </c>
      <c r="F399" s="14">
        <f>IF(E399&gt;15,"Wet Year",IF(E399&lt;-15,"Dry Year","Normal Year"))</f>
        <v/>
      </c>
      <c r="G399" s="16">
        <f>'Raw Data'!I399</f>
        <v/>
      </c>
      <c r="H399" s="14">
        <f>IF(G399&lt;15,"Low Variability",IF(G399&lt;=35,"Moderate Variability","High Variability"))</f>
        <v/>
      </c>
      <c r="I399" s="18">
        <f>'Raw Data'!O399</f>
        <v/>
      </c>
      <c r="J399" s="14">
        <f>IF(I399=0,"No Flood",IF(I399&lt;=0.5,"Low",IF(I399&lt;=2,"Moderate","High")))</f>
        <v/>
      </c>
    </row>
    <row r="400" ht="15" customHeight="1" s="12">
      <c r="A400" s="14">
        <f>'Raw Data'!A400</f>
        <v/>
      </c>
      <c r="B400" s="14">
        <f>'Raw Data'!B400</f>
        <v/>
      </c>
      <c r="C400" s="14">
        <f>'Raw Data'!C400</f>
        <v/>
      </c>
      <c r="D400" s="15">
        <f>'Raw Data'!M400</f>
        <v/>
      </c>
      <c r="E400" s="18">
        <f>'Raw Data'!M400/'Raw Data'!L400*100</f>
        <v/>
      </c>
      <c r="F400" s="14">
        <f>IF(E400&gt;15,"Wet Year",IF(E400&lt;-15,"Dry Year","Normal Year"))</f>
        <v/>
      </c>
      <c r="G400" s="16">
        <f>'Raw Data'!I400</f>
        <v/>
      </c>
      <c r="H400" s="14">
        <f>IF(G400&lt;15,"Low Variability",IF(G400&lt;=35,"Moderate Variability","High Variability"))</f>
        <v/>
      </c>
      <c r="I400" s="18">
        <f>'Raw Data'!O400</f>
        <v/>
      </c>
      <c r="J400" s="14">
        <f>IF(I400=0,"No Flood",IF(I400&lt;=0.5,"Low",IF(I400&lt;=2,"Moderate","High")))</f>
        <v/>
      </c>
    </row>
    <row r="401" ht="15" customHeight="1" s="12">
      <c r="A401" s="14">
        <f>'Raw Data'!A401</f>
        <v/>
      </c>
      <c r="B401" s="14">
        <f>'Raw Data'!B401</f>
        <v/>
      </c>
      <c r="C401" s="14">
        <f>'Raw Data'!C401</f>
        <v/>
      </c>
      <c r="D401" s="15">
        <f>'Raw Data'!M401</f>
        <v/>
      </c>
      <c r="E401" s="18">
        <f>'Raw Data'!M401/'Raw Data'!L401*100</f>
        <v/>
      </c>
      <c r="F401" s="14">
        <f>IF(E401&gt;15,"Wet Year",IF(E401&lt;-15,"Dry Year","Normal Year"))</f>
        <v/>
      </c>
      <c r="G401" s="16">
        <f>'Raw Data'!I401</f>
        <v/>
      </c>
      <c r="H401" s="14">
        <f>IF(G401&lt;15,"Low Variability",IF(G401&lt;=35,"Moderate Variability","High Variability"))</f>
        <v/>
      </c>
      <c r="I401" s="18">
        <f>'Raw Data'!O401</f>
        <v/>
      </c>
      <c r="J401" s="14">
        <f>IF(I401=0,"No Flood",IF(I401&lt;=0.5,"Low",IF(I401&lt;=2,"Moderate","High")))</f>
        <v/>
      </c>
    </row>
    <row r="402" ht="15" customHeight="1" s="12">
      <c r="A402" s="14">
        <f>'Raw Data'!A402</f>
        <v/>
      </c>
      <c r="B402" s="14">
        <f>'Raw Data'!B402</f>
        <v/>
      </c>
      <c r="C402" s="14">
        <f>'Raw Data'!C402</f>
        <v/>
      </c>
      <c r="D402" s="15">
        <f>'Raw Data'!M402</f>
        <v/>
      </c>
      <c r="E402" s="18">
        <f>'Raw Data'!M402/'Raw Data'!L402*100</f>
        <v/>
      </c>
      <c r="F402" s="14">
        <f>IF(E402&gt;15,"Wet Year",IF(E402&lt;-15,"Dry Year","Normal Year"))</f>
        <v/>
      </c>
      <c r="G402" s="16">
        <f>'Raw Data'!I402</f>
        <v/>
      </c>
      <c r="H402" s="14">
        <f>IF(G402&lt;15,"Low Variability",IF(G402&lt;=35,"Moderate Variability","High Variability"))</f>
        <v/>
      </c>
      <c r="I402" s="18">
        <f>'Raw Data'!O402</f>
        <v/>
      </c>
      <c r="J402" s="14">
        <f>IF(I402=0,"No Flood",IF(I402&lt;=0.5,"Low",IF(I402&lt;=2,"Moderate","High")))</f>
        <v/>
      </c>
    </row>
    <row r="403" ht="15" customHeight="1" s="12">
      <c r="A403" s="14">
        <f>'Raw Data'!A403</f>
        <v/>
      </c>
      <c r="B403" s="14">
        <f>'Raw Data'!B403</f>
        <v/>
      </c>
      <c r="C403" s="14">
        <f>'Raw Data'!C403</f>
        <v/>
      </c>
      <c r="D403" s="15">
        <f>'Raw Data'!M403</f>
        <v/>
      </c>
      <c r="E403" s="18">
        <f>'Raw Data'!M403/'Raw Data'!L403*100</f>
        <v/>
      </c>
      <c r="F403" s="14">
        <f>IF(E403&gt;15,"Wet Year",IF(E403&lt;-15,"Dry Year","Normal Year"))</f>
        <v/>
      </c>
      <c r="G403" s="16">
        <f>'Raw Data'!I403</f>
        <v/>
      </c>
      <c r="H403" s="14">
        <f>IF(G403&lt;15,"Low Variability",IF(G403&lt;=35,"Moderate Variability","High Variability"))</f>
        <v/>
      </c>
      <c r="I403" s="18">
        <f>'Raw Data'!O403</f>
        <v/>
      </c>
      <c r="J403" s="14">
        <f>IF(I403=0,"No Flood",IF(I403&lt;=0.5,"Low",IF(I403&lt;=2,"Moderate","High")))</f>
        <v/>
      </c>
    </row>
    <row r="404" ht="15" customHeight="1" s="12">
      <c r="A404" s="14">
        <f>'Raw Data'!A404</f>
        <v/>
      </c>
      <c r="B404" s="14">
        <f>'Raw Data'!B404</f>
        <v/>
      </c>
      <c r="C404" s="14">
        <f>'Raw Data'!C404</f>
        <v/>
      </c>
      <c r="D404" s="15">
        <f>'Raw Data'!M404</f>
        <v/>
      </c>
      <c r="E404" s="18">
        <f>'Raw Data'!M404/'Raw Data'!L404*100</f>
        <v/>
      </c>
      <c r="F404" s="14">
        <f>IF(E404&gt;15,"Wet Year",IF(E404&lt;-15,"Dry Year","Normal Year"))</f>
        <v/>
      </c>
      <c r="G404" s="16">
        <f>'Raw Data'!I404</f>
        <v/>
      </c>
      <c r="H404" s="14">
        <f>IF(G404&lt;15,"Low Variability",IF(G404&lt;=35,"Moderate Variability","High Variability"))</f>
        <v/>
      </c>
      <c r="I404" s="18">
        <f>'Raw Data'!O404</f>
        <v/>
      </c>
      <c r="J404" s="14">
        <f>IF(I404=0,"No Flood",IF(I404&lt;=0.5,"Low",IF(I404&lt;=2,"Moderate","High")))</f>
        <v/>
      </c>
    </row>
    <row r="405" ht="15" customHeight="1" s="12">
      <c r="A405" s="14">
        <f>'Raw Data'!A405</f>
        <v/>
      </c>
      <c r="B405" s="14">
        <f>'Raw Data'!B405</f>
        <v/>
      </c>
      <c r="C405" s="14">
        <f>'Raw Data'!C405</f>
        <v/>
      </c>
      <c r="D405" s="15">
        <f>'Raw Data'!M405</f>
        <v/>
      </c>
      <c r="E405" s="18">
        <f>'Raw Data'!M405/'Raw Data'!L405*100</f>
        <v/>
      </c>
      <c r="F405" s="14">
        <f>IF(E405&gt;15,"Wet Year",IF(E405&lt;-15,"Dry Year","Normal Year"))</f>
        <v/>
      </c>
      <c r="G405" s="16">
        <f>'Raw Data'!I405</f>
        <v/>
      </c>
      <c r="H405" s="14">
        <f>IF(G405&lt;15,"Low Variability",IF(G405&lt;=35,"Moderate Variability","High Variability"))</f>
        <v/>
      </c>
      <c r="I405" s="18">
        <f>'Raw Data'!O405</f>
        <v/>
      </c>
      <c r="J405" s="14">
        <f>IF(I405=0,"No Flood",IF(I405&lt;=0.5,"Low",IF(I405&lt;=2,"Moderate","High")))</f>
        <v/>
      </c>
    </row>
    <row r="406" ht="15" customHeight="1" s="12">
      <c r="A406" s="14">
        <f>'Raw Data'!A406</f>
        <v/>
      </c>
      <c r="B406" s="14">
        <f>'Raw Data'!B406</f>
        <v/>
      </c>
      <c r="C406" s="14">
        <f>'Raw Data'!C406</f>
        <v/>
      </c>
      <c r="D406" s="15">
        <f>'Raw Data'!M406</f>
        <v/>
      </c>
      <c r="E406" s="18">
        <f>'Raw Data'!M406/'Raw Data'!L406*100</f>
        <v/>
      </c>
      <c r="F406" s="14">
        <f>IF(E406&gt;15,"Wet Year",IF(E406&lt;-15,"Dry Year","Normal Year"))</f>
        <v/>
      </c>
      <c r="G406" s="16">
        <f>'Raw Data'!I406</f>
        <v/>
      </c>
      <c r="H406" s="14">
        <f>IF(G406&lt;15,"Low Variability",IF(G406&lt;=35,"Moderate Variability","High Variability"))</f>
        <v/>
      </c>
      <c r="I406" s="18">
        <f>'Raw Data'!O406</f>
        <v/>
      </c>
      <c r="J406" s="14">
        <f>IF(I406=0,"No Flood",IF(I406&lt;=0.5,"Low",IF(I406&lt;=2,"Moderate","High")))</f>
        <v/>
      </c>
    </row>
    <row r="407" ht="15" customHeight="1" s="12">
      <c r="A407" s="14">
        <f>'Raw Data'!A407</f>
        <v/>
      </c>
      <c r="B407" s="14">
        <f>'Raw Data'!B407</f>
        <v/>
      </c>
      <c r="C407" s="14">
        <f>'Raw Data'!C407</f>
        <v/>
      </c>
      <c r="D407" s="15">
        <f>'Raw Data'!M407</f>
        <v/>
      </c>
      <c r="E407" s="18">
        <f>'Raw Data'!M407/'Raw Data'!L407*100</f>
        <v/>
      </c>
      <c r="F407" s="14">
        <f>IF(E407&gt;15,"Wet Year",IF(E407&lt;-15,"Dry Year","Normal Year"))</f>
        <v/>
      </c>
      <c r="G407" s="16">
        <f>'Raw Data'!I407</f>
        <v/>
      </c>
      <c r="H407" s="14">
        <f>IF(G407&lt;15,"Low Variability",IF(G407&lt;=35,"Moderate Variability","High Variability"))</f>
        <v/>
      </c>
      <c r="I407" s="18">
        <f>'Raw Data'!O407</f>
        <v/>
      </c>
      <c r="J407" s="14">
        <f>IF(I407=0,"No Flood",IF(I407&lt;=0.5,"Low",IF(I407&lt;=2,"Moderate","High")))</f>
        <v/>
      </c>
    </row>
    <row r="408" ht="15" customHeight="1" s="12">
      <c r="A408" s="14">
        <f>'Raw Data'!A408</f>
        <v/>
      </c>
      <c r="B408" s="14">
        <f>'Raw Data'!B408</f>
        <v/>
      </c>
      <c r="C408" s="14">
        <f>'Raw Data'!C408</f>
        <v/>
      </c>
      <c r="D408" s="15">
        <f>'Raw Data'!M408</f>
        <v/>
      </c>
      <c r="E408" s="18">
        <f>'Raw Data'!M408/'Raw Data'!L408*100</f>
        <v/>
      </c>
      <c r="F408" s="14">
        <f>IF(E408&gt;15,"Wet Year",IF(E408&lt;-15,"Dry Year","Normal Year"))</f>
        <v/>
      </c>
      <c r="G408" s="16">
        <f>'Raw Data'!I408</f>
        <v/>
      </c>
      <c r="H408" s="14">
        <f>IF(G408&lt;15,"Low Variability",IF(G408&lt;=35,"Moderate Variability","High Variability"))</f>
        <v/>
      </c>
      <c r="I408" s="18">
        <f>'Raw Data'!O408</f>
        <v/>
      </c>
      <c r="J408" s="14">
        <f>IF(I408=0,"No Flood",IF(I408&lt;=0.5,"Low",IF(I408&lt;=2,"Moderate","High")))</f>
        <v/>
      </c>
    </row>
    <row r="409" ht="15" customHeight="1" s="12">
      <c r="A409" s="14">
        <f>'Raw Data'!A409</f>
        <v/>
      </c>
      <c r="B409" s="14">
        <f>'Raw Data'!B409</f>
        <v/>
      </c>
      <c r="C409" s="14">
        <f>'Raw Data'!C409</f>
        <v/>
      </c>
      <c r="D409" s="15">
        <f>'Raw Data'!M409</f>
        <v/>
      </c>
      <c r="E409" s="18">
        <f>'Raw Data'!M409/'Raw Data'!L409*100</f>
        <v/>
      </c>
      <c r="F409" s="14">
        <f>IF(E409&gt;15,"Wet Year",IF(E409&lt;-15,"Dry Year","Normal Year"))</f>
        <v/>
      </c>
      <c r="G409" s="16">
        <f>'Raw Data'!I409</f>
        <v/>
      </c>
      <c r="H409" s="14">
        <f>IF(G409&lt;15,"Low Variability",IF(G409&lt;=35,"Moderate Variability","High Variability"))</f>
        <v/>
      </c>
      <c r="I409" s="18">
        <f>'Raw Data'!O409</f>
        <v/>
      </c>
      <c r="J409" s="14">
        <f>IF(I409=0,"No Flood",IF(I409&lt;=0.5,"Low",IF(I409&lt;=2,"Moderate","High")))</f>
        <v/>
      </c>
    </row>
    <row r="410" ht="15" customHeight="1" s="12">
      <c r="A410" s="14">
        <f>'Raw Data'!A410</f>
        <v/>
      </c>
      <c r="B410" s="14">
        <f>'Raw Data'!B410</f>
        <v/>
      </c>
      <c r="C410" s="14">
        <f>'Raw Data'!C410</f>
        <v/>
      </c>
      <c r="D410" s="15">
        <f>'Raw Data'!M410</f>
        <v/>
      </c>
      <c r="E410" s="18">
        <f>'Raw Data'!M410/'Raw Data'!L410*100</f>
        <v/>
      </c>
      <c r="F410" s="14">
        <f>IF(E410&gt;15,"Wet Year",IF(E410&lt;-15,"Dry Year","Normal Year"))</f>
        <v/>
      </c>
      <c r="G410" s="16">
        <f>'Raw Data'!I410</f>
        <v/>
      </c>
      <c r="H410" s="14">
        <f>IF(G410&lt;15,"Low Variability",IF(G410&lt;=35,"Moderate Variability","High Variability"))</f>
        <v/>
      </c>
      <c r="I410" s="18">
        <f>'Raw Data'!O410</f>
        <v/>
      </c>
      <c r="J410" s="14">
        <f>IF(I410=0,"No Flood",IF(I410&lt;=0.5,"Low",IF(I410&lt;=2,"Moderate","High")))</f>
        <v/>
      </c>
    </row>
    <row r="411" ht="15" customHeight="1" s="12">
      <c r="A411" s="14">
        <f>'Raw Data'!A411</f>
        <v/>
      </c>
      <c r="B411" s="14">
        <f>'Raw Data'!B411</f>
        <v/>
      </c>
      <c r="C411" s="14">
        <f>'Raw Data'!C411</f>
        <v/>
      </c>
      <c r="D411" s="15">
        <f>'Raw Data'!M411</f>
        <v/>
      </c>
      <c r="E411" s="18">
        <f>'Raw Data'!M411/'Raw Data'!L411*100</f>
        <v/>
      </c>
      <c r="F411" s="14">
        <f>IF(E411&gt;15,"Wet Year",IF(E411&lt;-15,"Dry Year","Normal Year"))</f>
        <v/>
      </c>
      <c r="G411" s="16">
        <f>'Raw Data'!I411</f>
        <v/>
      </c>
      <c r="H411" s="14">
        <f>IF(G411&lt;15,"Low Variability",IF(G411&lt;=35,"Moderate Variability","High Variability"))</f>
        <v/>
      </c>
      <c r="I411" s="18">
        <f>'Raw Data'!O411</f>
        <v/>
      </c>
      <c r="J411" s="14">
        <f>IF(I411=0,"No Flood",IF(I411&lt;=0.5,"Low",IF(I411&lt;=2,"Moderate","High")))</f>
        <v/>
      </c>
    </row>
    <row r="412" ht="15" customHeight="1" s="12">
      <c r="A412" s="14">
        <f>'Raw Data'!A412</f>
        <v/>
      </c>
      <c r="B412" s="14">
        <f>'Raw Data'!B412</f>
        <v/>
      </c>
      <c r="C412" s="14">
        <f>'Raw Data'!C412</f>
        <v/>
      </c>
      <c r="D412" s="15">
        <f>'Raw Data'!M412</f>
        <v/>
      </c>
      <c r="E412" s="18">
        <f>'Raw Data'!M412/'Raw Data'!L412*100</f>
        <v/>
      </c>
      <c r="F412" s="14">
        <f>IF(E412&gt;15,"Wet Year",IF(E412&lt;-15,"Dry Year","Normal Year"))</f>
        <v/>
      </c>
      <c r="G412" s="16">
        <f>'Raw Data'!I412</f>
        <v/>
      </c>
      <c r="H412" s="14">
        <f>IF(G412&lt;15,"Low Variability",IF(G412&lt;=35,"Moderate Variability","High Variability"))</f>
        <v/>
      </c>
      <c r="I412" s="18">
        <f>'Raw Data'!O412</f>
        <v/>
      </c>
      <c r="J412" s="14">
        <f>IF(I412=0,"No Flood",IF(I412&lt;=0.5,"Low",IF(I412&lt;=2,"Moderate","High")))</f>
        <v/>
      </c>
    </row>
    <row r="413" ht="15" customHeight="1" s="12">
      <c r="A413" s="14">
        <f>'Raw Data'!A413</f>
        <v/>
      </c>
      <c r="B413" s="14">
        <f>'Raw Data'!B413</f>
        <v/>
      </c>
      <c r="C413" s="14">
        <f>'Raw Data'!C413</f>
        <v/>
      </c>
      <c r="D413" s="15">
        <f>'Raw Data'!M413</f>
        <v/>
      </c>
      <c r="E413" s="18">
        <f>'Raw Data'!M413/'Raw Data'!L413*100</f>
        <v/>
      </c>
      <c r="F413" s="14">
        <f>IF(E413&gt;15,"Wet Year",IF(E413&lt;-15,"Dry Year","Normal Year"))</f>
        <v/>
      </c>
      <c r="G413" s="16">
        <f>'Raw Data'!I413</f>
        <v/>
      </c>
      <c r="H413" s="14">
        <f>IF(G413&lt;15,"Low Variability",IF(G413&lt;=35,"Moderate Variability","High Variability"))</f>
        <v/>
      </c>
      <c r="I413" s="18">
        <f>'Raw Data'!O413</f>
        <v/>
      </c>
      <c r="J413" s="14">
        <f>IF(I413=0,"No Flood",IF(I413&lt;=0.5,"Low",IF(I413&lt;=2,"Moderate","High")))</f>
        <v/>
      </c>
    </row>
    <row r="414" ht="15" customHeight="1" s="12">
      <c r="A414" s="14">
        <f>'Raw Data'!A414</f>
        <v/>
      </c>
      <c r="B414" s="14">
        <f>'Raw Data'!B414</f>
        <v/>
      </c>
      <c r="C414" s="14">
        <f>'Raw Data'!C414</f>
        <v/>
      </c>
      <c r="D414" s="15">
        <f>'Raw Data'!M414</f>
        <v/>
      </c>
      <c r="E414" s="18">
        <f>'Raw Data'!M414/'Raw Data'!L414*100</f>
        <v/>
      </c>
      <c r="F414" s="14">
        <f>IF(E414&gt;15,"Wet Year",IF(E414&lt;-15,"Dry Year","Normal Year"))</f>
        <v/>
      </c>
      <c r="G414" s="16">
        <f>'Raw Data'!I414</f>
        <v/>
      </c>
      <c r="H414" s="14">
        <f>IF(G414&lt;15,"Low Variability",IF(G414&lt;=35,"Moderate Variability","High Variability"))</f>
        <v/>
      </c>
      <c r="I414" s="18">
        <f>'Raw Data'!O414</f>
        <v/>
      </c>
      <c r="J414" s="14">
        <f>IF(I414=0,"No Flood",IF(I414&lt;=0.5,"Low",IF(I414&lt;=2,"Moderate","High")))</f>
        <v/>
      </c>
    </row>
    <row r="415" ht="15" customHeight="1" s="12">
      <c r="A415" s="14">
        <f>'Raw Data'!A415</f>
        <v/>
      </c>
      <c r="B415" s="14">
        <f>'Raw Data'!B415</f>
        <v/>
      </c>
      <c r="C415" s="14">
        <f>'Raw Data'!C415</f>
        <v/>
      </c>
      <c r="D415" s="15">
        <f>'Raw Data'!M415</f>
        <v/>
      </c>
      <c r="E415" s="18">
        <f>'Raw Data'!M415/'Raw Data'!L415*100</f>
        <v/>
      </c>
      <c r="F415" s="14">
        <f>IF(E415&gt;15,"Wet Year",IF(E415&lt;-15,"Dry Year","Normal Year"))</f>
        <v/>
      </c>
      <c r="G415" s="16">
        <f>'Raw Data'!I415</f>
        <v/>
      </c>
      <c r="H415" s="14">
        <f>IF(G415&lt;15,"Low Variability",IF(G415&lt;=35,"Moderate Variability","High Variability"))</f>
        <v/>
      </c>
      <c r="I415" s="18">
        <f>'Raw Data'!O415</f>
        <v/>
      </c>
      <c r="J415" s="14">
        <f>IF(I415=0,"No Flood",IF(I415&lt;=0.5,"Low",IF(I415&lt;=2,"Moderate","High")))</f>
        <v/>
      </c>
    </row>
    <row r="416" ht="15" customHeight="1" s="12">
      <c r="A416" s="14">
        <f>'Raw Data'!A416</f>
        <v/>
      </c>
      <c r="B416" s="14">
        <f>'Raw Data'!B416</f>
        <v/>
      </c>
      <c r="C416" s="14">
        <f>'Raw Data'!C416</f>
        <v/>
      </c>
      <c r="D416" s="15">
        <f>'Raw Data'!M416</f>
        <v/>
      </c>
      <c r="E416" s="18">
        <f>'Raw Data'!M416/'Raw Data'!L416*100</f>
        <v/>
      </c>
      <c r="F416" s="14">
        <f>IF(E416&gt;15,"Wet Year",IF(E416&lt;-15,"Dry Year","Normal Year"))</f>
        <v/>
      </c>
      <c r="G416" s="16">
        <f>'Raw Data'!I416</f>
        <v/>
      </c>
      <c r="H416" s="14">
        <f>IF(G416&lt;15,"Low Variability",IF(G416&lt;=35,"Moderate Variability","High Variability"))</f>
        <v/>
      </c>
      <c r="I416" s="18">
        <f>'Raw Data'!O416</f>
        <v/>
      </c>
      <c r="J416" s="14">
        <f>IF(I416=0,"No Flood",IF(I416&lt;=0.5,"Low",IF(I416&lt;=2,"Moderate","High")))</f>
        <v/>
      </c>
    </row>
    <row r="417" ht="15" customHeight="1" s="12">
      <c r="A417" s="14">
        <f>'Raw Data'!A417</f>
        <v/>
      </c>
      <c r="B417" s="14">
        <f>'Raw Data'!B417</f>
        <v/>
      </c>
      <c r="C417" s="14">
        <f>'Raw Data'!C417</f>
        <v/>
      </c>
      <c r="D417" s="15">
        <f>'Raw Data'!M417</f>
        <v/>
      </c>
      <c r="E417" s="18">
        <f>'Raw Data'!M417/'Raw Data'!L417*100</f>
        <v/>
      </c>
      <c r="F417" s="14">
        <f>IF(E417&gt;15,"Wet Year",IF(E417&lt;-15,"Dry Year","Normal Year"))</f>
        <v/>
      </c>
      <c r="G417" s="16">
        <f>'Raw Data'!I417</f>
        <v/>
      </c>
      <c r="H417" s="14">
        <f>IF(G417&lt;15,"Low Variability",IF(G417&lt;=35,"Moderate Variability","High Variability"))</f>
        <v/>
      </c>
      <c r="I417" s="18">
        <f>'Raw Data'!O417</f>
        <v/>
      </c>
      <c r="J417" s="14">
        <f>IF(I417=0,"No Flood",IF(I417&lt;=0.5,"Low",IF(I417&lt;=2,"Moderate","High")))</f>
        <v/>
      </c>
    </row>
    <row r="418" ht="15" customHeight="1" s="12">
      <c r="A418" s="14">
        <f>'Raw Data'!A418</f>
        <v/>
      </c>
      <c r="B418" s="14">
        <f>'Raw Data'!B418</f>
        <v/>
      </c>
      <c r="C418" s="14">
        <f>'Raw Data'!C418</f>
        <v/>
      </c>
      <c r="D418" s="15">
        <f>'Raw Data'!M418</f>
        <v/>
      </c>
      <c r="E418" s="18">
        <f>'Raw Data'!M418/'Raw Data'!L418*100</f>
        <v/>
      </c>
      <c r="F418" s="14">
        <f>IF(E418&gt;15,"Wet Year",IF(E418&lt;-15,"Dry Year","Normal Year"))</f>
        <v/>
      </c>
      <c r="G418" s="16">
        <f>'Raw Data'!I418</f>
        <v/>
      </c>
      <c r="H418" s="14">
        <f>IF(G418&lt;15,"Low Variability",IF(G418&lt;=35,"Moderate Variability","High Variability"))</f>
        <v/>
      </c>
      <c r="I418" s="18">
        <f>'Raw Data'!O418</f>
        <v/>
      </c>
      <c r="J418" s="14">
        <f>IF(I418=0,"No Flood",IF(I418&lt;=0.5,"Low",IF(I418&lt;=2,"Moderate","High")))</f>
        <v/>
      </c>
    </row>
    <row r="419" ht="15" customHeight="1" s="12">
      <c r="A419" s="14">
        <f>'Raw Data'!A419</f>
        <v/>
      </c>
      <c r="B419" s="14">
        <f>'Raw Data'!B419</f>
        <v/>
      </c>
      <c r="C419" s="14">
        <f>'Raw Data'!C419</f>
        <v/>
      </c>
      <c r="D419" s="15">
        <f>'Raw Data'!M419</f>
        <v/>
      </c>
      <c r="E419" s="18">
        <f>'Raw Data'!M419/'Raw Data'!L419*100</f>
        <v/>
      </c>
      <c r="F419" s="14">
        <f>IF(E419&gt;15,"Wet Year",IF(E419&lt;-15,"Dry Year","Normal Year"))</f>
        <v/>
      </c>
      <c r="G419" s="16">
        <f>'Raw Data'!I419</f>
        <v/>
      </c>
      <c r="H419" s="14">
        <f>IF(G419&lt;15,"Low Variability",IF(G419&lt;=35,"Moderate Variability","High Variability"))</f>
        <v/>
      </c>
      <c r="I419" s="18">
        <f>'Raw Data'!O419</f>
        <v/>
      </c>
      <c r="J419" s="14">
        <f>IF(I419=0,"No Flood",IF(I419&lt;=0.5,"Low",IF(I419&lt;=2,"Moderate","High")))</f>
        <v/>
      </c>
    </row>
    <row r="420" ht="15" customHeight="1" s="12">
      <c r="A420" s="14">
        <f>'Raw Data'!A420</f>
        <v/>
      </c>
      <c r="B420" s="14">
        <f>'Raw Data'!B420</f>
        <v/>
      </c>
      <c r="C420" s="14">
        <f>'Raw Data'!C420</f>
        <v/>
      </c>
      <c r="D420" s="15">
        <f>'Raw Data'!M420</f>
        <v/>
      </c>
      <c r="E420" s="18">
        <f>'Raw Data'!M420/'Raw Data'!L420*100</f>
        <v/>
      </c>
      <c r="F420" s="14">
        <f>IF(E420&gt;15,"Wet Year",IF(E420&lt;-15,"Dry Year","Normal Year"))</f>
        <v/>
      </c>
      <c r="G420" s="16">
        <f>'Raw Data'!I420</f>
        <v/>
      </c>
      <c r="H420" s="14">
        <f>IF(G420&lt;15,"Low Variability",IF(G420&lt;=35,"Moderate Variability","High Variability"))</f>
        <v/>
      </c>
      <c r="I420" s="18">
        <f>'Raw Data'!O420</f>
        <v/>
      </c>
      <c r="J420" s="14">
        <f>IF(I420=0,"No Flood",IF(I420&lt;=0.5,"Low",IF(I420&lt;=2,"Moderate","High")))</f>
        <v/>
      </c>
    </row>
    <row r="421" ht="15" customHeight="1" s="12">
      <c r="A421" s="14">
        <f>'Raw Data'!A421</f>
        <v/>
      </c>
      <c r="B421" s="14">
        <f>'Raw Data'!B421</f>
        <v/>
      </c>
      <c r="C421" s="14">
        <f>'Raw Data'!C421</f>
        <v/>
      </c>
      <c r="D421" s="15">
        <f>'Raw Data'!M421</f>
        <v/>
      </c>
      <c r="E421" s="18">
        <f>'Raw Data'!M421/'Raw Data'!L421*100</f>
        <v/>
      </c>
      <c r="F421" s="14">
        <f>IF(E421&gt;15,"Wet Year",IF(E421&lt;-15,"Dry Year","Normal Year"))</f>
        <v/>
      </c>
      <c r="G421" s="16">
        <f>'Raw Data'!I421</f>
        <v/>
      </c>
      <c r="H421" s="14">
        <f>IF(G421&lt;15,"Low Variability",IF(G421&lt;=35,"Moderate Variability","High Variability"))</f>
        <v/>
      </c>
      <c r="I421" s="18">
        <f>'Raw Data'!O421</f>
        <v/>
      </c>
      <c r="J421" s="14">
        <f>IF(I421=0,"No Flood",IF(I421&lt;=0.5,"Low",IF(I421&lt;=2,"Moderate","High")))</f>
        <v/>
      </c>
    </row>
    <row r="422" ht="15" customHeight="1" s="12">
      <c r="A422" s="14">
        <f>'Raw Data'!A422</f>
        <v/>
      </c>
      <c r="B422" s="14">
        <f>'Raw Data'!B422</f>
        <v/>
      </c>
      <c r="C422" s="14">
        <f>'Raw Data'!C422</f>
        <v/>
      </c>
      <c r="D422" s="15">
        <f>'Raw Data'!M422</f>
        <v/>
      </c>
      <c r="E422" s="18">
        <f>'Raw Data'!M422/'Raw Data'!L422*100</f>
        <v/>
      </c>
      <c r="F422" s="14">
        <f>IF(E422&gt;15,"Wet Year",IF(E422&lt;-15,"Dry Year","Normal Year"))</f>
        <v/>
      </c>
      <c r="G422" s="16">
        <f>'Raw Data'!I422</f>
        <v/>
      </c>
      <c r="H422" s="14">
        <f>IF(G422&lt;15,"Low Variability",IF(G422&lt;=35,"Moderate Variability","High Variability"))</f>
        <v/>
      </c>
      <c r="I422" s="18">
        <f>'Raw Data'!O422</f>
        <v/>
      </c>
      <c r="J422" s="14">
        <f>IF(I422=0,"No Flood",IF(I422&lt;=0.5,"Low",IF(I422&lt;=2,"Moderate","High")))</f>
        <v/>
      </c>
    </row>
    <row r="423" ht="15" customHeight="1" s="12">
      <c r="A423" s="14">
        <f>'Raw Data'!A423</f>
        <v/>
      </c>
      <c r="B423" s="14">
        <f>'Raw Data'!B423</f>
        <v/>
      </c>
      <c r="C423" s="14">
        <f>'Raw Data'!C423</f>
        <v/>
      </c>
      <c r="D423" s="15">
        <f>'Raw Data'!M423</f>
        <v/>
      </c>
      <c r="E423" s="18">
        <f>'Raw Data'!M423/'Raw Data'!L423*100</f>
        <v/>
      </c>
      <c r="F423" s="14">
        <f>IF(E423&gt;15,"Wet Year",IF(E423&lt;-15,"Dry Year","Normal Year"))</f>
        <v/>
      </c>
      <c r="G423" s="16">
        <f>'Raw Data'!I423</f>
        <v/>
      </c>
      <c r="H423" s="14">
        <f>IF(G423&lt;15,"Low Variability",IF(G423&lt;=35,"Moderate Variability","High Variability"))</f>
        <v/>
      </c>
      <c r="I423" s="18">
        <f>'Raw Data'!O423</f>
        <v/>
      </c>
      <c r="J423" s="14">
        <f>IF(I423=0,"No Flood",IF(I423&lt;=0.5,"Low",IF(I423&lt;=2,"Moderate","High")))</f>
        <v/>
      </c>
    </row>
    <row r="424" ht="15" customHeight="1" s="12">
      <c r="A424" s="14">
        <f>'Raw Data'!A424</f>
        <v/>
      </c>
      <c r="B424" s="14">
        <f>'Raw Data'!B424</f>
        <v/>
      </c>
      <c r="C424" s="14">
        <f>'Raw Data'!C424</f>
        <v/>
      </c>
      <c r="D424" s="15">
        <f>'Raw Data'!M424</f>
        <v/>
      </c>
      <c r="E424" s="18">
        <f>'Raw Data'!M424/'Raw Data'!L424*100</f>
        <v/>
      </c>
      <c r="F424" s="14">
        <f>IF(E424&gt;15,"Wet Year",IF(E424&lt;-15,"Dry Year","Normal Year"))</f>
        <v/>
      </c>
      <c r="G424" s="16">
        <f>'Raw Data'!I424</f>
        <v/>
      </c>
      <c r="H424" s="14">
        <f>IF(G424&lt;15,"Low Variability",IF(G424&lt;=35,"Moderate Variability","High Variability"))</f>
        <v/>
      </c>
      <c r="I424" s="18">
        <f>'Raw Data'!O424</f>
        <v/>
      </c>
      <c r="J424" s="14">
        <f>IF(I424=0,"No Flood",IF(I424&lt;=0.5,"Low",IF(I424&lt;=2,"Moderate","High")))</f>
        <v/>
      </c>
    </row>
    <row r="425" ht="15" customHeight="1" s="12">
      <c r="A425" s="14">
        <f>'Raw Data'!A425</f>
        <v/>
      </c>
      <c r="B425" s="14">
        <f>'Raw Data'!B425</f>
        <v/>
      </c>
      <c r="C425" s="14">
        <f>'Raw Data'!C425</f>
        <v/>
      </c>
      <c r="D425" s="15">
        <f>'Raw Data'!M425</f>
        <v/>
      </c>
      <c r="E425" s="18">
        <f>'Raw Data'!M425/'Raw Data'!L425*100</f>
        <v/>
      </c>
      <c r="F425" s="14">
        <f>IF(E425&gt;15,"Wet Year",IF(E425&lt;-15,"Dry Year","Normal Year"))</f>
        <v/>
      </c>
      <c r="G425" s="16">
        <f>'Raw Data'!I425</f>
        <v/>
      </c>
      <c r="H425" s="14">
        <f>IF(G425&lt;15,"Low Variability",IF(G425&lt;=35,"Moderate Variability","High Variability"))</f>
        <v/>
      </c>
      <c r="I425" s="18">
        <f>'Raw Data'!O425</f>
        <v/>
      </c>
      <c r="J425" s="14">
        <f>IF(I425=0,"No Flood",IF(I425&lt;=0.5,"Low",IF(I425&lt;=2,"Moderate","High")))</f>
        <v/>
      </c>
    </row>
    <row r="426" ht="15" customHeight="1" s="12">
      <c r="A426" s="14">
        <f>'Raw Data'!A426</f>
        <v/>
      </c>
      <c r="B426" s="14">
        <f>'Raw Data'!B426</f>
        <v/>
      </c>
      <c r="C426" s="14">
        <f>'Raw Data'!C426</f>
        <v/>
      </c>
      <c r="D426" s="15">
        <f>'Raw Data'!M426</f>
        <v/>
      </c>
      <c r="E426" s="18">
        <f>'Raw Data'!M426/'Raw Data'!L426*100</f>
        <v/>
      </c>
      <c r="F426" s="14">
        <f>IF(E426&gt;15,"Wet Year",IF(E426&lt;-15,"Dry Year","Normal Year"))</f>
        <v/>
      </c>
      <c r="G426" s="16">
        <f>'Raw Data'!I426</f>
        <v/>
      </c>
      <c r="H426" s="14">
        <f>IF(G426&lt;15,"Low Variability",IF(G426&lt;=35,"Moderate Variability","High Variability"))</f>
        <v/>
      </c>
      <c r="I426" s="18">
        <f>'Raw Data'!O426</f>
        <v/>
      </c>
      <c r="J426" s="14">
        <f>IF(I426=0,"No Flood",IF(I426&lt;=0.5,"Low",IF(I426&lt;=2,"Moderate","High")))</f>
        <v/>
      </c>
    </row>
    <row r="427" ht="15" customHeight="1" s="12">
      <c r="A427" s="14">
        <f>'Raw Data'!A427</f>
        <v/>
      </c>
      <c r="B427" s="14">
        <f>'Raw Data'!B427</f>
        <v/>
      </c>
      <c r="C427" s="14">
        <f>'Raw Data'!C427</f>
        <v/>
      </c>
      <c r="D427" s="15">
        <f>'Raw Data'!M427</f>
        <v/>
      </c>
      <c r="E427" s="18">
        <f>'Raw Data'!M427/'Raw Data'!L427*100</f>
        <v/>
      </c>
      <c r="F427" s="14">
        <f>IF(E427&gt;15,"Wet Year",IF(E427&lt;-15,"Dry Year","Normal Year"))</f>
        <v/>
      </c>
      <c r="G427" s="16">
        <f>'Raw Data'!I427</f>
        <v/>
      </c>
      <c r="H427" s="14">
        <f>IF(G427&lt;15,"Low Variability",IF(G427&lt;=35,"Moderate Variability","High Variability"))</f>
        <v/>
      </c>
      <c r="I427" s="18">
        <f>'Raw Data'!O427</f>
        <v/>
      </c>
      <c r="J427" s="14">
        <f>IF(I427=0,"No Flood",IF(I427&lt;=0.5,"Low",IF(I427&lt;=2,"Moderate","High")))</f>
        <v/>
      </c>
    </row>
    <row r="428" ht="15" customHeight="1" s="12">
      <c r="A428" s="14">
        <f>'Raw Data'!A428</f>
        <v/>
      </c>
      <c r="B428" s="14">
        <f>'Raw Data'!B428</f>
        <v/>
      </c>
      <c r="C428" s="14">
        <f>'Raw Data'!C428</f>
        <v/>
      </c>
      <c r="D428" s="15">
        <f>'Raw Data'!M428</f>
        <v/>
      </c>
      <c r="E428" s="18">
        <f>'Raw Data'!M428/'Raw Data'!L428*100</f>
        <v/>
      </c>
      <c r="F428" s="14">
        <f>IF(E428&gt;15,"Wet Year",IF(E428&lt;-15,"Dry Year","Normal Year"))</f>
        <v/>
      </c>
      <c r="G428" s="16">
        <f>'Raw Data'!I428</f>
        <v/>
      </c>
      <c r="H428" s="14">
        <f>IF(G428&lt;15,"Low Variability",IF(G428&lt;=35,"Moderate Variability","High Variability"))</f>
        <v/>
      </c>
      <c r="I428" s="18">
        <f>'Raw Data'!O428</f>
        <v/>
      </c>
      <c r="J428" s="14">
        <f>IF(I428=0,"No Flood",IF(I428&lt;=0.5,"Low",IF(I428&lt;=2,"Moderate","High")))</f>
        <v/>
      </c>
    </row>
    <row r="429" ht="15" customHeight="1" s="12">
      <c r="A429" s="14">
        <f>'Raw Data'!A429</f>
        <v/>
      </c>
      <c r="B429" s="14">
        <f>'Raw Data'!B429</f>
        <v/>
      </c>
      <c r="C429" s="14">
        <f>'Raw Data'!C429</f>
        <v/>
      </c>
      <c r="D429" s="15">
        <f>'Raw Data'!M429</f>
        <v/>
      </c>
      <c r="E429" s="18">
        <f>'Raw Data'!M429/'Raw Data'!L429*100</f>
        <v/>
      </c>
      <c r="F429" s="14">
        <f>IF(E429&gt;15,"Wet Year",IF(E429&lt;-15,"Dry Year","Normal Year"))</f>
        <v/>
      </c>
      <c r="G429" s="16">
        <f>'Raw Data'!I429</f>
        <v/>
      </c>
      <c r="H429" s="14">
        <f>IF(G429&lt;15,"Low Variability",IF(G429&lt;=35,"Moderate Variability","High Variability"))</f>
        <v/>
      </c>
      <c r="I429" s="18">
        <f>'Raw Data'!O429</f>
        <v/>
      </c>
      <c r="J429" s="14">
        <f>IF(I429=0,"No Flood",IF(I429&lt;=0.5,"Low",IF(I429&lt;=2,"Moderate","High")))</f>
        <v/>
      </c>
    </row>
    <row r="430" ht="15" customHeight="1" s="12">
      <c r="A430" s="14">
        <f>'Raw Data'!A430</f>
        <v/>
      </c>
      <c r="B430" s="14">
        <f>'Raw Data'!B430</f>
        <v/>
      </c>
      <c r="C430" s="14">
        <f>'Raw Data'!C430</f>
        <v/>
      </c>
      <c r="D430" s="15">
        <f>'Raw Data'!M430</f>
        <v/>
      </c>
      <c r="E430" s="18">
        <f>'Raw Data'!M430/'Raw Data'!L430*100</f>
        <v/>
      </c>
      <c r="F430" s="14">
        <f>IF(E430&gt;15,"Wet Year",IF(E430&lt;-15,"Dry Year","Normal Year"))</f>
        <v/>
      </c>
      <c r="G430" s="16">
        <f>'Raw Data'!I430</f>
        <v/>
      </c>
      <c r="H430" s="14">
        <f>IF(G430&lt;15,"Low Variability",IF(G430&lt;=35,"Moderate Variability","High Variability"))</f>
        <v/>
      </c>
      <c r="I430" s="18">
        <f>'Raw Data'!O430</f>
        <v/>
      </c>
      <c r="J430" s="14">
        <f>IF(I430=0,"No Flood",IF(I430&lt;=0.5,"Low",IF(I430&lt;=2,"Moderate","High")))</f>
        <v/>
      </c>
    </row>
    <row r="431" ht="15" customHeight="1" s="12">
      <c r="A431" s="14">
        <f>'Raw Data'!A431</f>
        <v/>
      </c>
      <c r="B431" s="14">
        <f>'Raw Data'!B431</f>
        <v/>
      </c>
      <c r="C431" s="14">
        <f>'Raw Data'!C431</f>
        <v/>
      </c>
      <c r="D431" s="15">
        <f>'Raw Data'!M431</f>
        <v/>
      </c>
      <c r="E431" s="18">
        <f>'Raw Data'!M431/'Raw Data'!L431*100</f>
        <v/>
      </c>
      <c r="F431" s="14">
        <f>IF(E431&gt;15,"Wet Year",IF(E431&lt;-15,"Dry Year","Normal Year"))</f>
        <v/>
      </c>
      <c r="G431" s="16">
        <f>'Raw Data'!I431</f>
        <v/>
      </c>
      <c r="H431" s="14">
        <f>IF(G431&lt;15,"Low Variability",IF(G431&lt;=35,"Moderate Variability","High Variability"))</f>
        <v/>
      </c>
      <c r="I431" s="18">
        <f>'Raw Data'!O431</f>
        <v/>
      </c>
      <c r="J431" s="14">
        <f>IF(I431=0,"No Flood",IF(I431&lt;=0.5,"Low",IF(I431&lt;=2,"Moderate","High")))</f>
        <v/>
      </c>
    </row>
    <row r="432" ht="15" customHeight="1" s="12">
      <c r="A432" s="14">
        <f>'Raw Data'!A432</f>
        <v/>
      </c>
      <c r="B432" s="14">
        <f>'Raw Data'!B432</f>
        <v/>
      </c>
      <c r="C432" s="14">
        <f>'Raw Data'!C432</f>
        <v/>
      </c>
      <c r="D432" s="15">
        <f>'Raw Data'!M432</f>
        <v/>
      </c>
      <c r="E432" s="18">
        <f>'Raw Data'!M432/'Raw Data'!L432*100</f>
        <v/>
      </c>
      <c r="F432" s="14">
        <f>IF(E432&gt;15,"Wet Year",IF(E432&lt;-15,"Dry Year","Normal Year"))</f>
        <v/>
      </c>
      <c r="G432" s="16">
        <f>'Raw Data'!I432</f>
        <v/>
      </c>
      <c r="H432" s="14">
        <f>IF(G432&lt;15,"Low Variability",IF(G432&lt;=35,"Moderate Variability","High Variability"))</f>
        <v/>
      </c>
      <c r="I432" s="18">
        <f>'Raw Data'!O432</f>
        <v/>
      </c>
      <c r="J432" s="14">
        <f>IF(I432=0,"No Flood",IF(I432&lt;=0.5,"Low",IF(I432&lt;=2,"Moderate","High")))</f>
        <v/>
      </c>
    </row>
    <row r="433" ht="15" customHeight="1" s="12">
      <c r="A433" s="14">
        <f>'Raw Data'!A433</f>
        <v/>
      </c>
      <c r="B433" s="14">
        <f>'Raw Data'!B433</f>
        <v/>
      </c>
      <c r="C433" s="14">
        <f>'Raw Data'!C433</f>
        <v/>
      </c>
      <c r="D433" s="15">
        <f>'Raw Data'!M433</f>
        <v/>
      </c>
      <c r="E433" s="18">
        <f>'Raw Data'!M433/'Raw Data'!L433*100</f>
        <v/>
      </c>
      <c r="F433" s="14">
        <f>IF(E433&gt;15,"Wet Year",IF(E433&lt;-15,"Dry Year","Normal Year"))</f>
        <v/>
      </c>
      <c r="G433" s="16">
        <f>'Raw Data'!I433</f>
        <v/>
      </c>
      <c r="H433" s="14">
        <f>IF(G433&lt;15,"Low Variability",IF(G433&lt;=35,"Moderate Variability","High Variability"))</f>
        <v/>
      </c>
      <c r="I433" s="18">
        <f>'Raw Data'!O433</f>
        <v/>
      </c>
      <c r="J433" s="14">
        <f>IF(I433=0,"No Flood",IF(I433&lt;=0.5,"Low",IF(I433&lt;=2,"Moderate","High")))</f>
        <v/>
      </c>
    </row>
    <row r="434" ht="15" customHeight="1" s="12">
      <c r="A434" s="14">
        <f>'Raw Data'!A434</f>
        <v/>
      </c>
      <c r="B434" s="14">
        <f>'Raw Data'!B434</f>
        <v/>
      </c>
      <c r="C434" s="14">
        <f>'Raw Data'!C434</f>
        <v/>
      </c>
      <c r="D434" s="15">
        <f>'Raw Data'!M434</f>
        <v/>
      </c>
      <c r="E434" s="18">
        <f>'Raw Data'!M434/'Raw Data'!L434*100</f>
        <v/>
      </c>
      <c r="F434" s="14">
        <f>IF(E434&gt;15,"Wet Year",IF(E434&lt;-15,"Dry Year","Normal Year"))</f>
        <v/>
      </c>
      <c r="G434" s="16">
        <f>'Raw Data'!I434</f>
        <v/>
      </c>
      <c r="H434" s="14">
        <f>IF(G434&lt;15,"Low Variability",IF(G434&lt;=35,"Moderate Variability","High Variability"))</f>
        <v/>
      </c>
      <c r="I434" s="18">
        <f>'Raw Data'!O434</f>
        <v/>
      </c>
      <c r="J434" s="14">
        <f>IF(I434=0,"No Flood",IF(I434&lt;=0.5,"Low",IF(I434&lt;=2,"Moderate","High")))</f>
        <v/>
      </c>
    </row>
    <row r="435" ht="15" customHeight="1" s="12">
      <c r="A435" s="14">
        <f>'Raw Data'!A435</f>
        <v/>
      </c>
      <c r="B435" s="14">
        <f>'Raw Data'!B435</f>
        <v/>
      </c>
      <c r="C435" s="14">
        <f>'Raw Data'!C435</f>
        <v/>
      </c>
      <c r="D435" s="15">
        <f>'Raw Data'!M435</f>
        <v/>
      </c>
      <c r="E435" s="18">
        <f>'Raw Data'!M435/'Raw Data'!L435*100</f>
        <v/>
      </c>
      <c r="F435" s="14">
        <f>IF(E435&gt;15,"Wet Year",IF(E435&lt;-15,"Dry Year","Normal Year"))</f>
        <v/>
      </c>
      <c r="G435" s="16">
        <f>'Raw Data'!I435</f>
        <v/>
      </c>
      <c r="H435" s="14">
        <f>IF(G435&lt;15,"Low Variability",IF(G435&lt;=35,"Moderate Variability","High Variability"))</f>
        <v/>
      </c>
      <c r="I435" s="18">
        <f>'Raw Data'!O435</f>
        <v/>
      </c>
      <c r="J435" s="14">
        <f>IF(I435=0,"No Flood",IF(I435&lt;=0.5,"Low",IF(I435&lt;=2,"Moderate","High")))</f>
        <v/>
      </c>
    </row>
    <row r="436" ht="15" customHeight="1" s="12">
      <c r="A436" s="14">
        <f>'Raw Data'!A436</f>
        <v/>
      </c>
      <c r="B436" s="14">
        <f>'Raw Data'!B436</f>
        <v/>
      </c>
      <c r="C436" s="14">
        <f>'Raw Data'!C436</f>
        <v/>
      </c>
      <c r="D436" s="15">
        <f>'Raw Data'!M436</f>
        <v/>
      </c>
      <c r="E436" s="18">
        <f>'Raw Data'!M436/'Raw Data'!L436*100</f>
        <v/>
      </c>
      <c r="F436" s="14">
        <f>IF(E436&gt;15,"Wet Year",IF(E436&lt;-15,"Dry Year","Normal Year"))</f>
        <v/>
      </c>
      <c r="G436" s="16">
        <f>'Raw Data'!I436</f>
        <v/>
      </c>
      <c r="H436" s="14">
        <f>IF(G436&lt;15,"Low Variability",IF(G436&lt;=35,"Moderate Variability","High Variability"))</f>
        <v/>
      </c>
      <c r="I436" s="18">
        <f>'Raw Data'!O436</f>
        <v/>
      </c>
      <c r="J436" s="14">
        <f>IF(I436=0,"No Flood",IF(I436&lt;=0.5,"Low",IF(I436&lt;=2,"Moderate","High")))</f>
        <v/>
      </c>
    </row>
    <row r="437" ht="15" customHeight="1" s="12">
      <c r="A437" s="14">
        <f>'Raw Data'!A437</f>
        <v/>
      </c>
      <c r="B437" s="14">
        <f>'Raw Data'!B437</f>
        <v/>
      </c>
      <c r="C437" s="14">
        <f>'Raw Data'!C437</f>
        <v/>
      </c>
      <c r="D437" s="15">
        <f>'Raw Data'!M437</f>
        <v/>
      </c>
      <c r="E437" s="18">
        <f>'Raw Data'!M437/'Raw Data'!L437*100</f>
        <v/>
      </c>
      <c r="F437" s="14">
        <f>IF(E437&gt;15,"Wet Year",IF(E437&lt;-15,"Dry Year","Normal Year"))</f>
        <v/>
      </c>
      <c r="G437" s="16">
        <f>'Raw Data'!I437</f>
        <v/>
      </c>
      <c r="H437" s="14">
        <f>IF(G437&lt;15,"Low Variability",IF(G437&lt;=35,"Moderate Variability","High Variability"))</f>
        <v/>
      </c>
      <c r="I437" s="18">
        <f>'Raw Data'!O437</f>
        <v/>
      </c>
      <c r="J437" s="14">
        <f>IF(I437=0,"No Flood",IF(I437&lt;=0.5,"Low",IF(I437&lt;=2,"Moderate","High")))</f>
        <v/>
      </c>
    </row>
    <row r="438" ht="15" customHeight="1" s="12">
      <c r="A438" s="14">
        <f>'Raw Data'!A438</f>
        <v/>
      </c>
      <c r="B438" s="14">
        <f>'Raw Data'!B438</f>
        <v/>
      </c>
      <c r="C438" s="14">
        <f>'Raw Data'!C438</f>
        <v/>
      </c>
      <c r="D438" s="15">
        <f>'Raw Data'!M438</f>
        <v/>
      </c>
      <c r="E438" s="18">
        <f>'Raw Data'!M438/'Raw Data'!L438*100</f>
        <v/>
      </c>
      <c r="F438" s="14">
        <f>IF(E438&gt;15,"Wet Year",IF(E438&lt;-15,"Dry Year","Normal Year"))</f>
        <v/>
      </c>
      <c r="G438" s="16">
        <f>'Raw Data'!I438</f>
        <v/>
      </c>
      <c r="H438" s="14">
        <f>IF(G438&lt;15,"Low Variability",IF(G438&lt;=35,"Moderate Variability","High Variability"))</f>
        <v/>
      </c>
      <c r="I438" s="18">
        <f>'Raw Data'!O438</f>
        <v/>
      </c>
      <c r="J438" s="14">
        <f>IF(I438=0,"No Flood",IF(I438&lt;=0.5,"Low",IF(I438&lt;=2,"Moderate","High")))</f>
        <v/>
      </c>
    </row>
    <row r="439" ht="15" customHeight="1" s="12">
      <c r="A439" s="14">
        <f>'Raw Data'!A439</f>
        <v/>
      </c>
      <c r="B439" s="14">
        <f>'Raw Data'!B439</f>
        <v/>
      </c>
      <c r="C439" s="14">
        <f>'Raw Data'!C439</f>
        <v/>
      </c>
      <c r="D439" s="15">
        <f>'Raw Data'!M439</f>
        <v/>
      </c>
      <c r="E439" s="18">
        <f>'Raw Data'!M439/'Raw Data'!L439*100</f>
        <v/>
      </c>
      <c r="F439" s="14">
        <f>IF(E439&gt;15,"Wet Year",IF(E439&lt;-15,"Dry Year","Normal Year"))</f>
        <v/>
      </c>
      <c r="G439" s="16">
        <f>'Raw Data'!I439</f>
        <v/>
      </c>
      <c r="H439" s="14">
        <f>IF(G439&lt;15,"Low Variability",IF(G439&lt;=35,"Moderate Variability","High Variability"))</f>
        <v/>
      </c>
      <c r="I439" s="18">
        <f>'Raw Data'!O439</f>
        <v/>
      </c>
      <c r="J439" s="14">
        <f>IF(I439=0,"No Flood",IF(I439&lt;=0.5,"Low",IF(I439&lt;=2,"Moderate","High")))</f>
        <v/>
      </c>
    </row>
    <row r="440" ht="15" customHeight="1" s="12">
      <c r="A440" s="14">
        <f>'Raw Data'!A440</f>
        <v/>
      </c>
      <c r="B440" s="14">
        <f>'Raw Data'!B440</f>
        <v/>
      </c>
      <c r="C440" s="14">
        <f>'Raw Data'!C440</f>
        <v/>
      </c>
      <c r="D440" s="15">
        <f>'Raw Data'!M440</f>
        <v/>
      </c>
      <c r="E440" s="18">
        <f>'Raw Data'!M440/'Raw Data'!L440*100</f>
        <v/>
      </c>
      <c r="F440" s="14">
        <f>IF(E440&gt;15,"Wet Year",IF(E440&lt;-15,"Dry Year","Normal Year"))</f>
        <v/>
      </c>
      <c r="G440" s="16">
        <f>'Raw Data'!I440</f>
        <v/>
      </c>
      <c r="H440" s="14">
        <f>IF(G440&lt;15,"Low Variability",IF(G440&lt;=35,"Moderate Variability","High Variability"))</f>
        <v/>
      </c>
      <c r="I440" s="18">
        <f>'Raw Data'!O440</f>
        <v/>
      </c>
      <c r="J440" s="14">
        <f>IF(I440=0,"No Flood",IF(I440&lt;=0.5,"Low",IF(I440&lt;=2,"Moderate","High")))</f>
        <v/>
      </c>
    </row>
    <row r="441" ht="15" customHeight="1" s="12">
      <c r="A441" s="14">
        <f>'Raw Data'!A441</f>
        <v/>
      </c>
      <c r="B441" s="14">
        <f>'Raw Data'!B441</f>
        <v/>
      </c>
      <c r="C441" s="14">
        <f>'Raw Data'!C441</f>
        <v/>
      </c>
      <c r="D441" s="15">
        <f>'Raw Data'!M441</f>
        <v/>
      </c>
      <c r="E441" s="18">
        <f>'Raw Data'!M441/'Raw Data'!L441*100</f>
        <v/>
      </c>
      <c r="F441" s="14">
        <f>IF(E441&gt;15,"Wet Year",IF(E441&lt;-15,"Dry Year","Normal Year"))</f>
        <v/>
      </c>
      <c r="G441" s="16">
        <f>'Raw Data'!I441</f>
        <v/>
      </c>
      <c r="H441" s="14">
        <f>IF(G441&lt;15,"Low Variability",IF(G441&lt;=35,"Moderate Variability","High Variability"))</f>
        <v/>
      </c>
      <c r="I441" s="18">
        <f>'Raw Data'!O441</f>
        <v/>
      </c>
      <c r="J441" s="14">
        <f>IF(I441=0,"No Flood",IF(I441&lt;=0.5,"Low",IF(I441&lt;=2,"Moderate","High")))</f>
        <v/>
      </c>
    </row>
    <row r="442" ht="15" customHeight="1" s="12">
      <c r="A442" s="14">
        <f>'Raw Data'!A442</f>
        <v/>
      </c>
      <c r="B442" s="14">
        <f>'Raw Data'!B442</f>
        <v/>
      </c>
      <c r="C442" s="14">
        <f>'Raw Data'!C442</f>
        <v/>
      </c>
      <c r="D442" s="15">
        <f>'Raw Data'!M442</f>
        <v/>
      </c>
      <c r="E442" s="18">
        <f>'Raw Data'!M442/'Raw Data'!L442*100</f>
        <v/>
      </c>
      <c r="F442" s="14">
        <f>IF(E442&gt;15,"Wet Year",IF(E442&lt;-15,"Dry Year","Normal Year"))</f>
        <v/>
      </c>
      <c r="G442" s="16">
        <f>'Raw Data'!I442</f>
        <v/>
      </c>
      <c r="H442" s="14">
        <f>IF(G442&lt;15,"Low Variability",IF(G442&lt;=35,"Moderate Variability","High Variability"))</f>
        <v/>
      </c>
      <c r="I442" s="18">
        <f>'Raw Data'!O442</f>
        <v/>
      </c>
      <c r="J442" s="14">
        <f>IF(I442=0,"No Flood",IF(I442&lt;=0.5,"Low",IF(I442&lt;=2,"Moderate","High")))</f>
        <v/>
      </c>
    </row>
    <row r="443" ht="15" customHeight="1" s="12">
      <c r="A443" s="14">
        <f>'Raw Data'!A443</f>
        <v/>
      </c>
      <c r="B443" s="14">
        <f>'Raw Data'!B443</f>
        <v/>
      </c>
      <c r="C443" s="14">
        <f>'Raw Data'!C443</f>
        <v/>
      </c>
      <c r="D443" s="15">
        <f>'Raw Data'!M443</f>
        <v/>
      </c>
      <c r="E443" s="18">
        <f>'Raw Data'!M443/'Raw Data'!L443*100</f>
        <v/>
      </c>
      <c r="F443" s="14">
        <f>IF(E443&gt;15,"Wet Year",IF(E443&lt;-15,"Dry Year","Normal Year"))</f>
        <v/>
      </c>
      <c r="G443" s="16">
        <f>'Raw Data'!I443</f>
        <v/>
      </c>
      <c r="H443" s="14">
        <f>IF(G443&lt;15,"Low Variability",IF(G443&lt;=35,"Moderate Variability","High Variability"))</f>
        <v/>
      </c>
      <c r="I443" s="18">
        <f>'Raw Data'!O443</f>
        <v/>
      </c>
      <c r="J443" s="14">
        <f>IF(I443=0,"No Flood",IF(I443&lt;=0.5,"Low",IF(I443&lt;=2,"Moderate","High")))</f>
        <v/>
      </c>
    </row>
    <row r="444" ht="15" customHeight="1" s="12">
      <c r="A444" s="14">
        <f>'Raw Data'!A444</f>
        <v/>
      </c>
      <c r="B444" s="14">
        <f>'Raw Data'!B444</f>
        <v/>
      </c>
      <c r="C444" s="14">
        <f>'Raw Data'!C444</f>
        <v/>
      </c>
      <c r="D444" s="15">
        <f>'Raw Data'!M444</f>
        <v/>
      </c>
      <c r="E444" s="18">
        <f>'Raw Data'!M444/'Raw Data'!L444*100</f>
        <v/>
      </c>
      <c r="F444" s="14">
        <f>IF(E444&gt;15,"Wet Year",IF(E444&lt;-15,"Dry Year","Normal Year"))</f>
        <v/>
      </c>
      <c r="G444" s="16">
        <f>'Raw Data'!I444</f>
        <v/>
      </c>
      <c r="H444" s="14">
        <f>IF(G444&lt;15,"Low Variability",IF(G444&lt;=35,"Moderate Variability","High Variability"))</f>
        <v/>
      </c>
      <c r="I444" s="18">
        <f>'Raw Data'!O444</f>
        <v/>
      </c>
      <c r="J444" s="14">
        <f>IF(I444=0,"No Flood",IF(I444&lt;=0.5,"Low",IF(I444&lt;=2,"Moderate","High")))</f>
        <v/>
      </c>
    </row>
    <row r="445" ht="15" customHeight="1" s="12">
      <c r="A445" s="14">
        <f>'Raw Data'!A445</f>
        <v/>
      </c>
      <c r="B445" s="14">
        <f>'Raw Data'!B445</f>
        <v/>
      </c>
      <c r="C445" s="14">
        <f>'Raw Data'!C445</f>
        <v/>
      </c>
      <c r="D445" s="15">
        <f>'Raw Data'!M445</f>
        <v/>
      </c>
      <c r="E445" s="18">
        <f>'Raw Data'!M445/'Raw Data'!L445*100</f>
        <v/>
      </c>
      <c r="F445" s="14">
        <f>IF(E445&gt;15,"Wet Year",IF(E445&lt;-15,"Dry Year","Normal Year"))</f>
        <v/>
      </c>
      <c r="G445" s="16">
        <f>'Raw Data'!I445</f>
        <v/>
      </c>
      <c r="H445" s="14">
        <f>IF(G445&lt;15,"Low Variability",IF(G445&lt;=35,"Moderate Variability","High Variability"))</f>
        <v/>
      </c>
      <c r="I445" s="18">
        <f>'Raw Data'!O445</f>
        <v/>
      </c>
      <c r="J445" s="14">
        <f>IF(I445=0,"No Flood",IF(I445&lt;=0.5,"Low",IF(I445&lt;=2,"Moderate","High")))</f>
        <v/>
      </c>
    </row>
    <row r="446" ht="15" customHeight="1" s="12">
      <c r="A446" s="14">
        <f>'Raw Data'!A446</f>
        <v/>
      </c>
      <c r="B446" s="14">
        <f>'Raw Data'!B446</f>
        <v/>
      </c>
      <c r="C446" s="14">
        <f>'Raw Data'!C446</f>
        <v/>
      </c>
      <c r="D446" s="15">
        <f>'Raw Data'!M446</f>
        <v/>
      </c>
      <c r="E446" s="18">
        <f>'Raw Data'!M446/'Raw Data'!L446*100</f>
        <v/>
      </c>
      <c r="F446" s="14">
        <f>IF(E446&gt;15,"Wet Year",IF(E446&lt;-15,"Dry Year","Normal Year"))</f>
        <v/>
      </c>
      <c r="G446" s="16">
        <f>'Raw Data'!I446</f>
        <v/>
      </c>
      <c r="H446" s="14">
        <f>IF(G446&lt;15,"Low Variability",IF(G446&lt;=35,"Moderate Variability","High Variability"))</f>
        <v/>
      </c>
      <c r="I446" s="18">
        <f>'Raw Data'!O446</f>
        <v/>
      </c>
      <c r="J446" s="14">
        <f>IF(I446=0,"No Flood",IF(I446&lt;=0.5,"Low",IF(I446&lt;=2,"Moderate","High")))</f>
        <v/>
      </c>
    </row>
    <row r="447" ht="15" customHeight="1" s="12">
      <c r="A447" s="14">
        <f>'Raw Data'!A447</f>
        <v/>
      </c>
      <c r="B447" s="14">
        <f>'Raw Data'!B447</f>
        <v/>
      </c>
      <c r="C447" s="14">
        <f>'Raw Data'!C447</f>
        <v/>
      </c>
      <c r="D447" s="15">
        <f>'Raw Data'!M447</f>
        <v/>
      </c>
      <c r="E447" s="18">
        <f>'Raw Data'!M447/'Raw Data'!L447*100</f>
        <v/>
      </c>
      <c r="F447" s="14">
        <f>IF(E447&gt;15,"Wet Year",IF(E447&lt;-15,"Dry Year","Normal Year"))</f>
        <v/>
      </c>
      <c r="G447" s="16">
        <f>'Raw Data'!I447</f>
        <v/>
      </c>
      <c r="H447" s="14">
        <f>IF(G447&lt;15,"Low Variability",IF(G447&lt;=35,"Moderate Variability","High Variability"))</f>
        <v/>
      </c>
      <c r="I447" s="18">
        <f>'Raw Data'!O447</f>
        <v/>
      </c>
      <c r="J447" s="14">
        <f>IF(I447=0,"No Flood",IF(I447&lt;=0.5,"Low",IF(I447&lt;=2,"Moderate","High")))</f>
        <v/>
      </c>
    </row>
    <row r="448" ht="15" customHeight="1" s="12">
      <c r="A448" s="14">
        <f>'Raw Data'!A448</f>
        <v/>
      </c>
      <c r="B448" s="14">
        <f>'Raw Data'!B448</f>
        <v/>
      </c>
      <c r="C448" s="14">
        <f>'Raw Data'!C448</f>
        <v/>
      </c>
      <c r="D448" s="15">
        <f>'Raw Data'!M448</f>
        <v/>
      </c>
      <c r="E448" s="18">
        <f>'Raw Data'!M448/'Raw Data'!L448*100</f>
        <v/>
      </c>
      <c r="F448" s="14">
        <f>IF(E448&gt;15,"Wet Year",IF(E448&lt;-15,"Dry Year","Normal Year"))</f>
        <v/>
      </c>
      <c r="G448" s="16">
        <f>'Raw Data'!I448</f>
        <v/>
      </c>
      <c r="H448" s="14">
        <f>IF(G448&lt;15,"Low Variability",IF(G448&lt;=35,"Moderate Variability","High Variability"))</f>
        <v/>
      </c>
      <c r="I448" s="18">
        <f>'Raw Data'!O448</f>
        <v/>
      </c>
      <c r="J448" s="14">
        <f>IF(I448=0,"No Flood",IF(I448&lt;=0.5,"Low",IF(I448&lt;=2,"Moderate","High")))</f>
        <v/>
      </c>
    </row>
    <row r="449" ht="15" customHeight="1" s="12">
      <c r="A449" s="14">
        <f>'Raw Data'!A449</f>
        <v/>
      </c>
      <c r="B449" s="14">
        <f>'Raw Data'!B449</f>
        <v/>
      </c>
      <c r="C449" s="14">
        <f>'Raw Data'!C449</f>
        <v/>
      </c>
      <c r="D449" s="15">
        <f>'Raw Data'!M449</f>
        <v/>
      </c>
      <c r="E449" s="18">
        <f>'Raw Data'!M449/'Raw Data'!L449*100</f>
        <v/>
      </c>
      <c r="F449" s="14">
        <f>IF(E449&gt;15,"Wet Year",IF(E449&lt;-15,"Dry Year","Normal Year"))</f>
        <v/>
      </c>
      <c r="G449" s="16">
        <f>'Raw Data'!I449</f>
        <v/>
      </c>
      <c r="H449" s="14">
        <f>IF(G449&lt;15,"Low Variability",IF(G449&lt;=35,"Moderate Variability","High Variability"))</f>
        <v/>
      </c>
      <c r="I449" s="18">
        <f>'Raw Data'!O449</f>
        <v/>
      </c>
      <c r="J449" s="14">
        <f>IF(I449=0,"No Flood",IF(I449&lt;=0.5,"Low",IF(I449&lt;=2,"Moderate","High")))</f>
        <v/>
      </c>
    </row>
    <row r="450" ht="15" customHeight="1" s="12">
      <c r="A450" s="14">
        <f>'Raw Data'!A450</f>
        <v/>
      </c>
      <c r="B450" s="14">
        <f>'Raw Data'!B450</f>
        <v/>
      </c>
      <c r="C450" s="14">
        <f>'Raw Data'!C450</f>
        <v/>
      </c>
      <c r="D450" s="15">
        <f>'Raw Data'!M450</f>
        <v/>
      </c>
      <c r="E450" s="18">
        <f>'Raw Data'!M450/'Raw Data'!L450*100</f>
        <v/>
      </c>
      <c r="F450" s="14">
        <f>IF(E450&gt;15,"Wet Year",IF(E450&lt;-15,"Dry Year","Normal Year"))</f>
        <v/>
      </c>
      <c r="G450" s="16">
        <f>'Raw Data'!I450</f>
        <v/>
      </c>
      <c r="H450" s="14">
        <f>IF(G450&lt;15,"Low Variability",IF(G450&lt;=35,"Moderate Variability","High Variability"))</f>
        <v/>
      </c>
      <c r="I450" s="18">
        <f>'Raw Data'!O450</f>
        <v/>
      </c>
      <c r="J450" s="14">
        <f>IF(I450=0,"No Flood",IF(I450&lt;=0.5,"Low",IF(I450&lt;=2,"Moderate","High")))</f>
        <v/>
      </c>
    </row>
    <row r="451" ht="15" customHeight="1" s="12">
      <c r="A451" s="14">
        <f>'Raw Data'!A451</f>
        <v/>
      </c>
      <c r="B451" s="14">
        <f>'Raw Data'!B451</f>
        <v/>
      </c>
      <c r="C451" s="14">
        <f>'Raw Data'!C451</f>
        <v/>
      </c>
      <c r="D451" s="15">
        <f>'Raw Data'!M451</f>
        <v/>
      </c>
      <c r="E451" s="18">
        <f>'Raw Data'!M451/'Raw Data'!L451*100</f>
        <v/>
      </c>
      <c r="F451" s="14">
        <f>IF(E451&gt;15,"Wet Year",IF(E451&lt;-15,"Dry Year","Normal Year"))</f>
        <v/>
      </c>
      <c r="G451" s="16">
        <f>'Raw Data'!I451</f>
        <v/>
      </c>
      <c r="H451" s="14">
        <f>IF(G451&lt;15,"Low Variability",IF(G451&lt;=35,"Moderate Variability","High Variability"))</f>
        <v/>
      </c>
      <c r="I451" s="18">
        <f>'Raw Data'!O451</f>
        <v/>
      </c>
      <c r="J451" s="14">
        <f>IF(I451=0,"No Flood",IF(I451&lt;=0.5,"Low",IF(I451&lt;=2,"Moderate","High")))</f>
        <v/>
      </c>
    </row>
    <row r="452" ht="15" customHeight="1" s="12">
      <c r="A452" s="14">
        <f>'Raw Data'!A452</f>
        <v/>
      </c>
      <c r="B452" s="14">
        <f>'Raw Data'!B452</f>
        <v/>
      </c>
      <c r="C452" s="14">
        <f>'Raw Data'!C452</f>
        <v/>
      </c>
      <c r="D452" s="15">
        <f>'Raw Data'!M452</f>
        <v/>
      </c>
      <c r="E452" s="18">
        <f>'Raw Data'!M452/'Raw Data'!L452*100</f>
        <v/>
      </c>
      <c r="F452" s="14">
        <f>IF(E452&gt;15,"Wet Year",IF(E452&lt;-15,"Dry Year","Normal Year"))</f>
        <v/>
      </c>
      <c r="G452" s="16">
        <f>'Raw Data'!I452</f>
        <v/>
      </c>
      <c r="H452" s="14">
        <f>IF(G452&lt;15,"Low Variability",IF(G452&lt;=35,"Moderate Variability","High Variability"))</f>
        <v/>
      </c>
      <c r="I452" s="18">
        <f>'Raw Data'!O452</f>
        <v/>
      </c>
      <c r="J452" s="14">
        <f>IF(I452=0,"No Flood",IF(I452&lt;=0.5,"Low",IF(I452&lt;=2,"Moderate","High")))</f>
        <v/>
      </c>
    </row>
    <row r="453" ht="15" customHeight="1" s="12">
      <c r="A453" s="14">
        <f>'Raw Data'!A453</f>
        <v/>
      </c>
      <c r="B453" s="14">
        <f>'Raw Data'!B453</f>
        <v/>
      </c>
      <c r="C453" s="14">
        <f>'Raw Data'!C453</f>
        <v/>
      </c>
      <c r="D453" s="15">
        <f>'Raw Data'!M453</f>
        <v/>
      </c>
      <c r="E453" s="18">
        <f>'Raw Data'!M453/'Raw Data'!L453*100</f>
        <v/>
      </c>
      <c r="F453" s="14">
        <f>IF(E453&gt;15,"Wet Year",IF(E453&lt;-15,"Dry Year","Normal Year"))</f>
        <v/>
      </c>
      <c r="G453" s="16">
        <f>'Raw Data'!I453</f>
        <v/>
      </c>
      <c r="H453" s="14">
        <f>IF(G453&lt;15,"Low Variability",IF(G453&lt;=35,"Moderate Variability","High Variability"))</f>
        <v/>
      </c>
      <c r="I453" s="18">
        <f>'Raw Data'!O453</f>
        <v/>
      </c>
      <c r="J453" s="14">
        <f>IF(I453=0,"No Flood",IF(I453&lt;=0.5,"Low",IF(I453&lt;=2,"Moderate","High")))</f>
        <v/>
      </c>
    </row>
    <row r="454" ht="15" customHeight="1" s="12">
      <c r="A454" s="14">
        <f>'Raw Data'!A454</f>
        <v/>
      </c>
      <c r="B454" s="14">
        <f>'Raw Data'!B454</f>
        <v/>
      </c>
      <c r="C454" s="14">
        <f>'Raw Data'!C454</f>
        <v/>
      </c>
      <c r="D454" s="15">
        <f>'Raw Data'!M454</f>
        <v/>
      </c>
      <c r="E454" s="18">
        <f>'Raw Data'!M454/'Raw Data'!L454*100</f>
        <v/>
      </c>
      <c r="F454" s="14">
        <f>IF(E454&gt;15,"Wet Year",IF(E454&lt;-15,"Dry Year","Normal Year"))</f>
        <v/>
      </c>
      <c r="G454" s="16">
        <f>'Raw Data'!I454</f>
        <v/>
      </c>
      <c r="H454" s="14">
        <f>IF(G454&lt;15,"Low Variability",IF(G454&lt;=35,"Moderate Variability","High Variability"))</f>
        <v/>
      </c>
      <c r="I454" s="18">
        <f>'Raw Data'!O454</f>
        <v/>
      </c>
      <c r="J454" s="14">
        <f>IF(I454=0,"No Flood",IF(I454&lt;=0.5,"Low",IF(I454&lt;=2,"Moderate","High")))</f>
        <v/>
      </c>
    </row>
    <row r="455" ht="15" customHeight="1" s="12">
      <c r="A455" s="14">
        <f>'Raw Data'!A455</f>
        <v/>
      </c>
      <c r="B455" s="14">
        <f>'Raw Data'!B455</f>
        <v/>
      </c>
      <c r="C455" s="14">
        <f>'Raw Data'!C455</f>
        <v/>
      </c>
      <c r="D455" s="15">
        <f>'Raw Data'!M455</f>
        <v/>
      </c>
      <c r="E455" s="18">
        <f>'Raw Data'!M455/'Raw Data'!L455*100</f>
        <v/>
      </c>
      <c r="F455" s="14">
        <f>IF(E455&gt;15,"Wet Year",IF(E455&lt;-15,"Dry Year","Normal Year"))</f>
        <v/>
      </c>
      <c r="G455" s="16">
        <f>'Raw Data'!I455</f>
        <v/>
      </c>
      <c r="H455" s="14">
        <f>IF(G455&lt;15,"Low Variability",IF(G455&lt;=35,"Moderate Variability","High Variability"))</f>
        <v/>
      </c>
      <c r="I455" s="18">
        <f>'Raw Data'!O455</f>
        <v/>
      </c>
      <c r="J455" s="14">
        <f>IF(I455=0,"No Flood",IF(I455&lt;=0.5,"Low",IF(I455&lt;=2,"Moderate","High")))</f>
        <v/>
      </c>
    </row>
    <row r="456" ht="15" customHeight="1" s="12">
      <c r="A456" s="14">
        <f>'Raw Data'!A456</f>
        <v/>
      </c>
      <c r="B456" s="14">
        <f>'Raw Data'!B456</f>
        <v/>
      </c>
      <c r="C456" s="14">
        <f>'Raw Data'!C456</f>
        <v/>
      </c>
      <c r="D456" s="15">
        <f>'Raw Data'!M456</f>
        <v/>
      </c>
      <c r="E456" s="18">
        <f>'Raw Data'!M456/'Raw Data'!L456*100</f>
        <v/>
      </c>
      <c r="F456" s="14">
        <f>IF(E456&gt;15,"Wet Year",IF(E456&lt;-15,"Dry Year","Normal Year"))</f>
        <v/>
      </c>
      <c r="G456" s="16">
        <f>'Raw Data'!I456</f>
        <v/>
      </c>
      <c r="H456" s="14">
        <f>IF(G456&lt;15,"Low Variability",IF(G456&lt;=35,"Moderate Variability","High Variability"))</f>
        <v/>
      </c>
      <c r="I456" s="18">
        <f>'Raw Data'!O456</f>
        <v/>
      </c>
      <c r="J456" s="14">
        <f>IF(I456=0,"No Flood",IF(I456&lt;=0.5,"Low",IF(I456&lt;=2,"Moderate","High")))</f>
        <v/>
      </c>
    </row>
    <row r="457" ht="15" customHeight="1" s="12">
      <c r="A457" s="14">
        <f>'Raw Data'!A457</f>
        <v/>
      </c>
      <c r="B457" s="14">
        <f>'Raw Data'!B457</f>
        <v/>
      </c>
      <c r="C457" s="14">
        <f>'Raw Data'!C457</f>
        <v/>
      </c>
      <c r="D457" s="15">
        <f>'Raw Data'!M457</f>
        <v/>
      </c>
      <c r="E457" s="18">
        <f>'Raw Data'!M457/'Raw Data'!L457*100</f>
        <v/>
      </c>
      <c r="F457" s="14">
        <f>IF(E457&gt;15,"Wet Year",IF(E457&lt;-15,"Dry Year","Normal Year"))</f>
        <v/>
      </c>
      <c r="G457" s="16">
        <f>'Raw Data'!I457</f>
        <v/>
      </c>
      <c r="H457" s="14">
        <f>IF(G457&lt;15,"Low Variability",IF(G457&lt;=35,"Moderate Variability","High Variability"))</f>
        <v/>
      </c>
      <c r="I457" s="18">
        <f>'Raw Data'!O457</f>
        <v/>
      </c>
      <c r="J457" s="14">
        <f>IF(I457=0,"No Flood",IF(I457&lt;=0.5,"Low",IF(I457&lt;=2,"Moderate","High")))</f>
        <v/>
      </c>
    </row>
    <row r="458" ht="15" customHeight="1" s="12">
      <c r="A458" s="14">
        <f>'Raw Data'!A458</f>
        <v/>
      </c>
      <c r="B458" s="14">
        <f>'Raw Data'!B458</f>
        <v/>
      </c>
      <c r="C458" s="14">
        <f>'Raw Data'!C458</f>
        <v/>
      </c>
      <c r="D458" s="15">
        <f>'Raw Data'!M458</f>
        <v/>
      </c>
      <c r="E458" s="18">
        <f>'Raw Data'!M458/'Raw Data'!L458*100</f>
        <v/>
      </c>
      <c r="F458" s="14">
        <f>IF(E458&gt;15,"Wet Year",IF(E458&lt;-15,"Dry Year","Normal Year"))</f>
        <v/>
      </c>
      <c r="G458" s="16">
        <f>'Raw Data'!I458</f>
        <v/>
      </c>
      <c r="H458" s="14">
        <f>IF(G458&lt;15,"Low Variability",IF(G458&lt;=35,"Moderate Variability","High Variability"))</f>
        <v/>
      </c>
      <c r="I458" s="18">
        <f>'Raw Data'!O458</f>
        <v/>
      </c>
      <c r="J458" s="14">
        <f>IF(I458=0,"No Flood",IF(I458&lt;=0.5,"Low",IF(I458&lt;=2,"Moderate","High")))</f>
        <v/>
      </c>
    </row>
    <row r="459" ht="15" customHeight="1" s="12">
      <c r="A459" s="14">
        <f>'Raw Data'!A459</f>
        <v/>
      </c>
      <c r="B459" s="14">
        <f>'Raw Data'!B459</f>
        <v/>
      </c>
      <c r="C459" s="14">
        <f>'Raw Data'!C459</f>
        <v/>
      </c>
      <c r="D459" s="15">
        <f>'Raw Data'!M459</f>
        <v/>
      </c>
      <c r="E459" s="18">
        <f>'Raw Data'!M459/'Raw Data'!L459*100</f>
        <v/>
      </c>
      <c r="F459" s="14">
        <f>IF(E459&gt;15,"Wet Year",IF(E459&lt;-15,"Dry Year","Normal Year"))</f>
        <v/>
      </c>
      <c r="G459" s="16">
        <f>'Raw Data'!I459</f>
        <v/>
      </c>
      <c r="H459" s="14">
        <f>IF(G459&lt;15,"Low Variability",IF(G459&lt;=35,"Moderate Variability","High Variability"))</f>
        <v/>
      </c>
      <c r="I459" s="18">
        <f>'Raw Data'!O459</f>
        <v/>
      </c>
      <c r="J459" s="14">
        <f>IF(I459=0,"No Flood",IF(I459&lt;=0.5,"Low",IF(I459&lt;=2,"Moderate","High")))</f>
        <v/>
      </c>
    </row>
    <row r="460" ht="15" customHeight="1" s="12">
      <c r="A460" s="14">
        <f>'Raw Data'!A460</f>
        <v/>
      </c>
      <c r="B460" s="14">
        <f>'Raw Data'!B460</f>
        <v/>
      </c>
      <c r="C460" s="14">
        <f>'Raw Data'!C460</f>
        <v/>
      </c>
      <c r="D460" s="15">
        <f>'Raw Data'!M460</f>
        <v/>
      </c>
      <c r="E460" s="18">
        <f>'Raw Data'!M460/'Raw Data'!L460*100</f>
        <v/>
      </c>
      <c r="F460" s="14">
        <f>IF(E460&gt;15,"Wet Year",IF(E460&lt;-15,"Dry Year","Normal Year"))</f>
        <v/>
      </c>
      <c r="G460" s="16">
        <f>'Raw Data'!I460</f>
        <v/>
      </c>
      <c r="H460" s="14">
        <f>IF(G460&lt;15,"Low Variability",IF(G460&lt;=35,"Moderate Variability","High Variability"))</f>
        <v/>
      </c>
      <c r="I460" s="18">
        <f>'Raw Data'!O460</f>
        <v/>
      </c>
      <c r="J460" s="14">
        <f>IF(I460=0,"No Flood",IF(I460&lt;=0.5,"Low",IF(I460&lt;=2,"Moderate","High")))</f>
        <v/>
      </c>
    </row>
    <row r="461" ht="15" customHeight="1" s="12">
      <c r="A461" s="14">
        <f>'Raw Data'!A461</f>
        <v/>
      </c>
      <c r="B461" s="14">
        <f>'Raw Data'!B461</f>
        <v/>
      </c>
      <c r="C461" s="14">
        <f>'Raw Data'!C461</f>
        <v/>
      </c>
      <c r="D461" s="15">
        <f>'Raw Data'!M461</f>
        <v/>
      </c>
      <c r="E461" s="18">
        <f>'Raw Data'!M461/'Raw Data'!L461*100</f>
        <v/>
      </c>
      <c r="F461" s="14">
        <f>IF(E461&gt;15,"Wet Year",IF(E461&lt;-15,"Dry Year","Normal Year"))</f>
        <v/>
      </c>
      <c r="G461" s="16">
        <f>'Raw Data'!I461</f>
        <v/>
      </c>
      <c r="H461" s="14">
        <f>IF(G461&lt;15,"Low Variability",IF(G461&lt;=35,"Moderate Variability","High Variability"))</f>
        <v/>
      </c>
      <c r="I461" s="18">
        <f>'Raw Data'!O461</f>
        <v/>
      </c>
      <c r="J461" s="14">
        <f>IF(I461=0,"No Flood",IF(I461&lt;=0.5,"Low",IF(I461&lt;=2,"Moderate","High")))</f>
        <v/>
      </c>
    </row>
    <row r="462" ht="15" customHeight="1" s="12">
      <c r="A462" s="14">
        <f>'Raw Data'!A462</f>
        <v/>
      </c>
      <c r="B462" s="14">
        <f>'Raw Data'!B462</f>
        <v/>
      </c>
      <c r="C462" s="14">
        <f>'Raw Data'!C462</f>
        <v/>
      </c>
      <c r="D462" s="15">
        <f>'Raw Data'!M462</f>
        <v/>
      </c>
      <c r="E462" s="18">
        <f>'Raw Data'!M462/'Raw Data'!L462*100</f>
        <v/>
      </c>
      <c r="F462" s="14">
        <f>IF(E462&gt;15,"Wet Year",IF(E462&lt;-15,"Dry Year","Normal Year"))</f>
        <v/>
      </c>
      <c r="G462" s="16">
        <f>'Raw Data'!I462</f>
        <v/>
      </c>
      <c r="H462" s="14">
        <f>IF(G462&lt;15,"Low Variability",IF(G462&lt;=35,"Moderate Variability","High Variability"))</f>
        <v/>
      </c>
      <c r="I462" s="18">
        <f>'Raw Data'!O462</f>
        <v/>
      </c>
      <c r="J462" s="14">
        <f>IF(I462=0,"No Flood",IF(I462&lt;=0.5,"Low",IF(I462&lt;=2,"Moderate","High")))</f>
        <v/>
      </c>
    </row>
    <row r="463" ht="15" customHeight="1" s="12">
      <c r="A463" s="14">
        <f>'Raw Data'!A463</f>
        <v/>
      </c>
      <c r="B463" s="14">
        <f>'Raw Data'!B463</f>
        <v/>
      </c>
      <c r="C463" s="14">
        <f>'Raw Data'!C463</f>
        <v/>
      </c>
      <c r="D463" s="15">
        <f>'Raw Data'!M463</f>
        <v/>
      </c>
      <c r="E463" s="18">
        <f>'Raw Data'!M463/'Raw Data'!L463*100</f>
        <v/>
      </c>
      <c r="F463" s="14">
        <f>IF(E463&gt;15,"Wet Year",IF(E463&lt;-15,"Dry Year","Normal Year"))</f>
        <v/>
      </c>
      <c r="G463" s="16">
        <f>'Raw Data'!I463</f>
        <v/>
      </c>
      <c r="H463" s="14">
        <f>IF(G463&lt;15,"Low Variability",IF(G463&lt;=35,"Moderate Variability","High Variability"))</f>
        <v/>
      </c>
      <c r="I463" s="18">
        <f>'Raw Data'!O463</f>
        <v/>
      </c>
      <c r="J463" s="14">
        <f>IF(I463=0,"No Flood",IF(I463&lt;=0.5,"Low",IF(I463&lt;=2,"Moderate","High")))</f>
        <v/>
      </c>
    </row>
    <row r="464" ht="15" customHeight="1" s="12">
      <c r="A464" s="14">
        <f>'Raw Data'!A464</f>
        <v/>
      </c>
      <c r="B464" s="14">
        <f>'Raw Data'!B464</f>
        <v/>
      </c>
      <c r="C464" s="14">
        <f>'Raw Data'!C464</f>
        <v/>
      </c>
      <c r="D464" s="15">
        <f>'Raw Data'!M464</f>
        <v/>
      </c>
      <c r="E464" s="18">
        <f>'Raw Data'!M464/'Raw Data'!L464*100</f>
        <v/>
      </c>
      <c r="F464" s="14">
        <f>IF(E464&gt;15,"Wet Year",IF(E464&lt;-15,"Dry Year","Normal Year"))</f>
        <v/>
      </c>
      <c r="G464" s="16">
        <f>'Raw Data'!I464</f>
        <v/>
      </c>
      <c r="H464" s="14">
        <f>IF(G464&lt;15,"Low Variability",IF(G464&lt;=35,"Moderate Variability","High Variability"))</f>
        <v/>
      </c>
      <c r="I464" s="18">
        <f>'Raw Data'!O464</f>
        <v/>
      </c>
      <c r="J464" s="14">
        <f>IF(I464=0,"No Flood",IF(I464&lt;=0.5,"Low",IF(I464&lt;=2,"Moderate","High")))</f>
        <v/>
      </c>
    </row>
    <row r="465" ht="15" customHeight="1" s="12">
      <c r="A465" s="14">
        <f>'Raw Data'!A465</f>
        <v/>
      </c>
      <c r="B465" s="14">
        <f>'Raw Data'!B465</f>
        <v/>
      </c>
      <c r="C465" s="14">
        <f>'Raw Data'!C465</f>
        <v/>
      </c>
      <c r="D465" s="15">
        <f>'Raw Data'!M465</f>
        <v/>
      </c>
      <c r="E465" s="18">
        <f>'Raw Data'!M465/'Raw Data'!L465*100</f>
        <v/>
      </c>
      <c r="F465" s="14">
        <f>IF(E465&gt;15,"Wet Year",IF(E465&lt;-15,"Dry Year","Normal Year"))</f>
        <v/>
      </c>
      <c r="G465" s="16">
        <f>'Raw Data'!I465</f>
        <v/>
      </c>
      <c r="H465" s="14">
        <f>IF(G465&lt;15,"Low Variability",IF(G465&lt;=35,"Moderate Variability","High Variability"))</f>
        <v/>
      </c>
      <c r="I465" s="18">
        <f>'Raw Data'!O465</f>
        <v/>
      </c>
      <c r="J465" s="14">
        <f>IF(I465=0,"No Flood",IF(I465&lt;=0.5,"Low",IF(I465&lt;=2,"Moderate","High")))</f>
        <v/>
      </c>
    </row>
    <row r="466" ht="15" customHeight="1" s="12">
      <c r="A466" s="14">
        <f>'Raw Data'!A466</f>
        <v/>
      </c>
      <c r="B466" s="14">
        <f>'Raw Data'!B466</f>
        <v/>
      </c>
      <c r="C466" s="14">
        <f>'Raw Data'!C466</f>
        <v/>
      </c>
      <c r="D466" s="15">
        <f>'Raw Data'!M466</f>
        <v/>
      </c>
      <c r="E466" s="18">
        <f>'Raw Data'!M466/'Raw Data'!L466*100</f>
        <v/>
      </c>
      <c r="F466" s="14">
        <f>IF(E466&gt;15,"Wet Year",IF(E466&lt;-15,"Dry Year","Normal Year"))</f>
        <v/>
      </c>
      <c r="G466" s="16">
        <f>'Raw Data'!I466</f>
        <v/>
      </c>
      <c r="H466" s="14">
        <f>IF(G466&lt;15,"Low Variability",IF(G466&lt;=35,"Moderate Variability","High Variability"))</f>
        <v/>
      </c>
      <c r="I466" s="18">
        <f>'Raw Data'!O466</f>
        <v/>
      </c>
      <c r="J466" s="14">
        <f>IF(I466=0,"No Flood",IF(I466&lt;=0.5,"Low",IF(I466&lt;=2,"Moderate","High")))</f>
        <v/>
      </c>
    </row>
    <row r="467" ht="15" customHeight="1" s="12">
      <c r="A467" s="14">
        <f>'Raw Data'!A467</f>
        <v/>
      </c>
      <c r="B467" s="14">
        <f>'Raw Data'!B467</f>
        <v/>
      </c>
      <c r="C467" s="14">
        <f>'Raw Data'!C467</f>
        <v/>
      </c>
      <c r="D467" s="15">
        <f>'Raw Data'!M467</f>
        <v/>
      </c>
      <c r="E467" s="18">
        <f>'Raw Data'!M467/'Raw Data'!L467*100</f>
        <v/>
      </c>
      <c r="F467" s="14">
        <f>IF(E467&gt;15,"Wet Year",IF(E467&lt;-15,"Dry Year","Normal Year"))</f>
        <v/>
      </c>
      <c r="G467" s="16">
        <f>'Raw Data'!I467</f>
        <v/>
      </c>
      <c r="H467" s="14">
        <f>IF(G467&lt;15,"Low Variability",IF(G467&lt;=35,"Moderate Variability","High Variability"))</f>
        <v/>
      </c>
      <c r="I467" s="18">
        <f>'Raw Data'!O467</f>
        <v/>
      </c>
      <c r="J467" s="14">
        <f>IF(I467=0,"No Flood",IF(I467&lt;=0.5,"Low",IF(I467&lt;=2,"Moderate","High")))</f>
        <v/>
      </c>
    </row>
    <row r="468" ht="15" customHeight="1" s="12">
      <c r="A468" s="14">
        <f>'Raw Data'!A468</f>
        <v/>
      </c>
      <c r="B468" s="14">
        <f>'Raw Data'!B468</f>
        <v/>
      </c>
      <c r="C468" s="14">
        <f>'Raw Data'!C468</f>
        <v/>
      </c>
      <c r="D468" s="15">
        <f>'Raw Data'!M468</f>
        <v/>
      </c>
      <c r="E468" s="18">
        <f>'Raw Data'!M468/'Raw Data'!L468*100</f>
        <v/>
      </c>
      <c r="F468" s="14">
        <f>IF(E468&gt;15,"Wet Year",IF(E468&lt;-15,"Dry Year","Normal Year"))</f>
        <v/>
      </c>
      <c r="G468" s="16">
        <f>'Raw Data'!I468</f>
        <v/>
      </c>
      <c r="H468" s="14">
        <f>IF(G468&lt;15,"Low Variability",IF(G468&lt;=35,"Moderate Variability","High Variability"))</f>
        <v/>
      </c>
      <c r="I468" s="18">
        <f>'Raw Data'!O468</f>
        <v/>
      </c>
      <c r="J468" s="14">
        <f>IF(I468=0,"No Flood",IF(I468&lt;=0.5,"Low",IF(I468&lt;=2,"Moderate","High")))</f>
        <v/>
      </c>
    </row>
    <row r="469" ht="15" customHeight="1" s="12">
      <c r="A469" s="14">
        <f>'Raw Data'!A469</f>
        <v/>
      </c>
      <c r="B469" s="14">
        <f>'Raw Data'!B469</f>
        <v/>
      </c>
      <c r="C469" s="14">
        <f>'Raw Data'!C469</f>
        <v/>
      </c>
      <c r="D469" s="15">
        <f>'Raw Data'!M469</f>
        <v/>
      </c>
      <c r="E469" s="18">
        <f>'Raw Data'!M469/'Raw Data'!L469*100</f>
        <v/>
      </c>
      <c r="F469" s="14">
        <f>IF(E469&gt;15,"Wet Year",IF(E469&lt;-15,"Dry Year","Normal Year"))</f>
        <v/>
      </c>
      <c r="G469" s="16">
        <f>'Raw Data'!I469</f>
        <v/>
      </c>
      <c r="H469" s="14">
        <f>IF(G469&lt;15,"Low Variability",IF(G469&lt;=35,"Moderate Variability","High Variability"))</f>
        <v/>
      </c>
      <c r="I469" s="18">
        <f>'Raw Data'!O469</f>
        <v/>
      </c>
      <c r="J469" s="14">
        <f>IF(I469=0,"No Flood",IF(I469&lt;=0.5,"Low",IF(I469&lt;=2,"Moderate","High")))</f>
        <v/>
      </c>
    </row>
    <row r="470" ht="15" customHeight="1" s="12">
      <c r="A470" s="14">
        <f>'Raw Data'!A470</f>
        <v/>
      </c>
      <c r="B470" s="14">
        <f>'Raw Data'!B470</f>
        <v/>
      </c>
      <c r="C470" s="14">
        <f>'Raw Data'!C470</f>
        <v/>
      </c>
      <c r="D470" s="15">
        <f>'Raw Data'!M470</f>
        <v/>
      </c>
      <c r="E470" s="18">
        <f>'Raw Data'!M470/'Raw Data'!L470*100</f>
        <v/>
      </c>
      <c r="F470" s="14">
        <f>IF(E470&gt;15,"Wet Year",IF(E470&lt;-15,"Dry Year","Normal Year"))</f>
        <v/>
      </c>
      <c r="G470" s="16">
        <f>'Raw Data'!I470</f>
        <v/>
      </c>
      <c r="H470" s="14">
        <f>IF(G470&lt;15,"Low Variability",IF(G470&lt;=35,"Moderate Variability","High Variability"))</f>
        <v/>
      </c>
      <c r="I470" s="18">
        <f>'Raw Data'!O470</f>
        <v/>
      </c>
      <c r="J470" s="14">
        <f>IF(I470=0,"No Flood",IF(I470&lt;=0.5,"Low",IF(I470&lt;=2,"Moderate","High")))</f>
        <v/>
      </c>
    </row>
    <row r="471" ht="15" customHeight="1" s="12">
      <c r="A471" s="14">
        <f>'Raw Data'!A471</f>
        <v/>
      </c>
      <c r="B471" s="14">
        <f>'Raw Data'!B471</f>
        <v/>
      </c>
      <c r="C471" s="14">
        <f>'Raw Data'!C471</f>
        <v/>
      </c>
      <c r="D471" s="15">
        <f>'Raw Data'!M471</f>
        <v/>
      </c>
      <c r="E471" s="18">
        <f>'Raw Data'!M471/'Raw Data'!L471*100</f>
        <v/>
      </c>
      <c r="F471" s="14">
        <f>IF(E471&gt;15,"Wet Year",IF(E471&lt;-15,"Dry Year","Normal Year"))</f>
        <v/>
      </c>
      <c r="G471" s="16">
        <f>'Raw Data'!I471</f>
        <v/>
      </c>
      <c r="H471" s="14">
        <f>IF(G471&lt;15,"Low Variability",IF(G471&lt;=35,"Moderate Variability","High Variability"))</f>
        <v/>
      </c>
      <c r="I471" s="18">
        <f>'Raw Data'!O471</f>
        <v/>
      </c>
      <c r="J471" s="14">
        <f>IF(I471=0,"No Flood",IF(I471&lt;=0.5,"Low",IF(I471&lt;=2,"Moderate","High")))</f>
        <v/>
      </c>
    </row>
    <row r="472" ht="15" customHeight="1" s="12">
      <c r="A472" s="14">
        <f>'Raw Data'!A472</f>
        <v/>
      </c>
      <c r="B472" s="14">
        <f>'Raw Data'!B472</f>
        <v/>
      </c>
      <c r="C472" s="14">
        <f>'Raw Data'!C472</f>
        <v/>
      </c>
      <c r="D472" s="15">
        <f>'Raw Data'!M472</f>
        <v/>
      </c>
      <c r="E472" s="18">
        <f>'Raw Data'!M472/'Raw Data'!L472*100</f>
        <v/>
      </c>
      <c r="F472" s="14">
        <f>IF(E472&gt;15,"Wet Year",IF(E472&lt;-15,"Dry Year","Normal Year"))</f>
        <v/>
      </c>
      <c r="G472" s="16">
        <f>'Raw Data'!I472</f>
        <v/>
      </c>
      <c r="H472" s="14">
        <f>IF(G472&lt;15,"Low Variability",IF(G472&lt;=35,"Moderate Variability","High Variability"))</f>
        <v/>
      </c>
      <c r="I472" s="18">
        <f>'Raw Data'!O472</f>
        <v/>
      </c>
      <c r="J472" s="14">
        <f>IF(I472=0,"No Flood",IF(I472&lt;=0.5,"Low",IF(I472&lt;=2,"Moderate","High")))</f>
        <v/>
      </c>
    </row>
    <row r="473" ht="15" customHeight="1" s="12">
      <c r="A473" s="14">
        <f>'Raw Data'!A473</f>
        <v/>
      </c>
      <c r="B473" s="14">
        <f>'Raw Data'!B473</f>
        <v/>
      </c>
      <c r="C473" s="14">
        <f>'Raw Data'!C473</f>
        <v/>
      </c>
      <c r="D473" s="15">
        <f>'Raw Data'!M473</f>
        <v/>
      </c>
      <c r="E473" s="18">
        <f>'Raw Data'!M473/'Raw Data'!L473*100</f>
        <v/>
      </c>
      <c r="F473" s="14">
        <f>IF(E473&gt;15,"Wet Year",IF(E473&lt;-15,"Dry Year","Normal Year"))</f>
        <v/>
      </c>
      <c r="G473" s="16">
        <f>'Raw Data'!I473</f>
        <v/>
      </c>
      <c r="H473" s="14">
        <f>IF(G473&lt;15,"Low Variability",IF(G473&lt;=35,"Moderate Variability","High Variability"))</f>
        <v/>
      </c>
      <c r="I473" s="18">
        <f>'Raw Data'!O473</f>
        <v/>
      </c>
      <c r="J473" s="14">
        <f>IF(I473=0,"No Flood",IF(I473&lt;=0.5,"Low",IF(I473&lt;=2,"Moderate","High")))</f>
        <v/>
      </c>
    </row>
    <row r="474" ht="15" customHeight="1" s="12">
      <c r="A474" s="14">
        <f>'Raw Data'!A474</f>
        <v/>
      </c>
      <c r="B474" s="14">
        <f>'Raw Data'!B474</f>
        <v/>
      </c>
      <c r="C474" s="14">
        <f>'Raw Data'!C474</f>
        <v/>
      </c>
      <c r="D474" s="15">
        <f>'Raw Data'!M474</f>
        <v/>
      </c>
      <c r="E474" s="18">
        <f>'Raw Data'!M474/'Raw Data'!L474*100</f>
        <v/>
      </c>
      <c r="F474" s="14">
        <f>IF(E474&gt;15,"Wet Year",IF(E474&lt;-15,"Dry Year","Normal Year"))</f>
        <v/>
      </c>
      <c r="G474" s="16">
        <f>'Raw Data'!I474</f>
        <v/>
      </c>
      <c r="H474" s="14">
        <f>IF(G474&lt;15,"Low Variability",IF(G474&lt;=35,"Moderate Variability","High Variability"))</f>
        <v/>
      </c>
      <c r="I474" s="18">
        <f>'Raw Data'!O474</f>
        <v/>
      </c>
      <c r="J474" s="14">
        <f>IF(I474=0,"No Flood",IF(I474&lt;=0.5,"Low",IF(I474&lt;=2,"Moderate","High")))</f>
        <v/>
      </c>
    </row>
    <row r="475" ht="15" customHeight="1" s="12">
      <c r="A475" s="14">
        <f>'Raw Data'!A475</f>
        <v/>
      </c>
      <c r="B475" s="14">
        <f>'Raw Data'!B475</f>
        <v/>
      </c>
      <c r="C475" s="14">
        <f>'Raw Data'!C475</f>
        <v/>
      </c>
      <c r="D475" s="15">
        <f>'Raw Data'!M475</f>
        <v/>
      </c>
      <c r="E475" s="18">
        <f>'Raw Data'!M475/'Raw Data'!L475*100</f>
        <v/>
      </c>
      <c r="F475" s="14">
        <f>IF(E475&gt;15,"Wet Year",IF(E475&lt;-15,"Dry Year","Normal Year"))</f>
        <v/>
      </c>
      <c r="G475" s="16">
        <f>'Raw Data'!I475</f>
        <v/>
      </c>
      <c r="H475" s="14">
        <f>IF(G475&lt;15,"Low Variability",IF(G475&lt;=35,"Moderate Variability","High Variability"))</f>
        <v/>
      </c>
      <c r="I475" s="18">
        <f>'Raw Data'!O475</f>
        <v/>
      </c>
      <c r="J475" s="14">
        <f>IF(I475=0,"No Flood",IF(I475&lt;=0.5,"Low",IF(I475&lt;=2,"Moderate","High")))</f>
        <v/>
      </c>
    </row>
    <row r="476" ht="15" customHeight="1" s="12">
      <c r="A476" s="14">
        <f>'Raw Data'!A476</f>
        <v/>
      </c>
      <c r="B476" s="14">
        <f>'Raw Data'!B476</f>
        <v/>
      </c>
      <c r="C476" s="14">
        <f>'Raw Data'!C476</f>
        <v/>
      </c>
      <c r="D476" s="15">
        <f>'Raw Data'!M476</f>
        <v/>
      </c>
      <c r="E476" s="18">
        <f>'Raw Data'!M476/'Raw Data'!L476*100</f>
        <v/>
      </c>
      <c r="F476" s="14">
        <f>IF(E476&gt;15,"Wet Year",IF(E476&lt;-15,"Dry Year","Normal Year"))</f>
        <v/>
      </c>
      <c r="G476" s="16">
        <f>'Raw Data'!I476</f>
        <v/>
      </c>
      <c r="H476" s="14">
        <f>IF(G476&lt;15,"Low Variability",IF(G476&lt;=35,"Moderate Variability","High Variability"))</f>
        <v/>
      </c>
      <c r="I476" s="18">
        <f>'Raw Data'!O476</f>
        <v/>
      </c>
      <c r="J476" s="14">
        <f>IF(I476=0,"No Flood",IF(I476&lt;=0.5,"Low",IF(I476&lt;=2,"Moderate","High")))</f>
        <v/>
      </c>
    </row>
    <row r="477" ht="15" customHeight="1" s="12">
      <c r="A477" s="14">
        <f>'Raw Data'!A477</f>
        <v/>
      </c>
      <c r="B477" s="14">
        <f>'Raw Data'!B477</f>
        <v/>
      </c>
      <c r="C477" s="14">
        <f>'Raw Data'!C477</f>
        <v/>
      </c>
      <c r="D477" s="15">
        <f>'Raw Data'!M477</f>
        <v/>
      </c>
      <c r="E477" s="18">
        <f>'Raw Data'!M477/'Raw Data'!L477*100</f>
        <v/>
      </c>
      <c r="F477" s="14">
        <f>IF(E477&gt;15,"Wet Year",IF(E477&lt;-15,"Dry Year","Normal Year"))</f>
        <v/>
      </c>
      <c r="G477" s="16">
        <f>'Raw Data'!I477</f>
        <v/>
      </c>
      <c r="H477" s="14">
        <f>IF(G477&lt;15,"Low Variability",IF(G477&lt;=35,"Moderate Variability","High Variability"))</f>
        <v/>
      </c>
      <c r="I477" s="18">
        <f>'Raw Data'!O477</f>
        <v/>
      </c>
      <c r="J477" s="14">
        <f>IF(I477=0,"No Flood",IF(I477&lt;=0.5,"Low",IF(I477&lt;=2,"Moderate","High")))</f>
        <v/>
      </c>
    </row>
    <row r="478" ht="15" customHeight="1" s="12">
      <c r="A478" s="14">
        <f>'Raw Data'!A478</f>
        <v/>
      </c>
      <c r="B478" s="14">
        <f>'Raw Data'!B478</f>
        <v/>
      </c>
      <c r="C478" s="14">
        <f>'Raw Data'!C478</f>
        <v/>
      </c>
      <c r="D478" s="15">
        <f>'Raw Data'!M478</f>
        <v/>
      </c>
      <c r="E478" s="18">
        <f>'Raw Data'!M478/'Raw Data'!L478*100</f>
        <v/>
      </c>
      <c r="F478" s="14">
        <f>IF(E478&gt;15,"Wet Year",IF(E478&lt;-15,"Dry Year","Normal Year"))</f>
        <v/>
      </c>
      <c r="G478" s="16">
        <f>'Raw Data'!I478</f>
        <v/>
      </c>
      <c r="H478" s="14">
        <f>IF(G478&lt;15,"Low Variability",IF(G478&lt;=35,"Moderate Variability","High Variability"))</f>
        <v/>
      </c>
      <c r="I478" s="18">
        <f>'Raw Data'!O478</f>
        <v/>
      </c>
      <c r="J478" s="14">
        <f>IF(I478=0,"No Flood",IF(I478&lt;=0.5,"Low",IF(I478&lt;=2,"Moderate","High")))</f>
        <v/>
      </c>
    </row>
    <row r="479" ht="15" customHeight="1" s="12">
      <c r="A479" s="14">
        <f>'Raw Data'!A479</f>
        <v/>
      </c>
      <c r="B479" s="14">
        <f>'Raw Data'!B479</f>
        <v/>
      </c>
      <c r="C479" s="14">
        <f>'Raw Data'!C479</f>
        <v/>
      </c>
      <c r="D479" s="15">
        <f>'Raw Data'!M479</f>
        <v/>
      </c>
      <c r="E479" s="18">
        <f>'Raw Data'!M479/'Raw Data'!L479*100</f>
        <v/>
      </c>
      <c r="F479" s="14">
        <f>IF(E479&gt;15,"Wet Year",IF(E479&lt;-15,"Dry Year","Normal Year"))</f>
        <v/>
      </c>
      <c r="G479" s="16">
        <f>'Raw Data'!I479</f>
        <v/>
      </c>
      <c r="H479" s="14">
        <f>IF(G479&lt;15,"Low Variability",IF(G479&lt;=35,"Moderate Variability","High Variability"))</f>
        <v/>
      </c>
      <c r="I479" s="18">
        <f>'Raw Data'!O479</f>
        <v/>
      </c>
      <c r="J479" s="14">
        <f>IF(I479=0,"No Flood",IF(I479&lt;=0.5,"Low",IF(I479&lt;=2,"Moderate","High")))</f>
        <v/>
      </c>
    </row>
    <row r="480" ht="15" customHeight="1" s="12">
      <c r="A480" s="14">
        <f>'Raw Data'!A480</f>
        <v/>
      </c>
      <c r="B480" s="14">
        <f>'Raw Data'!B480</f>
        <v/>
      </c>
      <c r="C480" s="14">
        <f>'Raw Data'!C480</f>
        <v/>
      </c>
      <c r="D480" s="15">
        <f>'Raw Data'!M480</f>
        <v/>
      </c>
      <c r="E480" s="18">
        <f>'Raw Data'!M480/'Raw Data'!L480*100</f>
        <v/>
      </c>
      <c r="F480" s="14">
        <f>IF(E480&gt;15,"Wet Year",IF(E480&lt;-15,"Dry Year","Normal Year"))</f>
        <v/>
      </c>
      <c r="G480" s="16">
        <f>'Raw Data'!I480</f>
        <v/>
      </c>
      <c r="H480" s="14">
        <f>IF(G480&lt;15,"Low Variability",IF(G480&lt;=35,"Moderate Variability","High Variability"))</f>
        <v/>
      </c>
      <c r="I480" s="18">
        <f>'Raw Data'!O480</f>
        <v/>
      </c>
      <c r="J480" s="14">
        <f>IF(I480=0,"No Flood",IF(I480&lt;=0.5,"Low",IF(I480&lt;=2,"Moderate","High")))</f>
        <v/>
      </c>
    </row>
    <row r="481" ht="15" customHeight="1" s="12">
      <c r="A481" s="14">
        <f>'Raw Data'!A481</f>
        <v/>
      </c>
      <c r="B481" s="14">
        <f>'Raw Data'!B481</f>
        <v/>
      </c>
      <c r="C481" s="14">
        <f>'Raw Data'!C481</f>
        <v/>
      </c>
      <c r="D481" s="15">
        <f>'Raw Data'!M481</f>
        <v/>
      </c>
      <c r="E481" s="18">
        <f>'Raw Data'!M481/'Raw Data'!L481*100</f>
        <v/>
      </c>
      <c r="F481" s="14">
        <f>IF(E481&gt;15,"Wet Year",IF(E481&lt;-15,"Dry Year","Normal Year"))</f>
        <v/>
      </c>
      <c r="G481" s="16">
        <f>'Raw Data'!I481</f>
        <v/>
      </c>
      <c r="H481" s="14">
        <f>IF(G481&lt;15,"Low Variability",IF(G481&lt;=35,"Moderate Variability","High Variability"))</f>
        <v/>
      </c>
      <c r="I481" s="18">
        <f>'Raw Data'!O481</f>
        <v/>
      </c>
      <c r="J481" s="14">
        <f>IF(I481=0,"No Flood",IF(I481&lt;=0.5,"Low",IF(I481&lt;=2,"Moderate","High")))</f>
        <v/>
      </c>
    </row>
    <row r="482" ht="15" customHeight="1" s="12">
      <c r="A482" s="14">
        <f>'Raw Data'!A482</f>
        <v/>
      </c>
      <c r="B482" s="14">
        <f>'Raw Data'!B482</f>
        <v/>
      </c>
      <c r="C482" s="14">
        <f>'Raw Data'!C482</f>
        <v/>
      </c>
      <c r="D482" s="15">
        <f>'Raw Data'!M482</f>
        <v/>
      </c>
      <c r="E482" s="18">
        <f>'Raw Data'!M482/'Raw Data'!L482*100</f>
        <v/>
      </c>
      <c r="F482" s="14">
        <f>IF(E482&gt;15,"Wet Year",IF(E482&lt;-15,"Dry Year","Normal Year"))</f>
        <v/>
      </c>
      <c r="G482" s="16">
        <f>'Raw Data'!I482</f>
        <v/>
      </c>
      <c r="H482" s="14">
        <f>IF(G482&lt;15,"Low Variability",IF(G482&lt;=35,"Moderate Variability","High Variability"))</f>
        <v/>
      </c>
      <c r="I482" s="18">
        <f>'Raw Data'!O482</f>
        <v/>
      </c>
      <c r="J482" s="14">
        <f>IF(I482=0,"No Flood",IF(I482&lt;=0.5,"Low",IF(I482&lt;=2,"Moderate","High")))</f>
        <v/>
      </c>
    </row>
    <row r="483" ht="15" customHeight="1" s="12">
      <c r="A483" s="14">
        <f>'Raw Data'!A483</f>
        <v/>
      </c>
      <c r="B483" s="14">
        <f>'Raw Data'!B483</f>
        <v/>
      </c>
      <c r="C483" s="14">
        <f>'Raw Data'!C483</f>
        <v/>
      </c>
      <c r="D483" s="15">
        <f>'Raw Data'!M483</f>
        <v/>
      </c>
      <c r="E483" s="18">
        <f>'Raw Data'!M483/'Raw Data'!L483*100</f>
        <v/>
      </c>
      <c r="F483" s="14">
        <f>IF(E483&gt;15,"Wet Year",IF(E483&lt;-15,"Dry Year","Normal Year"))</f>
        <v/>
      </c>
      <c r="G483" s="16">
        <f>'Raw Data'!I483</f>
        <v/>
      </c>
      <c r="H483" s="14">
        <f>IF(G483&lt;15,"Low Variability",IF(G483&lt;=35,"Moderate Variability","High Variability"))</f>
        <v/>
      </c>
      <c r="I483" s="18">
        <f>'Raw Data'!O483</f>
        <v/>
      </c>
      <c r="J483" s="14">
        <f>IF(I483=0,"No Flood",IF(I483&lt;=0.5,"Low",IF(I483&lt;=2,"Moderate","High")))</f>
        <v/>
      </c>
    </row>
    <row r="484" ht="15" customHeight="1" s="12">
      <c r="A484" s="14">
        <f>'Raw Data'!A484</f>
        <v/>
      </c>
      <c r="B484" s="14">
        <f>'Raw Data'!B484</f>
        <v/>
      </c>
      <c r="C484" s="14">
        <f>'Raw Data'!C484</f>
        <v/>
      </c>
      <c r="D484" s="15">
        <f>'Raw Data'!M484</f>
        <v/>
      </c>
      <c r="E484" s="18">
        <f>'Raw Data'!M484/'Raw Data'!L484*100</f>
        <v/>
      </c>
      <c r="F484" s="14">
        <f>IF(E484&gt;15,"Wet Year",IF(E484&lt;-15,"Dry Year","Normal Year"))</f>
        <v/>
      </c>
      <c r="G484" s="16">
        <f>'Raw Data'!I484</f>
        <v/>
      </c>
      <c r="H484" s="14">
        <f>IF(G484&lt;15,"Low Variability",IF(G484&lt;=35,"Moderate Variability","High Variability"))</f>
        <v/>
      </c>
      <c r="I484" s="18">
        <f>'Raw Data'!O484</f>
        <v/>
      </c>
      <c r="J484" s="14">
        <f>IF(I484=0,"No Flood",IF(I484&lt;=0.5,"Low",IF(I484&lt;=2,"Moderate","High")))</f>
        <v/>
      </c>
    </row>
    <row r="485" ht="15" customHeight="1" s="12">
      <c r="A485" s="14">
        <f>'Raw Data'!A485</f>
        <v/>
      </c>
      <c r="B485" s="14">
        <f>'Raw Data'!B485</f>
        <v/>
      </c>
      <c r="C485" s="14">
        <f>'Raw Data'!C485</f>
        <v/>
      </c>
      <c r="D485" s="15">
        <f>'Raw Data'!M485</f>
        <v/>
      </c>
      <c r="E485" s="18">
        <f>'Raw Data'!M485/'Raw Data'!L485*100</f>
        <v/>
      </c>
      <c r="F485" s="14">
        <f>IF(E485&gt;15,"Wet Year",IF(E485&lt;-15,"Dry Year","Normal Year"))</f>
        <v/>
      </c>
      <c r="G485" s="16">
        <f>'Raw Data'!I485</f>
        <v/>
      </c>
      <c r="H485" s="14">
        <f>IF(G485&lt;15,"Low Variability",IF(G485&lt;=35,"Moderate Variability","High Variability"))</f>
        <v/>
      </c>
      <c r="I485" s="18">
        <f>'Raw Data'!O485</f>
        <v/>
      </c>
      <c r="J485" s="14">
        <f>IF(I485=0,"No Flood",IF(I485&lt;=0.5,"Low",IF(I485&lt;=2,"Moderate","High")))</f>
        <v/>
      </c>
    </row>
    <row r="486" ht="15" customHeight="1" s="12">
      <c r="A486" s="14">
        <f>'Raw Data'!A486</f>
        <v/>
      </c>
      <c r="B486" s="14">
        <f>'Raw Data'!B486</f>
        <v/>
      </c>
      <c r="C486" s="14">
        <f>'Raw Data'!C486</f>
        <v/>
      </c>
      <c r="D486" s="15">
        <f>'Raw Data'!M486</f>
        <v/>
      </c>
      <c r="E486" s="18">
        <f>'Raw Data'!M486/'Raw Data'!L486*100</f>
        <v/>
      </c>
      <c r="F486" s="14">
        <f>IF(E486&gt;15,"Wet Year",IF(E486&lt;-15,"Dry Year","Normal Year"))</f>
        <v/>
      </c>
      <c r="G486" s="16">
        <f>'Raw Data'!I486</f>
        <v/>
      </c>
      <c r="H486" s="14">
        <f>IF(G486&lt;15,"Low Variability",IF(G486&lt;=35,"Moderate Variability","High Variability"))</f>
        <v/>
      </c>
      <c r="I486" s="18">
        <f>'Raw Data'!O486</f>
        <v/>
      </c>
      <c r="J486" s="14">
        <f>IF(I486=0,"No Flood",IF(I486&lt;=0.5,"Low",IF(I486&lt;=2,"Moderate","High")))</f>
        <v/>
      </c>
    </row>
    <row r="487" ht="15" customHeight="1" s="12">
      <c r="A487" s="14">
        <f>'Raw Data'!A487</f>
        <v/>
      </c>
      <c r="B487" s="14">
        <f>'Raw Data'!B487</f>
        <v/>
      </c>
      <c r="C487" s="14">
        <f>'Raw Data'!C487</f>
        <v/>
      </c>
      <c r="D487" s="15">
        <f>'Raw Data'!M487</f>
        <v/>
      </c>
      <c r="E487" s="18">
        <f>'Raw Data'!M487/'Raw Data'!L487*100</f>
        <v/>
      </c>
      <c r="F487" s="14">
        <f>IF(E487&gt;15,"Wet Year",IF(E487&lt;-15,"Dry Year","Normal Year"))</f>
        <v/>
      </c>
      <c r="G487" s="16">
        <f>'Raw Data'!I487</f>
        <v/>
      </c>
      <c r="H487" s="14">
        <f>IF(G487&lt;15,"Low Variability",IF(G487&lt;=35,"Moderate Variability","High Variability"))</f>
        <v/>
      </c>
      <c r="I487" s="18">
        <f>'Raw Data'!O487</f>
        <v/>
      </c>
      <c r="J487" s="14">
        <f>IF(I487=0,"No Flood",IF(I487&lt;=0.5,"Low",IF(I487&lt;=2,"Moderate","High")))</f>
        <v/>
      </c>
    </row>
    <row r="488" ht="15" customHeight="1" s="12">
      <c r="A488" s="14">
        <f>'Raw Data'!A488</f>
        <v/>
      </c>
      <c r="B488" s="14">
        <f>'Raw Data'!B488</f>
        <v/>
      </c>
      <c r="C488" s="14">
        <f>'Raw Data'!C488</f>
        <v/>
      </c>
      <c r="D488" s="15">
        <f>'Raw Data'!M488</f>
        <v/>
      </c>
      <c r="E488" s="18">
        <f>'Raw Data'!M488/'Raw Data'!L488*100</f>
        <v/>
      </c>
      <c r="F488" s="14">
        <f>IF(E488&gt;15,"Wet Year",IF(E488&lt;-15,"Dry Year","Normal Year"))</f>
        <v/>
      </c>
      <c r="G488" s="16">
        <f>'Raw Data'!I488</f>
        <v/>
      </c>
      <c r="H488" s="14">
        <f>IF(G488&lt;15,"Low Variability",IF(G488&lt;=35,"Moderate Variability","High Variability"))</f>
        <v/>
      </c>
      <c r="I488" s="18">
        <f>'Raw Data'!O488</f>
        <v/>
      </c>
      <c r="J488" s="14">
        <f>IF(I488=0,"No Flood",IF(I488&lt;=0.5,"Low",IF(I488&lt;=2,"Moderate","High")))</f>
        <v/>
      </c>
    </row>
    <row r="489" ht="15" customHeight="1" s="12">
      <c r="A489" s="14">
        <f>'Raw Data'!A489</f>
        <v/>
      </c>
      <c r="B489" s="14">
        <f>'Raw Data'!B489</f>
        <v/>
      </c>
      <c r="C489" s="14">
        <f>'Raw Data'!C489</f>
        <v/>
      </c>
      <c r="D489" s="15">
        <f>'Raw Data'!M489</f>
        <v/>
      </c>
      <c r="E489" s="18">
        <f>'Raw Data'!M489/'Raw Data'!L489*100</f>
        <v/>
      </c>
      <c r="F489" s="14">
        <f>IF(E489&gt;15,"Wet Year",IF(E489&lt;-15,"Dry Year","Normal Year"))</f>
        <v/>
      </c>
      <c r="G489" s="16">
        <f>'Raw Data'!I489</f>
        <v/>
      </c>
      <c r="H489" s="14">
        <f>IF(G489&lt;15,"Low Variability",IF(G489&lt;=35,"Moderate Variability","High Variability"))</f>
        <v/>
      </c>
      <c r="I489" s="18">
        <f>'Raw Data'!O489</f>
        <v/>
      </c>
      <c r="J489" s="14">
        <f>IF(I489=0,"No Flood",IF(I489&lt;=0.5,"Low",IF(I489&lt;=2,"Moderate","High")))</f>
        <v/>
      </c>
    </row>
    <row r="490" ht="15" customHeight="1" s="12">
      <c r="A490" s="14">
        <f>'Raw Data'!A490</f>
        <v/>
      </c>
      <c r="B490" s="14">
        <f>'Raw Data'!B490</f>
        <v/>
      </c>
      <c r="C490" s="14">
        <f>'Raw Data'!C490</f>
        <v/>
      </c>
      <c r="D490" s="15">
        <f>'Raw Data'!M490</f>
        <v/>
      </c>
      <c r="E490" s="18">
        <f>'Raw Data'!M490/'Raw Data'!L490*100</f>
        <v/>
      </c>
      <c r="F490" s="14">
        <f>IF(E490&gt;15,"Wet Year",IF(E490&lt;-15,"Dry Year","Normal Year"))</f>
        <v/>
      </c>
      <c r="G490" s="16">
        <f>'Raw Data'!I490</f>
        <v/>
      </c>
      <c r="H490" s="14">
        <f>IF(G490&lt;15,"Low Variability",IF(G490&lt;=35,"Moderate Variability","High Variability"))</f>
        <v/>
      </c>
      <c r="I490" s="18">
        <f>'Raw Data'!O490</f>
        <v/>
      </c>
      <c r="J490" s="14">
        <f>IF(I490=0,"No Flood",IF(I490&lt;=0.5,"Low",IF(I490&lt;=2,"Moderate","High")))</f>
        <v/>
      </c>
    </row>
    <row r="491" ht="15" customHeight="1" s="12">
      <c r="A491" s="14">
        <f>'Raw Data'!A491</f>
        <v/>
      </c>
      <c r="B491" s="14">
        <f>'Raw Data'!B491</f>
        <v/>
      </c>
      <c r="C491" s="14">
        <f>'Raw Data'!C491</f>
        <v/>
      </c>
      <c r="D491" s="15">
        <f>'Raw Data'!M491</f>
        <v/>
      </c>
      <c r="E491" s="18">
        <f>'Raw Data'!M491/'Raw Data'!L491*100</f>
        <v/>
      </c>
      <c r="F491" s="14">
        <f>IF(E491&gt;15,"Wet Year",IF(E491&lt;-15,"Dry Year","Normal Year"))</f>
        <v/>
      </c>
      <c r="G491" s="16">
        <f>'Raw Data'!I491</f>
        <v/>
      </c>
      <c r="H491" s="14">
        <f>IF(G491&lt;15,"Low Variability",IF(G491&lt;=35,"Moderate Variability","High Variability"))</f>
        <v/>
      </c>
      <c r="I491" s="18">
        <f>'Raw Data'!O491</f>
        <v/>
      </c>
      <c r="J491" s="14">
        <f>IF(I491=0,"No Flood",IF(I491&lt;=0.5,"Low",IF(I491&lt;=2,"Moderate","High")))</f>
        <v/>
      </c>
    </row>
    <row r="492" ht="15" customHeight="1" s="12">
      <c r="A492" s="14">
        <f>'Raw Data'!A492</f>
        <v/>
      </c>
      <c r="B492" s="14">
        <f>'Raw Data'!B492</f>
        <v/>
      </c>
      <c r="C492" s="14">
        <f>'Raw Data'!C492</f>
        <v/>
      </c>
      <c r="D492" s="15">
        <f>'Raw Data'!M492</f>
        <v/>
      </c>
      <c r="E492" s="18">
        <f>'Raw Data'!M492/'Raw Data'!L492*100</f>
        <v/>
      </c>
      <c r="F492" s="14">
        <f>IF(E492&gt;15,"Wet Year",IF(E492&lt;-15,"Dry Year","Normal Year"))</f>
        <v/>
      </c>
      <c r="G492" s="16">
        <f>'Raw Data'!I492</f>
        <v/>
      </c>
      <c r="H492" s="14">
        <f>IF(G492&lt;15,"Low Variability",IF(G492&lt;=35,"Moderate Variability","High Variability"))</f>
        <v/>
      </c>
      <c r="I492" s="18">
        <f>'Raw Data'!O492</f>
        <v/>
      </c>
      <c r="J492" s="14">
        <f>IF(I492=0,"No Flood",IF(I492&lt;=0.5,"Low",IF(I492&lt;=2,"Moderate","High")))</f>
        <v/>
      </c>
    </row>
    <row r="493" ht="15" customHeight="1" s="12">
      <c r="A493" s="14">
        <f>'Raw Data'!A493</f>
        <v/>
      </c>
      <c r="B493" s="14">
        <f>'Raw Data'!B493</f>
        <v/>
      </c>
      <c r="C493" s="14">
        <f>'Raw Data'!C493</f>
        <v/>
      </c>
      <c r="D493" s="15">
        <f>'Raw Data'!M493</f>
        <v/>
      </c>
      <c r="E493" s="18">
        <f>'Raw Data'!M493/'Raw Data'!L493*100</f>
        <v/>
      </c>
      <c r="F493" s="14">
        <f>IF(E493&gt;15,"Wet Year",IF(E493&lt;-15,"Dry Year","Normal Year"))</f>
        <v/>
      </c>
      <c r="G493" s="16">
        <f>'Raw Data'!I493</f>
        <v/>
      </c>
      <c r="H493" s="14">
        <f>IF(G493&lt;15,"Low Variability",IF(G493&lt;=35,"Moderate Variability","High Variability"))</f>
        <v/>
      </c>
      <c r="I493" s="18">
        <f>'Raw Data'!O493</f>
        <v/>
      </c>
      <c r="J493" s="14">
        <f>IF(I493=0,"No Flood",IF(I493&lt;=0.5,"Low",IF(I493&lt;=2,"Moderate","High")))</f>
        <v/>
      </c>
    </row>
    <row r="494" ht="15" customHeight="1" s="12">
      <c r="A494" s="14">
        <f>'Raw Data'!A494</f>
        <v/>
      </c>
      <c r="B494" s="14">
        <f>'Raw Data'!B494</f>
        <v/>
      </c>
      <c r="C494" s="14">
        <f>'Raw Data'!C494</f>
        <v/>
      </c>
      <c r="D494" s="15">
        <f>'Raw Data'!M494</f>
        <v/>
      </c>
      <c r="E494" s="18">
        <f>'Raw Data'!M494/'Raw Data'!L494*100</f>
        <v/>
      </c>
      <c r="F494" s="14">
        <f>IF(E494&gt;15,"Wet Year",IF(E494&lt;-15,"Dry Year","Normal Year"))</f>
        <v/>
      </c>
      <c r="G494" s="16">
        <f>'Raw Data'!I494</f>
        <v/>
      </c>
      <c r="H494" s="14">
        <f>IF(G494&lt;15,"Low Variability",IF(G494&lt;=35,"Moderate Variability","High Variability"))</f>
        <v/>
      </c>
      <c r="I494" s="18">
        <f>'Raw Data'!O494</f>
        <v/>
      </c>
      <c r="J494" s="14">
        <f>IF(I494=0,"No Flood",IF(I494&lt;=0.5,"Low",IF(I494&lt;=2,"Moderate","High")))</f>
        <v/>
      </c>
    </row>
    <row r="495" ht="15" customHeight="1" s="12">
      <c r="A495" s="14">
        <f>'Raw Data'!A495</f>
        <v/>
      </c>
      <c r="B495" s="14">
        <f>'Raw Data'!B495</f>
        <v/>
      </c>
      <c r="C495" s="14">
        <f>'Raw Data'!C495</f>
        <v/>
      </c>
      <c r="D495" s="15">
        <f>'Raw Data'!M495</f>
        <v/>
      </c>
      <c r="E495" s="18">
        <f>'Raw Data'!M495/'Raw Data'!L495*100</f>
        <v/>
      </c>
      <c r="F495" s="14">
        <f>IF(E495&gt;15,"Wet Year",IF(E495&lt;-15,"Dry Year","Normal Year"))</f>
        <v/>
      </c>
      <c r="G495" s="16">
        <f>'Raw Data'!I495</f>
        <v/>
      </c>
      <c r="H495" s="14">
        <f>IF(G495&lt;15,"Low Variability",IF(G495&lt;=35,"Moderate Variability","High Variability"))</f>
        <v/>
      </c>
      <c r="I495" s="18">
        <f>'Raw Data'!O495</f>
        <v/>
      </c>
      <c r="J495" s="14">
        <f>IF(I495=0,"No Flood",IF(I495&lt;=0.5,"Low",IF(I495&lt;=2,"Moderate","High")))</f>
        <v/>
      </c>
    </row>
    <row r="496" ht="15" customHeight="1" s="12">
      <c r="A496" s="14">
        <f>'Raw Data'!A496</f>
        <v/>
      </c>
      <c r="B496" s="14">
        <f>'Raw Data'!B496</f>
        <v/>
      </c>
      <c r="C496" s="14">
        <f>'Raw Data'!C496</f>
        <v/>
      </c>
      <c r="D496" s="15">
        <f>'Raw Data'!M496</f>
        <v/>
      </c>
      <c r="E496" s="18">
        <f>'Raw Data'!M496/'Raw Data'!L496*100</f>
        <v/>
      </c>
      <c r="F496" s="14">
        <f>IF(E496&gt;15,"Wet Year",IF(E496&lt;-15,"Dry Year","Normal Year"))</f>
        <v/>
      </c>
      <c r="G496" s="16">
        <f>'Raw Data'!I496</f>
        <v/>
      </c>
      <c r="H496" s="14">
        <f>IF(G496&lt;15,"Low Variability",IF(G496&lt;=35,"Moderate Variability","High Variability"))</f>
        <v/>
      </c>
      <c r="I496" s="18">
        <f>'Raw Data'!O496</f>
        <v/>
      </c>
      <c r="J496" s="14">
        <f>IF(I496=0,"No Flood",IF(I496&lt;=0.5,"Low",IF(I496&lt;=2,"Moderate","High")))</f>
        <v/>
      </c>
    </row>
    <row r="497" ht="15" customHeight="1" s="12">
      <c r="A497" s="14">
        <f>'Raw Data'!A497</f>
        <v/>
      </c>
      <c r="B497" s="14">
        <f>'Raw Data'!B497</f>
        <v/>
      </c>
      <c r="C497" s="14">
        <f>'Raw Data'!C497</f>
        <v/>
      </c>
      <c r="D497" s="15">
        <f>'Raw Data'!M497</f>
        <v/>
      </c>
      <c r="E497" s="18">
        <f>'Raw Data'!M497/'Raw Data'!L497*100</f>
        <v/>
      </c>
      <c r="F497" s="14">
        <f>IF(E497&gt;15,"Wet Year",IF(E497&lt;-15,"Dry Year","Normal Year"))</f>
        <v/>
      </c>
      <c r="G497" s="16">
        <f>'Raw Data'!I497</f>
        <v/>
      </c>
      <c r="H497" s="14">
        <f>IF(G497&lt;15,"Low Variability",IF(G497&lt;=35,"Moderate Variability","High Variability"))</f>
        <v/>
      </c>
      <c r="I497" s="18">
        <f>'Raw Data'!O497</f>
        <v/>
      </c>
      <c r="J497" s="14">
        <f>IF(I497=0,"No Flood",IF(I497&lt;=0.5,"Low",IF(I497&lt;=2,"Moderate","High")))</f>
        <v/>
      </c>
    </row>
    <row r="498" ht="15" customHeight="1" s="12">
      <c r="A498" s="14">
        <f>'Raw Data'!A498</f>
        <v/>
      </c>
      <c r="B498" s="14">
        <f>'Raw Data'!B498</f>
        <v/>
      </c>
      <c r="C498" s="14">
        <f>'Raw Data'!C498</f>
        <v/>
      </c>
      <c r="D498" s="15">
        <f>'Raw Data'!M498</f>
        <v/>
      </c>
      <c r="E498" s="18">
        <f>'Raw Data'!M498/'Raw Data'!L498*100</f>
        <v/>
      </c>
      <c r="F498" s="14">
        <f>IF(E498&gt;15,"Wet Year",IF(E498&lt;-15,"Dry Year","Normal Year"))</f>
        <v/>
      </c>
      <c r="G498" s="16">
        <f>'Raw Data'!I498</f>
        <v/>
      </c>
      <c r="H498" s="14">
        <f>IF(G498&lt;15,"Low Variability",IF(G498&lt;=35,"Moderate Variability","High Variability"))</f>
        <v/>
      </c>
      <c r="I498" s="18">
        <f>'Raw Data'!O498</f>
        <v/>
      </c>
      <c r="J498" s="14">
        <f>IF(I498=0,"No Flood",IF(I498&lt;=0.5,"Low",IF(I498&lt;=2,"Moderate","High")))</f>
        <v/>
      </c>
    </row>
    <row r="499" ht="15" customHeight="1" s="12">
      <c r="A499" s="14">
        <f>'Raw Data'!A499</f>
        <v/>
      </c>
      <c r="B499" s="14">
        <f>'Raw Data'!B499</f>
        <v/>
      </c>
      <c r="C499" s="14">
        <f>'Raw Data'!C499</f>
        <v/>
      </c>
      <c r="D499" s="15">
        <f>'Raw Data'!M499</f>
        <v/>
      </c>
      <c r="E499" s="18">
        <f>'Raw Data'!M499/'Raw Data'!L499*100</f>
        <v/>
      </c>
      <c r="F499" s="14">
        <f>IF(E499&gt;15,"Wet Year",IF(E499&lt;-15,"Dry Year","Normal Year"))</f>
        <v/>
      </c>
      <c r="G499" s="16">
        <f>'Raw Data'!I499</f>
        <v/>
      </c>
      <c r="H499" s="14">
        <f>IF(G499&lt;15,"Low Variability",IF(G499&lt;=35,"Moderate Variability","High Variability"))</f>
        <v/>
      </c>
      <c r="I499" s="18">
        <f>'Raw Data'!O499</f>
        <v/>
      </c>
      <c r="J499" s="14">
        <f>IF(I499=0,"No Flood",IF(I499&lt;=0.5,"Low",IF(I499&lt;=2,"Moderate","High")))</f>
        <v/>
      </c>
    </row>
    <row r="500" ht="15" customHeight="1" s="12">
      <c r="A500" s="14">
        <f>'Raw Data'!A500</f>
        <v/>
      </c>
      <c r="B500" s="14">
        <f>'Raw Data'!B500</f>
        <v/>
      </c>
      <c r="C500" s="14">
        <f>'Raw Data'!C500</f>
        <v/>
      </c>
      <c r="D500" s="15">
        <f>'Raw Data'!M500</f>
        <v/>
      </c>
      <c r="E500" s="18">
        <f>'Raw Data'!M500/'Raw Data'!L500*100</f>
        <v/>
      </c>
      <c r="F500" s="14">
        <f>IF(E500&gt;15,"Wet Year",IF(E500&lt;-15,"Dry Year","Normal Year"))</f>
        <v/>
      </c>
      <c r="G500" s="16">
        <f>'Raw Data'!I500</f>
        <v/>
      </c>
      <c r="H500" s="14">
        <f>IF(G500&lt;15,"Low Variability",IF(G500&lt;=35,"Moderate Variability","High Variability"))</f>
        <v/>
      </c>
      <c r="I500" s="18">
        <f>'Raw Data'!O500</f>
        <v/>
      </c>
      <c r="J500" s="14">
        <f>IF(I500=0,"No Flood",IF(I500&lt;=0.5,"Low",IF(I500&lt;=2,"Moderate","High")))</f>
        <v/>
      </c>
    </row>
    <row r="501" ht="15" customHeight="1" s="12">
      <c r="A501" s="14">
        <f>'Raw Data'!A501</f>
        <v/>
      </c>
      <c r="B501" s="14">
        <f>'Raw Data'!B501</f>
        <v/>
      </c>
      <c r="C501" s="14">
        <f>'Raw Data'!C501</f>
        <v/>
      </c>
      <c r="D501" s="15">
        <f>'Raw Data'!M501</f>
        <v/>
      </c>
      <c r="E501" s="18">
        <f>'Raw Data'!M501/'Raw Data'!L501*100</f>
        <v/>
      </c>
      <c r="F501" s="14">
        <f>IF(E501&gt;15,"Wet Year",IF(E501&lt;-15,"Dry Year","Normal Year"))</f>
        <v/>
      </c>
      <c r="G501" s="16">
        <f>'Raw Data'!I501</f>
        <v/>
      </c>
      <c r="H501" s="14">
        <f>IF(G501&lt;15,"Low Variability",IF(G501&lt;=35,"Moderate Variability","High Variability"))</f>
        <v/>
      </c>
      <c r="I501" s="18">
        <f>'Raw Data'!O501</f>
        <v/>
      </c>
      <c r="J501" s="14">
        <f>IF(I501=0,"No Flood",IF(I501&lt;=0.5,"Low",IF(I501&lt;=2,"Moderate","High")))</f>
        <v/>
      </c>
    </row>
    <row r="502" ht="15" customHeight="1" s="12">
      <c r="A502" s="14">
        <f>'Raw Data'!A502</f>
        <v/>
      </c>
      <c r="B502" s="14">
        <f>'Raw Data'!B502</f>
        <v/>
      </c>
      <c r="C502" s="14">
        <f>'Raw Data'!C502</f>
        <v/>
      </c>
      <c r="D502" s="15">
        <f>'Raw Data'!M502</f>
        <v/>
      </c>
      <c r="E502" s="18">
        <f>'Raw Data'!M502/'Raw Data'!L502*100</f>
        <v/>
      </c>
      <c r="F502" s="14">
        <f>IF(E502&gt;15,"Wet Year",IF(E502&lt;-15,"Dry Year","Normal Year"))</f>
        <v/>
      </c>
      <c r="G502" s="16">
        <f>'Raw Data'!I502</f>
        <v/>
      </c>
      <c r="H502" s="14">
        <f>IF(G502&lt;15,"Low Variability",IF(G502&lt;=35,"Moderate Variability","High Variability"))</f>
        <v/>
      </c>
      <c r="I502" s="18">
        <f>'Raw Data'!O502</f>
        <v/>
      </c>
      <c r="J502" s="14">
        <f>IF(I502=0,"No Flood",IF(I502&lt;=0.5,"Low",IF(I502&lt;=2,"Moderate","High")))</f>
        <v/>
      </c>
    </row>
    <row r="503" ht="15" customHeight="1" s="12">
      <c r="A503" s="14">
        <f>'Raw Data'!A503</f>
        <v/>
      </c>
      <c r="B503" s="14">
        <f>'Raw Data'!B503</f>
        <v/>
      </c>
      <c r="C503" s="14">
        <f>'Raw Data'!C503</f>
        <v/>
      </c>
      <c r="D503" s="15">
        <f>'Raw Data'!M503</f>
        <v/>
      </c>
      <c r="E503" s="18">
        <f>'Raw Data'!M503/'Raw Data'!L503*100</f>
        <v/>
      </c>
      <c r="F503" s="14">
        <f>IF(E503&gt;15,"Wet Year",IF(E503&lt;-15,"Dry Year","Normal Year"))</f>
        <v/>
      </c>
      <c r="G503" s="16">
        <f>'Raw Data'!I503</f>
        <v/>
      </c>
      <c r="H503" s="14">
        <f>IF(G503&lt;15,"Low Variability",IF(G503&lt;=35,"Moderate Variability","High Variability"))</f>
        <v/>
      </c>
      <c r="I503" s="18">
        <f>'Raw Data'!O503</f>
        <v/>
      </c>
      <c r="J503" s="14">
        <f>IF(I503=0,"No Flood",IF(I503&lt;=0.5,"Low",IF(I503&lt;=2,"Moderate","High")))</f>
        <v/>
      </c>
    </row>
    <row r="504" ht="15" customHeight="1" s="12">
      <c r="A504" s="14">
        <f>'Raw Data'!A504</f>
        <v/>
      </c>
      <c r="B504" s="14">
        <f>'Raw Data'!B504</f>
        <v/>
      </c>
      <c r="C504" s="14">
        <f>'Raw Data'!C504</f>
        <v/>
      </c>
      <c r="D504" s="15">
        <f>'Raw Data'!M504</f>
        <v/>
      </c>
      <c r="E504" s="18">
        <f>'Raw Data'!M504/'Raw Data'!L504*100</f>
        <v/>
      </c>
      <c r="F504" s="14">
        <f>IF(E504&gt;15,"Wet Year",IF(E504&lt;-15,"Dry Year","Normal Year"))</f>
        <v/>
      </c>
      <c r="G504" s="16">
        <f>'Raw Data'!I504</f>
        <v/>
      </c>
      <c r="H504" s="14">
        <f>IF(G504&lt;15,"Low Variability",IF(G504&lt;=35,"Moderate Variability","High Variability"))</f>
        <v/>
      </c>
      <c r="I504" s="18">
        <f>'Raw Data'!O504</f>
        <v/>
      </c>
      <c r="J504" s="14">
        <f>IF(I504=0,"No Flood",IF(I504&lt;=0.5,"Low",IF(I504&lt;=2,"Moderate","High")))</f>
        <v/>
      </c>
    </row>
    <row r="505" ht="15" customHeight="1" s="12">
      <c r="A505" s="14">
        <f>'Raw Data'!A505</f>
        <v/>
      </c>
      <c r="B505" s="14">
        <f>'Raw Data'!B505</f>
        <v/>
      </c>
      <c r="C505" s="14">
        <f>'Raw Data'!C505</f>
        <v/>
      </c>
      <c r="D505" s="15">
        <f>'Raw Data'!M505</f>
        <v/>
      </c>
      <c r="E505" s="18">
        <f>'Raw Data'!M505/'Raw Data'!L505*100</f>
        <v/>
      </c>
      <c r="F505" s="14">
        <f>IF(E505&gt;15,"Wet Year",IF(E505&lt;-15,"Dry Year","Normal Year"))</f>
        <v/>
      </c>
      <c r="G505" s="16">
        <f>'Raw Data'!I505</f>
        <v/>
      </c>
      <c r="H505" s="14">
        <f>IF(G505&lt;15,"Low Variability",IF(G505&lt;=35,"Moderate Variability","High Variability"))</f>
        <v/>
      </c>
      <c r="I505" s="18">
        <f>'Raw Data'!O505</f>
        <v/>
      </c>
      <c r="J505" s="14">
        <f>IF(I505=0,"No Flood",IF(I505&lt;=0.5,"Low",IF(I505&lt;=2,"Moderate","High")))</f>
        <v/>
      </c>
    </row>
    <row r="506" ht="15" customHeight="1" s="12">
      <c r="A506" s="14">
        <f>'Raw Data'!A506</f>
        <v/>
      </c>
      <c r="B506" s="14">
        <f>'Raw Data'!B506</f>
        <v/>
      </c>
      <c r="C506" s="14">
        <f>'Raw Data'!C506</f>
        <v/>
      </c>
      <c r="D506" s="15">
        <f>'Raw Data'!M506</f>
        <v/>
      </c>
      <c r="E506" s="18">
        <f>'Raw Data'!M506/'Raw Data'!L506*100</f>
        <v/>
      </c>
      <c r="F506" s="14">
        <f>IF(E506&gt;15,"Wet Year",IF(E506&lt;-15,"Dry Year","Normal Year"))</f>
        <v/>
      </c>
      <c r="G506" s="16">
        <f>'Raw Data'!I506</f>
        <v/>
      </c>
      <c r="H506" s="14">
        <f>IF(G506&lt;15,"Low Variability",IF(G506&lt;=35,"Moderate Variability","High Variability"))</f>
        <v/>
      </c>
      <c r="I506" s="18">
        <f>'Raw Data'!O506</f>
        <v/>
      </c>
      <c r="J506" s="14">
        <f>IF(I506=0,"No Flood",IF(I506&lt;=0.5,"Low",IF(I506&lt;=2,"Moderate","High")))</f>
        <v/>
      </c>
    </row>
    <row r="507" ht="15" customHeight="1" s="12">
      <c r="A507" s="14">
        <f>'Raw Data'!A507</f>
        <v/>
      </c>
      <c r="B507" s="14">
        <f>'Raw Data'!B507</f>
        <v/>
      </c>
      <c r="C507" s="14">
        <f>'Raw Data'!C507</f>
        <v/>
      </c>
      <c r="D507" s="15">
        <f>'Raw Data'!M507</f>
        <v/>
      </c>
      <c r="E507" s="18">
        <f>'Raw Data'!M507/'Raw Data'!L507*100</f>
        <v/>
      </c>
      <c r="F507" s="14">
        <f>IF(E507&gt;15,"Wet Year",IF(E507&lt;-15,"Dry Year","Normal Year"))</f>
        <v/>
      </c>
      <c r="G507" s="16">
        <f>'Raw Data'!I507</f>
        <v/>
      </c>
      <c r="H507" s="14">
        <f>IF(G507&lt;15,"Low Variability",IF(G507&lt;=35,"Moderate Variability","High Variability"))</f>
        <v/>
      </c>
      <c r="I507" s="18">
        <f>'Raw Data'!O507</f>
        <v/>
      </c>
      <c r="J507" s="14">
        <f>IF(I507=0,"No Flood",IF(I507&lt;=0.5,"Low",IF(I507&lt;=2,"Moderate","High")))</f>
        <v/>
      </c>
    </row>
    <row r="508" ht="15" customHeight="1" s="12">
      <c r="A508" s="14">
        <f>'Raw Data'!A508</f>
        <v/>
      </c>
      <c r="B508" s="14">
        <f>'Raw Data'!B508</f>
        <v/>
      </c>
      <c r="C508" s="14">
        <f>'Raw Data'!C508</f>
        <v/>
      </c>
      <c r="D508" s="15">
        <f>'Raw Data'!M508</f>
        <v/>
      </c>
      <c r="E508" s="18">
        <f>'Raw Data'!M508/'Raw Data'!L508*100</f>
        <v/>
      </c>
      <c r="F508" s="14">
        <f>IF(E508&gt;15,"Wet Year",IF(E508&lt;-15,"Dry Year","Normal Year"))</f>
        <v/>
      </c>
      <c r="G508" s="16">
        <f>'Raw Data'!I508</f>
        <v/>
      </c>
      <c r="H508" s="14">
        <f>IF(G508&lt;15,"Low Variability",IF(G508&lt;=35,"Moderate Variability","High Variability"))</f>
        <v/>
      </c>
      <c r="I508" s="18">
        <f>'Raw Data'!O508</f>
        <v/>
      </c>
      <c r="J508" s="14">
        <f>IF(I508=0,"No Flood",IF(I508&lt;=0.5,"Low",IF(I508&lt;=2,"Moderate","High")))</f>
        <v/>
      </c>
    </row>
    <row r="509" ht="15" customHeight="1" s="12">
      <c r="A509" s="14">
        <f>'Raw Data'!A509</f>
        <v/>
      </c>
      <c r="B509" s="14">
        <f>'Raw Data'!B509</f>
        <v/>
      </c>
      <c r="C509" s="14">
        <f>'Raw Data'!C509</f>
        <v/>
      </c>
      <c r="D509" s="15">
        <f>'Raw Data'!M509</f>
        <v/>
      </c>
      <c r="E509" s="18">
        <f>'Raw Data'!M509/'Raw Data'!L509*100</f>
        <v/>
      </c>
      <c r="F509" s="14">
        <f>IF(E509&gt;15,"Wet Year",IF(E509&lt;-15,"Dry Year","Normal Year"))</f>
        <v/>
      </c>
      <c r="G509" s="16">
        <f>'Raw Data'!I509</f>
        <v/>
      </c>
      <c r="H509" s="14">
        <f>IF(G509&lt;15,"Low Variability",IF(G509&lt;=35,"Moderate Variability","High Variability"))</f>
        <v/>
      </c>
      <c r="I509" s="18">
        <f>'Raw Data'!O509</f>
        <v/>
      </c>
      <c r="J509" s="14">
        <f>IF(I509=0,"No Flood",IF(I509&lt;=0.5,"Low",IF(I509&lt;=2,"Moderate","High")))</f>
        <v/>
      </c>
    </row>
    <row r="510" ht="15" customHeight="1" s="12">
      <c r="A510" s="14">
        <f>'Raw Data'!A510</f>
        <v/>
      </c>
      <c r="B510" s="14">
        <f>'Raw Data'!B510</f>
        <v/>
      </c>
      <c r="C510" s="14">
        <f>'Raw Data'!C510</f>
        <v/>
      </c>
      <c r="D510" s="15">
        <f>'Raw Data'!M510</f>
        <v/>
      </c>
      <c r="E510" s="18">
        <f>'Raw Data'!M510/'Raw Data'!L510*100</f>
        <v/>
      </c>
      <c r="F510" s="14">
        <f>IF(E510&gt;15,"Wet Year",IF(E510&lt;-15,"Dry Year","Normal Year"))</f>
        <v/>
      </c>
      <c r="G510" s="16">
        <f>'Raw Data'!I510</f>
        <v/>
      </c>
      <c r="H510" s="14">
        <f>IF(G510&lt;15,"Low Variability",IF(G510&lt;=35,"Moderate Variability","High Variability"))</f>
        <v/>
      </c>
      <c r="I510" s="18">
        <f>'Raw Data'!O510</f>
        <v/>
      </c>
      <c r="J510" s="14">
        <f>IF(I510=0,"No Flood",IF(I510&lt;=0.5,"Low",IF(I510&lt;=2,"Moderate","High")))</f>
        <v/>
      </c>
    </row>
    <row r="511" ht="15" customHeight="1" s="12">
      <c r="A511" s="14">
        <f>'Raw Data'!A511</f>
        <v/>
      </c>
      <c r="B511" s="14">
        <f>'Raw Data'!B511</f>
        <v/>
      </c>
      <c r="C511" s="14">
        <f>'Raw Data'!C511</f>
        <v/>
      </c>
      <c r="D511" s="15">
        <f>'Raw Data'!M511</f>
        <v/>
      </c>
      <c r="E511" s="18">
        <f>'Raw Data'!M511/'Raw Data'!L511*100</f>
        <v/>
      </c>
      <c r="F511" s="14">
        <f>IF(E511&gt;15,"Wet Year",IF(E511&lt;-15,"Dry Year","Normal Year"))</f>
        <v/>
      </c>
      <c r="G511" s="16">
        <f>'Raw Data'!I511</f>
        <v/>
      </c>
      <c r="H511" s="14">
        <f>IF(G511&lt;15,"Low Variability",IF(G511&lt;=35,"Moderate Variability","High Variability"))</f>
        <v/>
      </c>
      <c r="I511" s="18">
        <f>'Raw Data'!O511</f>
        <v/>
      </c>
      <c r="J511" s="14">
        <f>IF(I511=0,"No Flood",IF(I511&lt;=0.5,"Low",IF(I511&lt;=2,"Moderate","High")))</f>
        <v/>
      </c>
    </row>
    <row r="512" ht="15" customHeight="1" s="12">
      <c r="A512" s="14">
        <f>'Raw Data'!A512</f>
        <v/>
      </c>
      <c r="B512" s="14">
        <f>'Raw Data'!B512</f>
        <v/>
      </c>
      <c r="C512" s="14">
        <f>'Raw Data'!C512</f>
        <v/>
      </c>
      <c r="D512" s="15">
        <f>'Raw Data'!M512</f>
        <v/>
      </c>
      <c r="E512" s="18">
        <f>'Raw Data'!M512/'Raw Data'!L512*100</f>
        <v/>
      </c>
      <c r="F512" s="14">
        <f>IF(E512&gt;15,"Wet Year",IF(E512&lt;-15,"Dry Year","Normal Year"))</f>
        <v/>
      </c>
      <c r="G512" s="16">
        <f>'Raw Data'!I512</f>
        <v/>
      </c>
      <c r="H512" s="14">
        <f>IF(G512&lt;15,"Low Variability",IF(G512&lt;=35,"Moderate Variability","High Variability"))</f>
        <v/>
      </c>
      <c r="I512" s="18">
        <f>'Raw Data'!O512</f>
        <v/>
      </c>
      <c r="J512" s="14">
        <f>IF(I512=0,"No Flood",IF(I512&lt;=0.5,"Low",IF(I512&lt;=2,"Moderate","High")))</f>
        <v/>
      </c>
    </row>
    <row r="513" ht="15" customHeight="1" s="12">
      <c r="A513" s="14">
        <f>'Raw Data'!A513</f>
        <v/>
      </c>
      <c r="B513" s="14">
        <f>'Raw Data'!B513</f>
        <v/>
      </c>
      <c r="C513" s="14">
        <f>'Raw Data'!C513</f>
        <v/>
      </c>
      <c r="D513" s="15">
        <f>'Raw Data'!M513</f>
        <v/>
      </c>
      <c r="E513" s="18">
        <f>'Raw Data'!M513/'Raw Data'!L513*100</f>
        <v/>
      </c>
      <c r="F513" s="14">
        <f>IF(E513&gt;15,"Wet Year",IF(E513&lt;-15,"Dry Year","Normal Year"))</f>
        <v/>
      </c>
      <c r="G513" s="16">
        <f>'Raw Data'!I513</f>
        <v/>
      </c>
      <c r="H513" s="14">
        <f>IF(G513&lt;15,"Low Variability",IF(G513&lt;=35,"Moderate Variability","High Variability"))</f>
        <v/>
      </c>
      <c r="I513" s="18">
        <f>'Raw Data'!O513</f>
        <v/>
      </c>
      <c r="J513" s="14">
        <f>IF(I513=0,"No Flood",IF(I513&lt;=0.5,"Low",IF(I513&lt;=2,"Moderate","High")))</f>
        <v/>
      </c>
    </row>
    <row r="514" ht="15" customHeight="1" s="12">
      <c r="A514" s="14">
        <f>'Raw Data'!A514</f>
        <v/>
      </c>
      <c r="B514" s="14">
        <f>'Raw Data'!B514</f>
        <v/>
      </c>
      <c r="C514" s="14">
        <f>'Raw Data'!C514</f>
        <v/>
      </c>
      <c r="D514" s="15">
        <f>'Raw Data'!M514</f>
        <v/>
      </c>
      <c r="E514" s="18">
        <f>'Raw Data'!M514/'Raw Data'!L514*100</f>
        <v/>
      </c>
      <c r="F514" s="14">
        <f>IF(E514&gt;15,"Wet Year",IF(E514&lt;-15,"Dry Year","Normal Year"))</f>
        <v/>
      </c>
      <c r="G514" s="16">
        <f>'Raw Data'!I514</f>
        <v/>
      </c>
      <c r="H514" s="14">
        <f>IF(G514&lt;15,"Low Variability",IF(G514&lt;=35,"Moderate Variability","High Variability"))</f>
        <v/>
      </c>
      <c r="I514" s="18">
        <f>'Raw Data'!O514</f>
        <v/>
      </c>
      <c r="J514" s="14">
        <f>IF(I514=0,"No Flood",IF(I514&lt;=0.5,"Low",IF(I514&lt;=2,"Moderate","High")))</f>
        <v/>
      </c>
    </row>
    <row r="515" ht="15" customHeight="1" s="12">
      <c r="A515" s="14">
        <f>'Raw Data'!A515</f>
        <v/>
      </c>
      <c r="B515" s="14">
        <f>'Raw Data'!B515</f>
        <v/>
      </c>
      <c r="C515" s="14">
        <f>'Raw Data'!C515</f>
        <v/>
      </c>
      <c r="D515" s="15">
        <f>'Raw Data'!M515</f>
        <v/>
      </c>
      <c r="E515" s="18">
        <f>'Raw Data'!M515/'Raw Data'!L515*100</f>
        <v/>
      </c>
      <c r="F515" s="14">
        <f>IF(E515&gt;15,"Wet Year",IF(E515&lt;-15,"Dry Year","Normal Year"))</f>
        <v/>
      </c>
      <c r="G515" s="16">
        <f>'Raw Data'!I515</f>
        <v/>
      </c>
      <c r="H515" s="14">
        <f>IF(G515&lt;15,"Low Variability",IF(G515&lt;=35,"Moderate Variability","High Variability"))</f>
        <v/>
      </c>
      <c r="I515" s="18">
        <f>'Raw Data'!O515</f>
        <v/>
      </c>
      <c r="J515" s="14">
        <f>IF(I515=0,"No Flood",IF(I515&lt;=0.5,"Low",IF(I515&lt;=2,"Moderate","High")))</f>
        <v/>
      </c>
    </row>
    <row r="516" ht="15" customHeight="1" s="12">
      <c r="A516" s="14">
        <f>'Raw Data'!A516</f>
        <v/>
      </c>
      <c r="B516" s="14">
        <f>'Raw Data'!B516</f>
        <v/>
      </c>
      <c r="C516" s="14">
        <f>'Raw Data'!C516</f>
        <v/>
      </c>
      <c r="D516" s="15">
        <f>'Raw Data'!M516</f>
        <v/>
      </c>
      <c r="E516" s="18">
        <f>'Raw Data'!M516/'Raw Data'!L516*100</f>
        <v/>
      </c>
      <c r="F516" s="14">
        <f>IF(E516&gt;15,"Wet Year",IF(E516&lt;-15,"Dry Year","Normal Year"))</f>
        <v/>
      </c>
      <c r="G516" s="16">
        <f>'Raw Data'!I516</f>
        <v/>
      </c>
      <c r="H516" s="14">
        <f>IF(G516&lt;15,"Low Variability",IF(G516&lt;=35,"Moderate Variability","High Variability"))</f>
        <v/>
      </c>
      <c r="I516" s="18">
        <f>'Raw Data'!O516</f>
        <v/>
      </c>
      <c r="J516" s="14">
        <f>IF(I516=0,"No Flood",IF(I516&lt;=0.5,"Low",IF(I516&lt;=2,"Moderate","High")))</f>
        <v/>
      </c>
    </row>
    <row r="517" ht="15" customHeight="1" s="12">
      <c r="A517" s="14">
        <f>'Raw Data'!A517</f>
        <v/>
      </c>
      <c r="B517" s="14">
        <f>'Raw Data'!B517</f>
        <v/>
      </c>
      <c r="C517" s="14">
        <f>'Raw Data'!C517</f>
        <v/>
      </c>
      <c r="D517" s="15">
        <f>'Raw Data'!M517</f>
        <v/>
      </c>
      <c r="E517" s="18">
        <f>'Raw Data'!M517/'Raw Data'!L517*100</f>
        <v/>
      </c>
      <c r="F517" s="14">
        <f>IF(E517&gt;15,"Wet Year",IF(E517&lt;-15,"Dry Year","Normal Year"))</f>
        <v/>
      </c>
      <c r="G517" s="16">
        <f>'Raw Data'!I517</f>
        <v/>
      </c>
      <c r="H517" s="14">
        <f>IF(G517&lt;15,"Low Variability",IF(G517&lt;=35,"Moderate Variability","High Variability"))</f>
        <v/>
      </c>
      <c r="I517" s="18">
        <f>'Raw Data'!O517</f>
        <v/>
      </c>
      <c r="J517" s="14">
        <f>IF(I517=0,"No Flood",IF(I517&lt;=0.5,"Low",IF(I517&lt;=2,"Moderate","High")))</f>
        <v/>
      </c>
    </row>
    <row r="518" ht="15" customHeight="1" s="12">
      <c r="A518" s="14">
        <f>'Raw Data'!A518</f>
        <v/>
      </c>
      <c r="B518" s="14">
        <f>'Raw Data'!B518</f>
        <v/>
      </c>
      <c r="C518" s="14">
        <f>'Raw Data'!C518</f>
        <v/>
      </c>
      <c r="D518" s="15">
        <f>'Raw Data'!M518</f>
        <v/>
      </c>
      <c r="E518" s="18">
        <f>'Raw Data'!M518/'Raw Data'!L518*100</f>
        <v/>
      </c>
      <c r="F518" s="14">
        <f>IF(E518&gt;15,"Wet Year",IF(E518&lt;-15,"Dry Year","Normal Year"))</f>
        <v/>
      </c>
      <c r="G518" s="16">
        <f>'Raw Data'!I518</f>
        <v/>
      </c>
      <c r="H518" s="14">
        <f>IF(G518&lt;15,"Low Variability",IF(G518&lt;=35,"Moderate Variability","High Variability"))</f>
        <v/>
      </c>
      <c r="I518" s="18">
        <f>'Raw Data'!O518</f>
        <v/>
      </c>
      <c r="J518" s="14">
        <f>IF(I518=0,"No Flood",IF(I518&lt;=0.5,"Low",IF(I518&lt;=2,"Moderate","High")))</f>
        <v/>
      </c>
    </row>
    <row r="519" ht="15" customHeight="1" s="12">
      <c r="A519" s="14">
        <f>'Raw Data'!A519</f>
        <v/>
      </c>
      <c r="B519" s="14">
        <f>'Raw Data'!B519</f>
        <v/>
      </c>
      <c r="C519" s="14">
        <f>'Raw Data'!C519</f>
        <v/>
      </c>
      <c r="D519" s="15">
        <f>'Raw Data'!M519</f>
        <v/>
      </c>
      <c r="E519" s="18">
        <f>'Raw Data'!M519/'Raw Data'!L519*100</f>
        <v/>
      </c>
      <c r="F519" s="14">
        <f>IF(E519&gt;15,"Wet Year",IF(E519&lt;-15,"Dry Year","Normal Year"))</f>
        <v/>
      </c>
      <c r="G519" s="16">
        <f>'Raw Data'!I519</f>
        <v/>
      </c>
      <c r="H519" s="14">
        <f>IF(G519&lt;15,"Low Variability",IF(G519&lt;=35,"Moderate Variability","High Variability"))</f>
        <v/>
      </c>
      <c r="I519" s="18">
        <f>'Raw Data'!O519</f>
        <v/>
      </c>
      <c r="J519" s="14">
        <f>IF(I519=0,"No Flood",IF(I519&lt;=0.5,"Low",IF(I519&lt;=2,"Moderate","High")))</f>
        <v/>
      </c>
    </row>
    <row r="520" ht="15" customHeight="1" s="12">
      <c r="A520" s="14">
        <f>'Raw Data'!A520</f>
        <v/>
      </c>
      <c r="B520" s="14">
        <f>'Raw Data'!B520</f>
        <v/>
      </c>
      <c r="C520" s="14">
        <f>'Raw Data'!C520</f>
        <v/>
      </c>
      <c r="D520" s="15">
        <f>'Raw Data'!M520</f>
        <v/>
      </c>
      <c r="E520" s="18">
        <f>'Raw Data'!M520/'Raw Data'!L520*100</f>
        <v/>
      </c>
      <c r="F520" s="14">
        <f>IF(E520&gt;15,"Wet Year",IF(E520&lt;-15,"Dry Year","Normal Year"))</f>
        <v/>
      </c>
      <c r="G520" s="16">
        <f>'Raw Data'!I520</f>
        <v/>
      </c>
      <c r="H520" s="14">
        <f>IF(G520&lt;15,"Low Variability",IF(G520&lt;=35,"Moderate Variability","High Variability"))</f>
        <v/>
      </c>
      <c r="I520" s="18">
        <f>'Raw Data'!O520</f>
        <v/>
      </c>
      <c r="J520" s="14">
        <f>IF(I520=0,"No Flood",IF(I520&lt;=0.5,"Low",IF(I520&lt;=2,"Moderate","High")))</f>
        <v/>
      </c>
    </row>
    <row r="521" ht="15" customHeight="1" s="12">
      <c r="A521" s="14">
        <f>'Raw Data'!A521</f>
        <v/>
      </c>
      <c r="B521" s="14">
        <f>'Raw Data'!B521</f>
        <v/>
      </c>
      <c r="C521" s="14">
        <f>'Raw Data'!C521</f>
        <v/>
      </c>
      <c r="D521" s="15">
        <f>'Raw Data'!M521</f>
        <v/>
      </c>
      <c r="E521" s="18">
        <f>'Raw Data'!M521/'Raw Data'!L521*100</f>
        <v/>
      </c>
      <c r="F521" s="14">
        <f>IF(E521&gt;15,"Wet Year",IF(E521&lt;-15,"Dry Year","Normal Year"))</f>
        <v/>
      </c>
      <c r="G521" s="16">
        <f>'Raw Data'!I521</f>
        <v/>
      </c>
      <c r="H521" s="14">
        <f>IF(G521&lt;15,"Low Variability",IF(G521&lt;=35,"Moderate Variability","High Variability"))</f>
        <v/>
      </c>
      <c r="I521" s="18">
        <f>'Raw Data'!O521</f>
        <v/>
      </c>
      <c r="J521" s="14">
        <f>IF(I521=0,"No Flood",IF(I521&lt;=0.5,"Low",IF(I521&lt;=2,"Moderate","High")))</f>
        <v/>
      </c>
    </row>
    <row r="522" ht="15" customHeight="1" s="12">
      <c r="A522" s="14">
        <f>'Raw Data'!A522</f>
        <v/>
      </c>
      <c r="B522" s="14">
        <f>'Raw Data'!B522</f>
        <v/>
      </c>
      <c r="C522" s="14">
        <f>'Raw Data'!C522</f>
        <v/>
      </c>
      <c r="D522" s="15">
        <f>'Raw Data'!M522</f>
        <v/>
      </c>
      <c r="E522" s="18">
        <f>'Raw Data'!M522/'Raw Data'!L522*100</f>
        <v/>
      </c>
      <c r="F522" s="14">
        <f>IF(E522&gt;15,"Wet Year",IF(E522&lt;-15,"Dry Year","Normal Year"))</f>
        <v/>
      </c>
      <c r="G522" s="16">
        <f>'Raw Data'!I522</f>
        <v/>
      </c>
      <c r="H522" s="14">
        <f>IF(G522&lt;15,"Low Variability",IF(G522&lt;=35,"Moderate Variability","High Variability"))</f>
        <v/>
      </c>
      <c r="I522" s="18">
        <f>'Raw Data'!O522</f>
        <v/>
      </c>
      <c r="J522" s="14">
        <f>IF(I522=0,"No Flood",IF(I522&lt;=0.5,"Low",IF(I522&lt;=2,"Moderate","High")))</f>
        <v/>
      </c>
    </row>
    <row r="523" ht="15" customHeight="1" s="12">
      <c r="A523" s="14">
        <f>'Raw Data'!A523</f>
        <v/>
      </c>
      <c r="B523" s="14">
        <f>'Raw Data'!B523</f>
        <v/>
      </c>
      <c r="C523" s="14">
        <f>'Raw Data'!C523</f>
        <v/>
      </c>
      <c r="D523" s="15">
        <f>'Raw Data'!M523</f>
        <v/>
      </c>
      <c r="E523" s="18">
        <f>'Raw Data'!M523/'Raw Data'!L523*100</f>
        <v/>
      </c>
      <c r="F523" s="14">
        <f>IF(E523&gt;15,"Wet Year",IF(E523&lt;-15,"Dry Year","Normal Year"))</f>
        <v/>
      </c>
      <c r="G523" s="16">
        <f>'Raw Data'!I523</f>
        <v/>
      </c>
      <c r="H523" s="14">
        <f>IF(G523&lt;15,"Low Variability",IF(G523&lt;=35,"Moderate Variability","High Variability"))</f>
        <v/>
      </c>
      <c r="I523" s="18">
        <f>'Raw Data'!O523</f>
        <v/>
      </c>
      <c r="J523" s="14">
        <f>IF(I523=0,"No Flood",IF(I523&lt;=0.5,"Low",IF(I523&lt;=2,"Moderate","High")))</f>
        <v/>
      </c>
    </row>
    <row r="524" ht="15" customHeight="1" s="12">
      <c r="A524" s="14">
        <f>'Raw Data'!A524</f>
        <v/>
      </c>
      <c r="B524" s="14">
        <f>'Raw Data'!B524</f>
        <v/>
      </c>
      <c r="C524" s="14">
        <f>'Raw Data'!C524</f>
        <v/>
      </c>
      <c r="D524" s="15">
        <f>'Raw Data'!M524</f>
        <v/>
      </c>
      <c r="E524" s="18">
        <f>'Raw Data'!M524/'Raw Data'!L524*100</f>
        <v/>
      </c>
      <c r="F524" s="14">
        <f>IF(E524&gt;15,"Wet Year",IF(E524&lt;-15,"Dry Year","Normal Year"))</f>
        <v/>
      </c>
      <c r="G524" s="16">
        <f>'Raw Data'!I524</f>
        <v/>
      </c>
      <c r="H524" s="14">
        <f>IF(G524&lt;15,"Low Variability",IF(G524&lt;=35,"Moderate Variability","High Variability"))</f>
        <v/>
      </c>
      <c r="I524" s="18">
        <f>'Raw Data'!O524</f>
        <v/>
      </c>
      <c r="J524" s="14">
        <f>IF(I524=0,"No Flood",IF(I524&lt;=0.5,"Low",IF(I524&lt;=2,"Moderate","High")))</f>
        <v/>
      </c>
    </row>
    <row r="525" ht="15" customHeight="1" s="12">
      <c r="A525" s="14">
        <f>'Raw Data'!A525</f>
        <v/>
      </c>
      <c r="B525" s="14">
        <f>'Raw Data'!B525</f>
        <v/>
      </c>
      <c r="C525" s="14">
        <f>'Raw Data'!C525</f>
        <v/>
      </c>
      <c r="D525" s="15">
        <f>'Raw Data'!M525</f>
        <v/>
      </c>
      <c r="E525" s="18">
        <f>'Raw Data'!M525/'Raw Data'!L525*100</f>
        <v/>
      </c>
      <c r="F525" s="14">
        <f>IF(E525&gt;15,"Wet Year",IF(E525&lt;-15,"Dry Year","Normal Year"))</f>
        <v/>
      </c>
      <c r="G525" s="16">
        <f>'Raw Data'!I525</f>
        <v/>
      </c>
      <c r="H525" s="14">
        <f>IF(G525&lt;15,"Low Variability",IF(G525&lt;=35,"Moderate Variability","High Variability"))</f>
        <v/>
      </c>
      <c r="I525" s="18">
        <f>'Raw Data'!O525</f>
        <v/>
      </c>
      <c r="J525" s="14">
        <f>IF(I525=0,"No Flood",IF(I525&lt;=0.5,"Low",IF(I525&lt;=2,"Moderate","High")))</f>
        <v/>
      </c>
    </row>
    <row r="526" ht="15" customHeight="1" s="12">
      <c r="A526" s="14">
        <f>'Raw Data'!A526</f>
        <v/>
      </c>
      <c r="B526" s="14">
        <f>'Raw Data'!B526</f>
        <v/>
      </c>
      <c r="C526" s="14">
        <f>'Raw Data'!C526</f>
        <v/>
      </c>
      <c r="D526" s="15">
        <f>'Raw Data'!M526</f>
        <v/>
      </c>
      <c r="E526" s="18">
        <f>'Raw Data'!M526/'Raw Data'!L526*100</f>
        <v/>
      </c>
      <c r="F526" s="14">
        <f>IF(E526&gt;15,"Wet Year",IF(E526&lt;-15,"Dry Year","Normal Year"))</f>
        <v/>
      </c>
      <c r="G526" s="16">
        <f>'Raw Data'!I526</f>
        <v/>
      </c>
      <c r="H526" s="14">
        <f>IF(G526&lt;15,"Low Variability",IF(G526&lt;=35,"Moderate Variability","High Variability"))</f>
        <v/>
      </c>
      <c r="I526" s="18">
        <f>'Raw Data'!O526</f>
        <v/>
      </c>
      <c r="J526" s="14">
        <f>IF(I526=0,"No Flood",IF(I526&lt;=0.5,"Low",IF(I526&lt;=2,"Moderate","High")))</f>
        <v/>
      </c>
    </row>
    <row r="527" ht="15" customHeight="1" s="12">
      <c r="A527" s="14">
        <f>'Raw Data'!A527</f>
        <v/>
      </c>
      <c r="B527" s="14">
        <f>'Raw Data'!B527</f>
        <v/>
      </c>
      <c r="C527" s="14">
        <f>'Raw Data'!C527</f>
        <v/>
      </c>
      <c r="D527" s="15">
        <f>'Raw Data'!M527</f>
        <v/>
      </c>
      <c r="E527" s="18">
        <f>'Raw Data'!M527/'Raw Data'!L527*100</f>
        <v/>
      </c>
      <c r="F527" s="14">
        <f>IF(E527&gt;15,"Wet Year",IF(E527&lt;-15,"Dry Year","Normal Year"))</f>
        <v/>
      </c>
      <c r="G527" s="16">
        <f>'Raw Data'!I527</f>
        <v/>
      </c>
      <c r="H527" s="14">
        <f>IF(G527&lt;15,"Low Variability",IF(G527&lt;=35,"Moderate Variability","High Variability"))</f>
        <v/>
      </c>
      <c r="I527" s="18">
        <f>'Raw Data'!O527</f>
        <v/>
      </c>
      <c r="J527" s="14">
        <f>IF(I527=0,"No Flood",IF(I527&lt;=0.5,"Low",IF(I527&lt;=2,"Moderate","High")))</f>
        <v/>
      </c>
    </row>
    <row r="528" ht="15" customHeight="1" s="12">
      <c r="A528" s="14">
        <f>'Raw Data'!A528</f>
        <v/>
      </c>
      <c r="B528" s="14">
        <f>'Raw Data'!B528</f>
        <v/>
      </c>
      <c r="C528" s="14">
        <f>'Raw Data'!C528</f>
        <v/>
      </c>
      <c r="D528" s="15">
        <f>'Raw Data'!M528</f>
        <v/>
      </c>
      <c r="E528" s="18">
        <f>'Raw Data'!M528/'Raw Data'!L528*100</f>
        <v/>
      </c>
      <c r="F528" s="14">
        <f>IF(E528&gt;15,"Wet Year",IF(E528&lt;-15,"Dry Year","Normal Year"))</f>
        <v/>
      </c>
      <c r="G528" s="16">
        <f>'Raw Data'!I528</f>
        <v/>
      </c>
      <c r="H528" s="14">
        <f>IF(G528&lt;15,"Low Variability",IF(G528&lt;=35,"Moderate Variability","High Variability"))</f>
        <v/>
      </c>
      <c r="I528" s="18">
        <f>'Raw Data'!O528</f>
        <v/>
      </c>
      <c r="J528" s="14">
        <f>IF(I528=0,"No Flood",IF(I528&lt;=0.5,"Low",IF(I528&lt;=2,"Moderate","High")))</f>
        <v/>
      </c>
    </row>
    <row r="529" ht="15" customHeight="1" s="12">
      <c r="A529" s="14">
        <f>'Raw Data'!A529</f>
        <v/>
      </c>
      <c r="B529" s="14">
        <f>'Raw Data'!B529</f>
        <v/>
      </c>
      <c r="C529" s="14">
        <f>'Raw Data'!C529</f>
        <v/>
      </c>
      <c r="D529" s="15">
        <f>'Raw Data'!M529</f>
        <v/>
      </c>
      <c r="E529" s="18">
        <f>'Raw Data'!M529/'Raw Data'!L529*100</f>
        <v/>
      </c>
      <c r="F529" s="14">
        <f>IF(E529&gt;15,"Wet Year",IF(E529&lt;-15,"Dry Year","Normal Year"))</f>
        <v/>
      </c>
      <c r="G529" s="16">
        <f>'Raw Data'!I529</f>
        <v/>
      </c>
      <c r="H529" s="14">
        <f>IF(G529&lt;15,"Low Variability",IF(G529&lt;=35,"Moderate Variability","High Variability"))</f>
        <v/>
      </c>
      <c r="I529" s="18">
        <f>'Raw Data'!O529</f>
        <v/>
      </c>
      <c r="J529" s="14">
        <f>IF(I529=0,"No Flood",IF(I529&lt;=0.5,"Low",IF(I529&lt;=2,"Moderate","High")))</f>
        <v/>
      </c>
    </row>
    <row r="530" ht="15" customHeight="1" s="12">
      <c r="A530" s="14">
        <f>'Raw Data'!A530</f>
        <v/>
      </c>
      <c r="B530" s="14">
        <f>'Raw Data'!B530</f>
        <v/>
      </c>
      <c r="C530" s="14">
        <f>'Raw Data'!C530</f>
        <v/>
      </c>
      <c r="D530" s="15">
        <f>'Raw Data'!M530</f>
        <v/>
      </c>
      <c r="E530" s="18">
        <f>'Raw Data'!M530/'Raw Data'!L530*100</f>
        <v/>
      </c>
      <c r="F530" s="14">
        <f>IF(E530&gt;15,"Wet Year",IF(E530&lt;-15,"Dry Year","Normal Year"))</f>
        <v/>
      </c>
      <c r="G530" s="16">
        <f>'Raw Data'!I530</f>
        <v/>
      </c>
      <c r="H530" s="14">
        <f>IF(G530&lt;15,"Low Variability",IF(G530&lt;=35,"Moderate Variability","High Variability"))</f>
        <v/>
      </c>
      <c r="I530" s="18">
        <f>'Raw Data'!O530</f>
        <v/>
      </c>
      <c r="J530" s="14">
        <f>IF(I530=0,"No Flood",IF(I530&lt;=0.5,"Low",IF(I530&lt;=2,"Moderate","High")))</f>
        <v/>
      </c>
    </row>
    <row r="531" ht="15" customHeight="1" s="12">
      <c r="A531" s="14">
        <f>'Raw Data'!A531</f>
        <v/>
      </c>
      <c r="B531" s="14">
        <f>'Raw Data'!B531</f>
        <v/>
      </c>
      <c r="C531" s="14">
        <f>'Raw Data'!C531</f>
        <v/>
      </c>
      <c r="D531" s="15">
        <f>'Raw Data'!M531</f>
        <v/>
      </c>
      <c r="E531" s="18">
        <f>'Raw Data'!M531/'Raw Data'!L531*100</f>
        <v/>
      </c>
      <c r="F531" s="14">
        <f>IF(E531&gt;15,"Wet Year",IF(E531&lt;-15,"Dry Year","Normal Year"))</f>
        <v/>
      </c>
      <c r="G531" s="16">
        <f>'Raw Data'!I531</f>
        <v/>
      </c>
      <c r="H531" s="14">
        <f>IF(G531&lt;15,"Low Variability",IF(G531&lt;=35,"Moderate Variability","High Variability"))</f>
        <v/>
      </c>
      <c r="I531" s="18">
        <f>'Raw Data'!O531</f>
        <v/>
      </c>
      <c r="J531" s="14">
        <f>IF(I531=0,"No Flood",IF(I531&lt;=0.5,"Low",IF(I531&lt;=2,"Moderate","High")))</f>
        <v/>
      </c>
    </row>
    <row r="532" ht="15" customHeight="1" s="12">
      <c r="A532" s="14">
        <f>'Raw Data'!A532</f>
        <v/>
      </c>
      <c r="B532" s="14">
        <f>'Raw Data'!B532</f>
        <v/>
      </c>
      <c r="C532" s="14">
        <f>'Raw Data'!C532</f>
        <v/>
      </c>
      <c r="D532" s="15">
        <f>'Raw Data'!M532</f>
        <v/>
      </c>
      <c r="E532" s="18">
        <f>'Raw Data'!M532/'Raw Data'!L532*100</f>
        <v/>
      </c>
      <c r="F532" s="14">
        <f>IF(E532&gt;15,"Wet Year",IF(E532&lt;-15,"Dry Year","Normal Year"))</f>
        <v/>
      </c>
      <c r="G532" s="16">
        <f>'Raw Data'!I532</f>
        <v/>
      </c>
      <c r="H532" s="14">
        <f>IF(G532&lt;15,"Low Variability",IF(G532&lt;=35,"Moderate Variability","High Variability"))</f>
        <v/>
      </c>
      <c r="I532" s="18">
        <f>'Raw Data'!O532</f>
        <v/>
      </c>
      <c r="J532" s="14">
        <f>IF(I532=0,"No Flood",IF(I532&lt;=0.5,"Low",IF(I532&lt;=2,"Moderate","High")))</f>
        <v/>
      </c>
    </row>
    <row r="533" ht="15" customHeight="1" s="12">
      <c r="A533" s="14">
        <f>'Raw Data'!A533</f>
        <v/>
      </c>
      <c r="B533" s="14">
        <f>'Raw Data'!B533</f>
        <v/>
      </c>
      <c r="C533" s="14">
        <f>'Raw Data'!C533</f>
        <v/>
      </c>
      <c r="D533" s="15">
        <f>'Raw Data'!M533</f>
        <v/>
      </c>
      <c r="E533" s="18">
        <f>'Raw Data'!M533/'Raw Data'!L533*100</f>
        <v/>
      </c>
      <c r="F533" s="14">
        <f>IF(E533&gt;15,"Wet Year",IF(E533&lt;-15,"Dry Year","Normal Year"))</f>
        <v/>
      </c>
      <c r="G533" s="16">
        <f>'Raw Data'!I533</f>
        <v/>
      </c>
      <c r="H533" s="14">
        <f>IF(G533&lt;15,"Low Variability",IF(G533&lt;=35,"Moderate Variability","High Variability"))</f>
        <v/>
      </c>
      <c r="I533" s="18">
        <f>'Raw Data'!O533</f>
        <v/>
      </c>
      <c r="J533" s="14">
        <f>IF(I533=0,"No Flood",IF(I533&lt;=0.5,"Low",IF(I533&lt;=2,"Moderate","High")))</f>
        <v/>
      </c>
    </row>
    <row r="534" ht="15" customHeight="1" s="12">
      <c r="A534" s="14">
        <f>'Raw Data'!A534</f>
        <v/>
      </c>
      <c r="B534" s="14">
        <f>'Raw Data'!B534</f>
        <v/>
      </c>
      <c r="C534" s="14">
        <f>'Raw Data'!C534</f>
        <v/>
      </c>
      <c r="D534" s="15">
        <f>'Raw Data'!M534</f>
        <v/>
      </c>
      <c r="E534" s="18">
        <f>'Raw Data'!M534/'Raw Data'!L534*100</f>
        <v/>
      </c>
      <c r="F534" s="14">
        <f>IF(E534&gt;15,"Wet Year",IF(E534&lt;-15,"Dry Year","Normal Year"))</f>
        <v/>
      </c>
      <c r="G534" s="16">
        <f>'Raw Data'!I534</f>
        <v/>
      </c>
      <c r="H534" s="14">
        <f>IF(G534&lt;15,"Low Variability",IF(G534&lt;=35,"Moderate Variability","High Variability"))</f>
        <v/>
      </c>
      <c r="I534" s="18">
        <f>'Raw Data'!O534</f>
        <v/>
      </c>
      <c r="J534" s="14">
        <f>IF(I534=0,"No Flood",IF(I534&lt;=0.5,"Low",IF(I534&lt;=2,"Moderate","High")))</f>
        <v/>
      </c>
    </row>
    <row r="535" ht="15" customHeight="1" s="12">
      <c r="A535" s="14">
        <f>'Raw Data'!A535</f>
        <v/>
      </c>
      <c r="B535" s="14">
        <f>'Raw Data'!B535</f>
        <v/>
      </c>
      <c r="C535" s="14">
        <f>'Raw Data'!C535</f>
        <v/>
      </c>
      <c r="D535" s="15">
        <f>'Raw Data'!M535</f>
        <v/>
      </c>
      <c r="E535" s="18">
        <f>'Raw Data'!M535/'Raw Data'!L535*100</f>
        <v/>
      </c>
      <c r="F535" s="14">
        <f>IF(E535&gt;15,"Wet Year",IF(E535&lt;-15,"Dry Year","Normal Year"))</f>
        <v/>
      </c>
      <c r="G535" s="16">
        <f>'Raw Data'!I535</f>
        <v/>
      </c>
      <c r="H535" s="14">
        <f>IF(G535&lt;15,"Low Variability",IF(G535&lt;=35,"Moderate Variability","High Variability"))</f>
        <v/>
      </c>
      <c r="I535" s="18">
        <f>'Raw Data'!O535</f>
        <v/>
      </c>
      <c r="J535" s="14">
        <f>IF(I535=0,"No Flood",IF(I535&lt;=0.5,"Low",IF(I535&lt;=2,"Moderate","High")))</f>
        <v/>
      </c>
    </row>
    <row r="536" ht="15" customHeight="1" s="12">
      <c r="A536" s="14">
        <f>'Raw Data'!A536</f>
        <v/>
      </c>
      <c r="B536" s="14">
        <f>'Raw Data'!B536</f>
        <v/>
      </c>
      <c r="C536" s="14">
        <f>'Raw Data'!C536</f>
        <v/>
      </c>
      <c r="D536" s="15">
        <f>'Raw Data'!M536</f>
        <v/>
      </c>
      <c r="E536" s="18">
        <f>'Raw Data'!M536/'Raw Data'!L536*100</f>
        <v/>
      </c>
      <c r="F536" s="14">
        <f>IF(E536&gt;15,"Wet Year",IF(E536&lt;-15,"Dry Year","Normal Year"))</f>
        <v/>
      </c>
      <c r="G536" s="16">
        <f>'Raw Data'!I536</f>
        <v/>
      </c>
      <c r="H536" s="14">
        <f>IF(G536&lt;15,"Low Variability",IF(G536&lt;=35,"Moderate Variability","High Variability"))</f>
        <v/>
      </c>
      <c r="I536" s="18">
        <f>'Raw Data'!O536</f>
        <v/>
      </c>
      <c r="J536" s="14">
        <f>IF(I536=0,"No Flood",IF(I536&lt;=0.5,"Low",IF(I536&lt;=2,"Moderate","High")))</f>
        <v/>
      </c>
    </row>
    <row r="537" ht="15" customHeight="1" s="12">
      <c r="A537" s="14">
        <f>'Raw Data'!A537</f>
        <v/>
      </c>
      <c r="B537" s="14">
        <f>'Raw Data'!B537</f>
        <v/>
      </c>
      <c r="C537" s="14">
        <f>'Raw Data'!C537</f>
        <v/>
      </c>
      <c r="D537" s="15">
        <f>'Raw Data'!M537</f>
        <v/>
      </c>
      <c r="E537" s="18">
        <f>'Raw Data'!M537/'Raw Data'!L537*100</f>
        <v/>
      </c>
      <c r="F537" s="14">
        <f>IF(E537&gt;15,"Wet Year",IF(E537&lt;-15,"Dry Year","Normal Year"))</f>
        <v/>
      </c>
      <c r="G537" s="16">
        <f>'Raw Data'!I537</f>
        <v/>
      </c>
      <c r="H537" s="14">
        <f>IF(G537&lt;15,"Low Variability",IF(G537&lt;=35,"Moderate Variability","High Variability"))</f>
        <v/>
      </c>
      <c r="I537" s="18">
        <f>'Raw Data'!O537</f>
        <v/>
      </c>
      <c r="J537" s="14">
        <f>IF(I537=0,"No Flood",IF(I537&lt;=0.5,"Low",IF(I537&lt;=2,"Moderate","High")))</f>
        <v/>
      </c>
    </row>
    <row r="538" ht="15" customHeight="1" s="12">
      <c r="A538" s="14">
        <f>'Raw Data'!A538</f>
        <v/>
      </c>
      <c r="B538" s="14">
        <f>'Raw Data'!B538</f>
        <v/>
      </c>
      <c r="C538" s="14">
        <f>'Raw Data'!C538</f>
        <v/>
      </c>
      <c r="D538" s="15">
        <f>'Raw Data'!M538</f>
        <v/>
      </c>
      <c r="E538" s="18">
        <f>'Raw Data'!M538/'Raw Data'!L538*100</f>
        <v/>
      </c>
      <c r="F538" s="14">
        <f>IF(E538&gt;15,"Wet Year",IF(E538&lt;-15,"Dry Year","Normal Year"))</f>
        <v/>
      </c>
      <c r="G538" s="16">
        <f>'Raw Data'!I538</f>
        <v/>
      </c>
      <c r="H538" s="14">
        <f>IF(G538&lt;15,"Low Variability",IF(G538&lt;=35,"Moderate Variability","High Variability"))</f>
        <v/>
      </c>
      <c r="I538" s="18">
        <f>'Raw Data'!O538</f>
        <v/>
      </c>
      <c r="J538" s="14">
        <f>IF(I538=0,"No Flood",IF(I538&lt;=0.5,"Low",IF(I538&lt;=2,"Moderate","High")))</f>
        <v/>
      </c>
    </row>
    <row r="539" ht="15" customHeight="1" s="12">
      <c r="A539" s="14">
        <f>'Raw Data'!A539</f>
        <v/>
      </c>
      <c r="B539" s="14">
        <f>'Raw Data'!B539</f>
        <v/>
      </c>
      <c r="C539" s="14">
        <f>'Raw Data'!C539</f>
        <v/>
      </c>
      <c r="D539" s="15">
        <f>'Raw Data'!M539</f>
        <v/>
      </c>
      <c r="E539" s="18">
        <f>'Raw Data'!M539/'Raw Data'!L539*100</f>
        <v/>
      </c>
      <c r="F539" s="14">
        <f>IF(E539&gt;15,"Wet Year",IF(E539&lt;-15,"Dry Year","Normal Year"))</f>
        <v/>
      </c>
      <c r="G539" s="16">
        <f>'Raw Data'!I539</f>
        <v/>
      </c>
      <c r="H539" s="14">
        <f>IF(G539&lt;15,"Low Variability",IF(G539&lt;=35,"Moderate Variability","High Variability"))</f>
        <v/>
      </c>
      <c r="I539" s="18">
        <f>'Raw Data'!O539</f>
        <v/>
      </c>
      <c r="J539" s="14">
        <f>IF(I539=0,"No Flood",IF(I539&lt;=0.5,"Low",IF(I539&lt;=2,"Moderate","High")))</f>
        <v/>
      </c>
    </row>
    <row r="540" ht="15" customHeight="1" s="12">
      <c r="A540" s="14">
        <f>'Raw Data'!A540</f>
        <v/>
      </c>
      <c r="B540" s="14">
        <f>'Raw Data'!B540</f>
        <v/>
      </c>
      <c r="C540" s="14">
        <f>'Raw Data'!C540</f>
        <v/>
      </c>
      <c r="D540" s="15">
        <f>'Raw Data'!M540</f>
        <v/>
      </c>
      <c r="E540" s="18">
        <f>'Raw Data'!M540/'Raw Data'!L540*100</f>
        <v/>
      </c>
      <c r="F540" s="14">
        <f>IF(E540&gt;15,"Wet Year",IF(E540&lt;-15,"Dry Year","Normal Year"))</f>
        <v/>
      </c>
      <c r="G540" s="16">
        <f>'Raw Data'!I540</f>
        <v/>
      </c>
      <c r="H540" s="14">
        <f>IF(G540&lt;15,"Low Variability",IF(G540&lt;=35,"Moderate Variability","High Variability"))</f>
        <v/>
      </c>
      <c r="I540" s="18">
        <f>'Raw Data'!O540</f>
        <v/>
      </c>
      <c r="J540" s="14">
        <f>IF(I540=0,"No Flood",IF(I540&lt;=0.5,"Low",IF(I540&lt;=2,"Moderate","High")))</f>
        <v/>
      </c>
    </row>
    <row r="541" ht="15" customHeight="1" s="12">
      <c r="A541" s="14">
        <f>'Raw Data'!A541</f>
        <v/>
      </c>
      <c r="B541" s="14">
        <f>'Raw Data'!B541</f>
        <v/>
      </c>
      <c r="C541" s="14">
        <f>'Raw Data'!C541</f>
        <v/>
      </c>
      <c r="D541" s="15">
        <f>'Raw Data'!M541</f>
        <v/>
      </c>
      <c r="E541" s="18">
        <f>'Raw Data'!M541/'Raw Data'!L541*100</f>
        <v/>
      </c>
      <c r="F541" s="14">
        <f>IF(E541&gt;15,"Wet Year",IF(E541&lt;-15,"Dry Year","Normal Year"))</f>
        <v/>
      </c>
      <c r="G541" s="16">
        <f>'Raw Data'!I541</f>
        <v/>
      </c>
      <c r="H541" s="14">
        <f>IF(G541&lt;15,"Low Variability",IF(G541&lt;=35,"Moderate Variability","High Variability"))</f>
        <v/>
      </c>
      <c r="I541" s="18">
        <f>'Raw Data'!O541</f>
        <v/>
      </c>
      <c r="J541" s="14">
        <f>IF(I541=0,"No Flood",IF(I541&lt;=0.5,"Low",IF(I541&lt;=2,"Moderate","High")))</f>
        <v/>
      </c>
    </row>
    <row r="542" ht="15" customHeight="1" s="12">
      <c r="A542" s="14">
        <f>'Raw Data'!A542</f>
        <v/>
      </c>
      <c r="B542" s="14">
        <f>'Raw Data'!B542</f>
        <v/>
      </c>
      <c r="C542" s="14">
        <f>'Raw Data'!C542</f>
        <v/>
      </c>
      <c r="D542" s="15">
        <f>'Raw Data'!M542</f>
        <v/>
      </c>
      <c r="E542" s="18">
        <f>'Raw Data'!M542/'Raw Data'!L542*100</f>
        <v/>
      </c>
      <c r="F542" s="14">
        <f>IF(E542&gt;15,"Wet Year",IF(E542&lt;-15,"Dry Year","Normal Year"))</f>
        <v/>
      </c>
      <c r="G542" s="16">
        <f>'Raw Data'!I542</f>
        <v/>
      </c>
      <c r="H542" s="14">
        <f>IF(G542&lt;15,"Low Variability",IF(G542&lt;=35,"Moderate Variability","High Variability"))</f>
        <v/>
      </c>
      <c r="I542" s="18">
        <f>'Raw Data'!O542</f>
        <v/>
      </c>
      <c r="J542" s="14">
        <f>IF(I542=0,"No Flood",IF(I542&lt;=0.5,"Low",IF(I542&lt;=2,"Moderate","High")))</f>
        <v/>
      </c>
    </row>
    <row r="543" ht="15" customHeight="1" s="12">
      <c r="A543" s="14">
        <f>'Raw Data'!A543</f>
        <v/>
      </c>
      <c r="B543" s="14">
        <f>'Raw Data'!B543</f>
        <v/>
      </c>
      <c r="C543" s="14">
        <f>'Raw Data'!C543</f>
        <v/>
      </c>
      <c r="D543" s="15">
        <f>'Raw Data'!M543</f>
        <v/>
      </c>
      <c r="E543" s="18">
        <f>'Raw Data'!M543/'Raw Data'!L543*100</f>
        <v/>
      </c>
      <c r="F543" s="14">
        <f>IF(E543&gt;15,"Wet Year",IF(E543&lt;-15,"Dry Year","Normal Year"))</f>
        <v/>
      </c>
      <c r="G543" s="16">
        <f>'Raw Data'!I543</f>
        <v/>
      </c>
      <c r="H543" s="14">
        <f>IF(G543&lt;15,"Low Variability",IF(G543&lt;=35,"Moderate Variability","High Variability"))</f>
        <v/>
      </c>
      <c r="I543" s="18">
        <f>'Raw Data'!O543</f>
        <v/>
      </c>
      <c r="J543" s="14">
        <f>IF(I543=0,"No Flood",IF(I543&lt;=0.5,"Low",IF(I543&lt;=2,"Moderate","High")))</f>
        <v/>
      </c>
    </row>
    <row r="544" ht="15" customHeight="1" s="12">
      <c r="A544" s="14">
        <f>'Raw Data'!A544</f>
        <v/>
      </c>
      <c r="B544" s="14">
        <f>'Raw Data'!B544</f>
        <v/>
      </c>
      <c r="C544" s="14">
        <f>'Raw Data'!C544</f>
        <v/>
      </c>
      <c r="D544" s="15">
        <f>'Raw Data'!M544</f>
        <v/>
      </c>
      <c r="E544" s="18">
        <f>'Raw Data'!M544/'Raw Data'!L544*100</f>
        <v/>
      </c>
      <c r="F544" s="14">
        <f>IF(E544&gt;15,"Wet Year",IF(E544&lt;-15,"Dry Year","Normal Year"))</f>
        <v/>
      </c>
      <c r="G544" s="16">
        <f>'Raw Data'!I544</f>
        <v/>
      </c>
      <c r="H544" s="14">
        <f>IF(G544&lt;15,"Low Variability",IF(G544&lt;=35,"Moderate Variability","High Variability"))</f>
        <v/>
      </c>
      <c r="I544" s="18">
        <f>'Raw Data'!O544</f>
        <v/>
      </c>
      <c r="J544" s="14">
        <f>IF(I544=0,"No Flood",IF(I544&lt;=0.5,"Low",IF(I544&lt;=2,"Moderate","High")))</f>
        <v/>
      </c>
    </row>
    <row r="545" ht="15" customHeight="1" s="12">
      <c r="A545" s="14">
        <f>'Raw Data'!A545</f>
        <v/>
      </c>
      <c r="B545" s="14">
        <f>'Raw Data'!B545</f>
        <v/>
      </c>
      <c r="C545" s="14">
        <f>'Raw Data'!C545</f>
        <v/>
      </c>
      <c r="D545" s="15">
        <f>'Raw Data'!M545</f>
        <v/>
      </c>
      <c r="E545" s="18">
        <f>'Raw Data'!M545/'Raw Data'!L545*100</f>
        <v/>
      </c>
      <c r="F545" s="14">
        <f>IF(E545&gt;15,"Wet Year",IF(E545&lt;-15,"Dry Year","Normal Year"))</f>
        <v/>
      </c>
      <c r="G545" s="16">
        <f>'Raw Data'!I545</f>
        <v/>
      </c>
      <c r="H545" s="14">
        <f>IF(G545&lt;15,"Low Variability",IF(G545&lt;=35,"Moderate Variability","High Variability"))</f>
        <v/>
      </c>
      <c r="I545" s="18">
        <f>'Raw Data'!O545</f>
        <v/>
      </c>
      <c r="J545" s="14">
        <f>IF(I545=0,"No Flood",IF(I545&lt;=0.5,"Low",IF(I545&lt;=2,"Moderate","High")))</f>
        <v/>
      </c>
    </row>
    <row r="546" ht="15" customHeight="1" s="12">
      <c r="A546" s="14">
        <f>'Raw Data'!A546</f>
        <v/>
      </c>
      <c r="B546" s="14">
        <f>'Raw Data'!B546</f>
        <v/>
      </c>
      <c r="C546" s="14">
        <f>'Raw Data'!C546</f>
        <v/>
      </c>
      <c r="D546" s="15">
        <f>'Raw Data'!M546</f>
        <v/>
      </c>
      <c r="E546" s="18">
        <f>'Raw Data'!M546/'Raw Data'!L546*100</f>
        <v/>
      </c>
      <c r="F546" s="14">
        <f>IF(E546&gt;15,"Wet Year",IF(E546&lt;-15,"Dry Year","Normal Year"))</f>
        <v/>
      </c>
      <c r="G546" s="16">
        <f>'Raw Data'!I546</f>
        <v/>
      </c>
      <c r="H546" s="14">
        <f>IF(G546&lt;15,"Low Variability",IF(G546&lt;=35,"Moderate Variability","High Variability"))</f>
        <v/>
      </c>
      <c r="I546" s="18">
        <f>'Raw Data'!O546</f>
        <v/>
      </c>
      <c r="J546" s="14">
        <f>IF(I546=0,"No Flood",IF(I546&lt;=0.5,"Low",IF(I546&lt;=2,"Moderate","High")))</f>
        <v/>
      </c>
    </row>
    <row r="547" ht="15" customHeight="1" s="12">
      <c r="A547" s="14">
        <f>'Raw Data'!A547</f>
        <v/>
      </c>
      <c r="B547" s="14">
        <f>'Raw Data'!B547</f>
        <v/>
      </c>
      <c r="C547" s="14">
        <f>'Raw Data'!C547</f>
        <v/>
      </c>
      <c r="D547" s="15">
        <f>'Raw Data'!M547</f>
        <v/>
      </c>
      <c r="E547" s="18">
        <f>'Raw Data'!M547/'Raw Data'!L547*100</f>
        <v/>
      </c>
      <c r="F547" s="14">
        <f>IF(E547&gt;15,"Wet Year",IF(E547&lt;-15,"Dry Year","Normal Year"))</f>
        <v/>
      </c>
      <c r="G547" s="16">
        <f>'Raw Data'!I547</f>
        <v/>
      </c>
      <c r="H547" s="14">
        <f>IF(G547&lt;15,"Low Variability",IF(G547&lt;=35,"Moderate Variability","High Variability"))</f>
        <v/>
      </c>
      <c r="I547" s="18">
        <f>'Raw Data'!O547</f>
        <v/>
      </c>
      <c r="J547" s="14">
        <f>IF(I547=0,"No Flood",IF(I547&lt;=0.5,"Low",IF(I547&lt;=2,"Moderate","High")))</f>
        <v/>
      </c>
    </row>
    <row r="548" ht="15" customHeight="1" s="12">
      <c r="A548" s="14">
        <f>'Raw Data'!A548</f>
        <v/>
      </c>
      <c r="B548" s="14">
        <f>'Raw Data'!B548</f>
        <v/>
      </c>
      <c r="C548" s="14">
        <f>'Raw Data'!C548</f>
        <v/>
      </c>
      <c r="D548" s="15">
        <f>'Raw Data'!M548</f>
        <v/>
      </c>
      <c r="E548" s="18">
        <f>'Raw Data'!M548/'Raw Data'!L548*100</f>
        <v/>
      </c>
      <c r="F548" s="14">
        <f>IF(E548&gt;15,"Wet Year",IF(E548&lt;-15,"Dry Year","Normal Year"))</f>
        <v/>
      </c>
      <c r="G548" s="16">
        <f>'Raw Data'!I548</f>
        <v/>
      </c>
      <c r="H548" s="14">
        <f>IF(G548&lt;15,"Low Variability",IF(G548&lt;=35,"Moderate Variability","High Variability"))</f>
        <v/>
      </c>
      <c r="I548" s="18">
        <f>'Raw Data'!O548</f>
        <v/>
      </c>
      <c r="J548" s="14">
        <f>IF(I548=0,"No Flood",IF(I548&lt;=0.5,"Low",IF(I548&lt;=2,"Moderate","High")))</f>
        <v/>
      </c>
    </row>
    <row r="549" ht="15" customHeight="1" s="12">
      <c r="A549" s="14">
        <f>'Raw Data'!A549</f>
        <v/>
      </c>
      <c r="B549" s="14">
        <f>'Raw Data'!B549</f>
        <v/>
      </c>
      <c r="C549" s="14">
        <f>'Raw Data'!C549</f>
        <v/>
      </c>
      <c r="D549" s="15">
        <f>'Raw Data'!M549</f>
        <v/>
      </c>
      <c r="E549" s="18">
        <f>'Raw Data'!M549/'Raw Data'!L549*100</f>
        <v/>
      </c>
      <c r="F549" s="14">
        <f>IF(E549&gt;15,"Wet Year",IF(E549&lt;-15,"Dry Year","Normal Year"))</f>
        <v/>
      </c>
      <c r="G549" s="16">
        <f>'Raw Data'!I549</f>
        <v/>
      </c>
      <c r="H549" s="14">
        <f>IF(G549&lt;15,"Low Variability",IF(G549&lt;=35,"Moderate Variability","High Variability"))</f>
        <v/>
      </c>
      <c r="I549" s="18">
        <f>'Raw Data'!O549</f>
        <v/>
      </c>
      <c r="J549" s="14">
        <f>IF(I549=0,"No Flood",IF(I549&lt;=0.5,"Low",IF(I549&lt;=2,"Moderate","High")))</f>
        <v/>
      </c>
    </row>
    <row r="550" ht="15" customHeight="1" s="12">
      <c r="A550" s="14">
        <f>'Raw Data'!A550</f>
        <v/>
      </c>
      <c r="B550" s="14">
        <f>'Raw Data'!B550</f>
        <v/>
      </c>
      <c r="C550" s="14">
        <f>'Raw Data'!C550</f>
        <v/>
      </c>
      <c r="D550" s="15">
        <f>'Raw Data'!M550</f>
        <v/>
      </c>
      <c r="E550" s="18">
        <f>'Raw Data'!M550/'Raw Data'!L550*100</f>
        <v/>
      </c>
      <c r="F550" s="14">
        <f>IF(E550&gt;15,"Wet Year",IF(E550&lt;-15,"Dry Year","Normal Year"))</f>
        <v/>
      </c>
      <c r="G550" s="16">
        <f>'Raw Data'!I550</f>
        <v/>
      </c>
      <c r="H550" s="14">
        <f>IF(G550&lt;15,"Low Variability",IF(G550&lt;=35,"Moderate Variability","High Variability"))</f>
        <v/>
      </c>
      <c r="I550" s="18">
        <f>'Raw Data'!O550</f>
        <v/>
      </c>
      <c r="J550" s="14">
        <f>IF(I550=0,"No Flood",IF(I550&lt;=0.5,"Low",IF(I550&lt;=2,"Moderate","High")))</f>
        <v/>
      </c>
    </row>
    <row r="551" ht="15" customHeight="1" s="12">
      <c r="A551" s="14">
        <f>'Raw Data'!A551</f>
        <v/>
      </c>
      <c r="B551" s="14">
        <f>'Raw Data'!B551</f>
        <v/>
      </c>
      <c r="C551" s="14">
        <f>'Raw Data'!C551</f>
        <v/>
      </c>
      <c r="D551" s="15">
        <f>'Raw Data'!M551</f>
        <v/>
      </c>
      <c r="E551" s="18">
        <f>'Raw Data'!M551/'Raw Data'!L551*100</f>
        <v/>
      </c>
      <c r="F551" s="14">
        <f>IF(E551&gt;15,"Wet Year",IF(E551&lt;-15,"Dry Year","Normal Year"))</f>
        <v/>
      </c>
      <c r="G551" s="16">
        <f>'Raw Data'!I551</f>
        <v/>
      </c>
      <c r="H551" s="14">
        <f>IF(G551&lt;15,"Low Variability",IF(G551&lt;=35,"Moderate Variability","High Variability"))</f>
        <v/>
      </c>
      <c r="I551" s="18">
        <f>'Raw Data'!O551</f>
        <v/>
      </c>
      <c r="J551" s="14">
        <f>IF(I551=0,"No Flood",IF(I551&lt;=0.5,"Low",IF(I551&lt;=2,"Moderate","High")))</f>
        <v/>
      </c>
    </row>
    <row r="552" ht="15" customHeight="1" s="12">
      <c r="A552" s="14">
        <f>'Raw Data'!A552</f>
        <v/>
      </c>
      <c r="B552" s="14">
        <f>'Raw Data'!B552</f>
        <v/>
      </c>
      <c r="C552" s="14">
        <f>'Raw Data'!C552</f>
        <v/>
      </c>
      <c r="D552" s="15">
        <f>'Raw Data'!M552</f>
        <v/>
      </c>
      <c r="E552" s="18">
        <f>'Raw Data'!M552/'Raw Data'!L552*100</f>
        <v/>
      </c>
      <c r="F552" s="14">
        <f>IF(E552&gt;15,"Wet Year",IF(E552&lt;-15,"Dry Year","Normal Year"))</f>
        <v/>
      </c>
      <c r="G552" s="16">
        <f>'Raw Data'!I552</f>
        <v/>
      </c>
      <c r="H552" s="14">
        <f>IF(G552&lt;15,"Low Variability",IF(G552&lt;=35,"Moderate Variability","High Variability"))</f>
        <v/>
      </c>
      <c r="I552" s="18">
        <f>'Raw Data'!O552</f>
        <v/>
      </c>
      <c r="J552" s="14">
        <f>IF(I552=0,"No Flood",IF(I552&lt;=0.5,"Low",IF(I552&lt;=2,"Moderate","High")))</f>
        <v/>
      </c>
    </row>
    <row r="553" ht="15" customHeight="1" s="12">
      <c r="A553" s="14">
        <f>'Raw Data'!A553</f>
        <v/>
      </c>
      <c r="B553" s="14">
        <f>'Raw Data'!B553</f>
        <v/>
      </c>
      <c r="C553" s="14">
        <f>'Raw Data'!C553</f>
        <v/>
      </c>
      <c r="D553" s="15">
        <f>'Raw Data'!M553</f>
        <v/>
      </c>
      <c r="E553" s="18">
        <f>'Raw Data'!M553/'Raw Data'!L553*100</f>
        <v/>
      </c>
      <c r="F553" s="14">
        <f>IF(E553&gt;15,"Wet Year",IF(E553&lt;-15,"Dry Year","Normal Year"))</f>
        <v/>
      </c>
      <c r="G553" s="16">
        <f>'Raw Data'!I553</f>
        <v/>
      </c>
      <c r="H553" s="14">
        <f>IF(G553&lt;15,"Low Variability",IF(G553&lt;=35,"Moderate Variability","High Variability"))</f>
        <v/>
      </c>
      <c r="I553" s="18">
        <f>'Raw Data'!O553</f>
        <v/>
      </c>
      <c r="J553" s="14">
        <f>IF(I553=0,"No Flood",IF(I553&lt;=0.5,"Low",IF(I553&lt;=2,"Moderate","High")))</f>
        <v/>
      </c>
    </row>
    <row r="554" ht="15" customHeight="1" s="12">
      <c r="A554" s="14">
        <f>'Raw Data'!A554</f>
        <v/>
      </c>
      <c r="B554" s="14">
        <f>'Raw Data'!B554</f>
        <v/>
      </c>
      <c r="C554" s="14">
        <f>'Raw Data'!C554</f>
        <v/>
      </c>
      <c r="D554" s="15">
        <f>'Raw Data'!M554</f>
        <v/>
      </c>
      <c r="E554" s="18">
        <f>'Raw Data'!M554/'Raw Data'!L554*100</f>
        <v/>
      </c>
      <c r="F554" s="14">
        <f>IF(E554&gt;15,"Wet Year",IF(E554&lt;-15,"Dry Year","Normal Year"))</f>
        <v/>
      </c>
      <c r="G554" s="16">
        <f>'Raw Data'!I554</f>
        <v/>
      </c>
      <c r="H554" s="14">
        <f>IF(G554&lt;15,"Low Variability",IF(G554&lt;=35,"Moderate Variability","High Variability"))</f>
        <v/>
      </c>
      <c r="I554" s="18">
        <f>'Raw Data'!O554</f>
        <v/>
      </c>
      <c r="J554" s="14">
        <f>IF(I554=0,"No Flood",IF(I554&lt;=0.5,"Low",IF(I554&lt;=2,"Moderate","High")))</f>
        <v/>
      </c>
    </row>
    <row r="555" ht="15" customHeight="1" s="12">
      <c r="A555" s="14">
        <f>'Raw Data'!A555</f>
        <v/>
      </c>
      <c r="B555" s="14">
        <f>'Raw Data'!B555</f>
        <v/>
      </c>
      <c r="C555" s="14">
        <f>'Raw Data'!C555</f>
        <v/>
      </c>
      <c r="D555" s="15">
        <f>'Raw Data'!M555</f>
        <v/>
      </c>
      <c r="E555" s="18">
        <f>'Raw Data'!M555/'Raw Data'!L555*100</f>
        <v/>
      </c>
      <c r="F555" s="14">
        <f>IF(E555&gt;15,"Wet Year",IF(E555&lt;-15,"Dry Year","Normal Year"))</f>
        <v/>
      </c>
      <c r="G555" s="16">
        <f>'Raw Data'!I555</f>
        <v/>
      </c>
      <c r="H555" s="14">
        <f>IF(G555&lt;15,"Low Variability",IF(G555&lt;=35,"Moderate Variability","High Variability"))</f>
        <v/>
      </c>
      <c r="I555" s="18">
        <f>'Raw Data'!O555</f>
        <v/>
      </c>
      <c r="J555" s="14">
        <f>IF(I555=0,"No Flood",IF(I555&lt;=0.5,"Low",IF(I555&lt;=2,"Moderate","High")))</f>
        <v/>
      </c>
    </row>
    <row r="556" ht="15" customHeight="1" s="12">
      <c r="A556" s="14">
        <f>'Raw Data'!A556</f>
        <v/>
      </c>
      <c r="B556" s="14">
        <f>'Raw Data'!B556</f>
        <v/>
      </c>
      <c r="C556" s="14">
        <f>'Raw Data'!C556</f>
        <v/>
      </c>
      <c r="D556" s="15">
        <f>'Raw Data'!M556</f>
        <v/>
      </c>
      <c r="E556" s="18">
        <f>'Raw Data'!M556/'Raw Data'!L556*100</f>
        <v/>
      </c>
      <c r="F556" s="14">
        <f>IF(E556&gt;15,"Wet Year",IF(E556&lt;-15,"Dry Year","Normal Year"))</f>
        <v/>
      </c>
      <c r="G556" s="16">
        <f>'Raw Data'!I556</f>
        <v/>
      </c>
      <c r="H556" s="14">
        <f>IF(G556&lt;15,"Low Variability",IF(G556&lt;=35,"Moderate Variability","High Variability"))</f>
        <v/>
      </c>
      <c r="I556" s="18">
        <f>'Raw Data'!O556</f>
        <v/>
      </c>
      <c r="J556" s="14">
        <f>IF(I556=0,"No Flood",IF(I556&lt;=0.5,"Low",IF(I556&lt;=2,"Moderate","High")))</f>
        <v/>
      </c>
    </row>
    <row r="557" ht="15" customHeight="1" s="12">
      <c r="A557" s="14">
        <f>'Raw Data'!A557</f>
        <v/>
      </c>
      <c r="B557" s="14">
        <f>'Raw Data'!B557</f>
        <v/>
      </c>
      <c r="C557" s="14">
        <f>'Raw Data'!C557</f>
        <v/>
      </c>
      <c r="D557" s="15">
        <f>'Raw Data'!M557</f>
        <v/>
      </c>
      <c r="E557" s="18">
        <f>'Raw Data'!M557/'Raw Data'!L557*100</f>
        <v/>
      </c>
      <c r="F557" s="14">
        <f>IF(E557&gt;15,"Wet Year",IF(E557&lt;-15,"Dry Year","Normal Year"))</f>
        <v/>
      </c>
      <c r="G557" s="16">
        <f>'Raw Data'!I557</f>
        <v/>
      </c>
      <c r="H557" s="14">
        <f>IF(G557&lt;15,"Low Variability",IF(G557&lt;=35,"Moderate Variability","High Variability"))</f>
        <v/>
      </c>
      <c r="I557" s="18">
        <f>'Raw Data'!O557</f>
        <v/>
      </c>
      <c r="J557" s="14">
        <f>IF(I557=0,"No Flood",IF(I557&lt;=0.5,"Low",IF(I557&lt;=2,"Moderate","High")))</f>
        <v/>
      </c>
    </row>
    <row r="558" ht="15" customHeight="1" s="12">
      <c r="A558" s="14">
        <f>'Raw Data'!A558</f>
        <v/>
      </c>
      <c r="B558" s="14">
        <f>'Raw Data'!B558</f>
        <v/>
      </c>
      <c r="C558" s="14">
        <f>'Raw Data'!C558</f>
        <v/>
      </c>
      <c r="D558" s="15">
        <f>'Raw Data'!M558</f>
        <v/>
      </c>
      <c r="E558" s="18">
        <f>'Raw Data'!M558/'Raw Data'!L558*100</f>
        <v/>
      </c>
      <c r="F558" s="14">
        <f>IF(E558&gt;15,"Wet Year",IF(E558&lt;-15,"Dry Year","Normal Year"))</f>
        <v/>
      </c>
      <c r="G558" s="16">
        <f>'Raw Data'!I558</f>
        <v/>
      </c>
      <c r="H558" s="14">
        <f>IF(G558&lt;15,"Low Variability",IF(G558&lt;=35,"Moderate Variability","High Variability"))</f>
        <v/>
      </c>
      <c r="I558" s="18">
        <f>'Raw Data'!O558</f>
        <v/>
      </c>
      <c r="J558" s="14">
        <f>IF(I558=0,"No Flood",IF(I558&lt;=0.5,"Low",IF(I558&lt;=2,"Moderate","High")))</f>
        <v/>
      </c>
    </row>
    <row r="559" ht="15" customHeight="1" s="12">
      <c r="A559" s="14">
        <f>'Raw Data'!A559</f>
        <v/>
      </c>
      <c r="B559" s="14">
        <f>'Raw Data'!B559</f>
        <v/>
      </c>
      <c r="C559" s="14">
        <f>'Raw Data'!C559</f>
        <v/>
      </c>
      <c r="D559" s="15">
        <f>'Raw Data'!M559</f>
        <v/>
      </c>
      <c r="E559" s="18">
        <f>'Raw Data'!M559/'Raw Data'!L559*100</f>
        <v/>
      </c>
      <c r="F559" s="14">
        <f>IF(E559&gt;15,"Wet Year",IF(E559&lt;-15,"Dry Year","Normal Year"))</f>
        <v/>
      </c>
      <c r="G559" s="16">
        <f>'Raw Data'!I559</f>
        <v/>
      </c>
      <c r="H559" s="14">
        <f>IF(G559&lt;15,"Low Variability",IF(G559&lt;=35,"Moderate Variability","High Variability"))</f>
        <v/>
      </c>
      <c r="I559" s="18">
        <f>'Raw Data'!O559</f>
        <v/>
      </c>
      <c r="J559" s="14">
        <f>IF(I559=0,"No Flood",IF(I559&lt;=0.5,"Low",IF(I559&lt;=2,"Moderate","High")))</f>
        <v/>
      </c>
    </row>
    <row r="560" ht="15" customHeight="1" s="12">
      <c r="A560" s="14">
        <f>'Raw Data'!A560</f>
        <v/>
      </c>
      <c r="B560" s="14">
        <f>'Raw Data'!B560</f>
        <v/>
      </c>
      <c r="C560" s="14">
        <f>'Raw Data'!C560</f>
        <v/>
      </c>
      <c r="D560" s="15">
        <f>'Raw Data'!M560</f>
        <v/>
      </c>
      <c r="E560" s="18">
        <f>'Raw Data'!M560/'Raw Data'!L560*100</f>
        <v/>
      </c>
      <c r="F560" s="14">
        <f>IF(E560&gt;15,"Wet Year",IF(E560&lt;-15,"Dry Year","Normal Year"))</f>
        <v/>
      </c>
      <c r="G560" s="16">
        <f>'Raw Data'!I560</f>
        <v/>
      </c>
      <c r="H560" s="14">
        <f>IF(G560&lt;15,"Low Variability",IF(G560&lt;=35,"Moderate Variability","High Variability"))</f>
        <v/>
      </c>
      <c r="I560" s="18">
        <f>'Raw Data'!O560</f>
        <v/>
      </c>
      <c r="J560" s="14">
        <f>IF(I560=0,"No Flood",IF(I560&lt;=0.5,"Low",IF(I560&lt;=2,"Moderate","High")))</f>
        <v/>
      </c>
    </row>
    <row r="561" ht="15" customHeight="1" s="12">
      <c r="A561" s="14">
        <f>'Raw Data'!A561</f>
        <v/>
      </c>
      <c r="B561" s="14">
        <f>'Raw Data'!B561</f>
        <v/>
      </c>
      <c r="C561" s="14">
        <f>'Raw Data'!C561</f>
        <v/>
      </c>
      <c r="D561" s="15">
        <f>'Raw Data'!M561</f>
        <v/>
      </c>
      <c r="E561" s="18">
        <f>'Raw Data'!M561/'Raw Data'!L561*100</f>
        <v/>
      </c>
      <c r="F561" s="14">
        <f>IF(E561&gt;15,"Wet Year",IF(E561&lt;-15,"Dry Year","Normal Year"))</f>
        <v/>
      </c>
      <c r="G561" s="16">
        <f>'Raw Data'!I561</f>
        <v/>
      </c>
      <c r="H561" s="14">
        <f>IF(G561&lt;15,"Low Variability",IF(G561&lt;=35,"Moderate Variability","High Variability"))</f>
        <v/>
      </c>
      <c r="I561" s="18">
        <f>'Raw Data'!O561</f>
        <v/>
      </c>
      <c r="J561" s="14">
        <f>IF(I561=0,"No Flood",IF(I561&lt;=0.5,"Low",IF(I561&lt;=2,"Moderate","High")))</f>
        <v/>
      </c>
    </row>
    <row r="562" ht="15" customHeight="1" s="12">
      <c r="A562" s="14">
        <f>'Raw Data'!A562</f>
        <v/>
      </c>
      <c r="B562" s="14">
        <f>'Raw Data'!B562</f>
        <v/>
      </c>
      <c r="C562" s="14">
        <f>'Raw Data'!C562</f>
        <v/>
      </c>
      <c r="D562" s="15">
        <f>'Raw Data'!M562</f>
        <v/>
      </c>
      <c r="E562" s="18">
        <f>'Raw Data'!M562/'Raw Data'!L562*100</f>
        <v/>
      </c>
      <c r="F562" s="14">
        <f>IF(E562&gt;15,"Wet Year",IF(E562&lt;-15,"Dry Year","Normal Year"))</f>
        <v/>
      </c>
      <c r="G562" s="16">
        <f>'Raw Data'!I562</f>
        <v/>
      </c>
      <c r="H562" s="14">
        <f>IF(G562&lt;15,"Low Variability",IF(G562&lt;=35,"Moderate Variability","High Variability"))</f>
        <v/>
      </c>
      <c r="I562" s="18">
        <f>'Raw Data'!O562</f>
        <v/>
      </c>
      <c r="J562" s="14">
        <f>IF(I562=0,"No Flood",IF(I562&lt;=0.5,"Low",IF(I562&lt;=2,"Moderate","High")))</f>
        <v/>
      </c>
    </row>
    <row r="563" ht="15" customHeight="1" s="12">
      <c r="A563" s="14">
        <f>'Raw Data'!A563</f>
        <v/>
      </c>
      <c r="B563" s="14">
        <f>'Raw Data'!B563</f>
        <v/>
      </c>
      <c r="C563" s="14">
        <f>'Raw Data'!C563</f>
        <v/>
      </c>
      <c r="D563" s="15">
        <f>'Raw Data'!M563</f>
        <v/>
      </c>
      <c r="E563" s="18">
        <f>'Raw Data'!M563/'Raw Data'!L563*100</f>
        <v/>
      </c>
      <c r="F563" s="14">
        <f>IF(E563&gt;15,"Wet Year",IF(E563&lt;-15,"Dry Year","Normal Year"))</f>
        <v/>
      </c>
      <c r="G563" s="16">
        <f>'Raw Data'!I563</f>
        <v/>
      </c>
      <c r="H563" s="14">
        <f>IF(G563&lt;15,"Low Variability",IF(G563&lt;=35,"Moderate Variability","High Variability"))</f>
        <v/>
      </c>
      <c r="I563" s="18">
        <f>'Raw Data'!O563</f>
        <v/>
      </c>
      <c r="J563" s="14">
        <f>IF(I563=0,"No Flood",IF(I563&lt;=0.5,"Low",IF(I563&lt;=2,"Moderate","High")))</f>
        <v/>
      </c>
    </row>
    <row r="564" ht="15" customHeight="1" s="12">
      <c r="A564" s="14">
        <f>'Raw Data'!A564</f>
        <v/>
      </c>
      <c r="B564" s="14">
        <f>'Raw Data'!B564</f>
        <v/>
      </c>
      <c r="C564" s="14">
        <f>'Raw Data'!C564</f>
        <v/>
      </c>
      <c r="D564" s="15">
        <f>'Raw Data'!M564</f>
        <v/>
      </c>
      <c r="E564" s="18">
        <f>'Raw Data'!M564/'Raw Data'!L564*100</f>
        <v/>
      </c>
      <c r="F564" s="14">
        <f>IF(E564&gt;15,"Wet Year",IF(E564&lt;-15,"Dry Year","Normal Year"))</f>
        <v/>
      </c>
      <c r="G564" s="16">
        <f>'Raw Data'!I564</f>
        <v/>
      </c>
      <c r="H564" s="14">
        <f>IF(G564&lt;15,"Low Variability",IF(G564&lt;=35,"Moderate Variability","High Variability"))</f>
        <v/>
      </c>
      <c r="I564" s="18">
        <f>'Raw Data'!O564</f>
        <v/>
      </c>
      <c r="J564" s="14">
        <f>IF(I564=0,"No Flood",IF(I564&lt;=0.5,"Low",IF(I564&lt;=2,"Moderate","High")))</f>
        <v/>
      </c>
    </row>
    <row r="565" ht="15" customHeight="1" s="12">
      <c r="A565" s="14">
        <f>'Raw Data'!A565</f>
        <v/>
      </c>
      <c r="B565" s="14">
        <f>'Raw Data'!B565</f>
        <v/>
      </c>
      <c r="C565" s="14">
        <f>'Raw Data'!C565</f>
        <v/>
      </c>
      <c r="D565" s="15">
        <f>'Raw Data'!M565</f>
        <v/>
      </c>
      <c r="E565" s="18">
        <f>'Raw Data'!M565/'Raw Data'!L565*100</f>
        <v/>
      </c>
      <c r="F565" s="14">
        <f>IF(E565&gt;15,"Wet Year",IF(E565&lt;-15,"Dry Year","Normal Year"))</f>
        <v/>
      </c>
      <c r="G565" s="16">
        <f>'Raw Data'!I565</f>
        <v/>
      </c>
      <c r="H565" s="14">
        <f>IF(G565&lt;15,"Low Variability",IF(G565&lt;=35,"Moderate Variability","High Variability"))</f>
        <v/>
      </c>
      <c r="I565" s="18">
        <f>'Raw Data'!O565</f>
        <v/>
      </c>
      <c r="J565" s="14">
        <f>IF(I565=0,"No Flood",IF(I565&lt;=0.5,"Low",IF(I565&lt;=2,"Moderate","High")))</f>
        <v/>
      </c>
    </row>
    <row r="566" ht="15" customHeight="1" s="12">
      <c r="A566" s="14">
        <f>'Raw Data'!A566</f>
        <v/>
      </c>
      <c r="B566" s="14">
        <f>'Raw Data'!B566</f>
        <v/>
      </c>
      <c r="C566" s="14">
        <f>'Raw Data'!C566</f>
        <v/>
      </c>
      <c r="D566" s="15">
        <f>'Raw Data'!M566</f>
        <v/>
      </c>
      <c r="E566" s="18">
        <f>'Raw Data'!M566/'Raw Data'!L566*100</f>
        <v/>
      </c>
      <c r="F566" s="14">
        <f>IF(E566&gt;15,"Wet Year",IF(E566&lt;-15,"Dry Year","Normal Year"))</f>
        <v/>
      </c>
      <c r="G566" s="16">
        <f>'Raw Data'!I566</f>
        <v/>
      </c>
      <c r="H566" s="14">
        <f>IF(G566&lt;15,"Low Variability",IF(G566&lt;=35,"Moderate Variability","High Variability"))</f>
        <v/>
      </c>
      <c r="I566" s="18">
        <f>'Raw Data'!O566</f>
        <v/>
      </c>
      <c r="J566" s="14">
        <f>IF(I566=0,"No Flood",IF(I566&lt;=0.5,"Low",IF(I566&lt;=2,"Moderate","High")))</f>
        <v/>
      </c>
    </row>
    <row r="567" ht="15" customHeight="1" s="12">
      <c r="A567" s="14">
        <f>'Raw Data'!A567</f>
        <v/>
      </c>
      <c r="B567" s="14">
        <f>'Raw Data'!B567</f>
        <v/>
      </c>
      <c r="C567" s="14">
        <f>'Raw Data'!C567</f>
        <v/>
      </c>
      <c r="D567" s="15">
        <f>'Raw Data'!M567</f>
        <v/>
      </c>
      <c r="E567" s="18">
        <f>'Raw Data'!M567/'Raw Data'!L567*100</f>
        <v/>
      </c>
      <c r="F567" s="14">
        <f>IF(E567&gt;15,"Wet Year",IF(E567&lt;-15,"Dry Year","Normal Year"))</f>
        <v/>
      </c>
      <c r="G567" s="16">
        <f>'Raw Data'!I567</f>
        <v/>
      </c>
      <c r="H567" s="14">
        <f>IF(G567&lt;15,"Low Variability",IF(G567&lt;=35,"Moderate Variability","High Variability"))</f>
        <v/>
      </c>
      <c r="I567" s="18">
        <f>'Raw Data'!O567</f>
        <v/>
      </c>
      <c r="J567" s="14">
        <f>IF(I567=0,"No Flood",IF(I567&lt;=0.5,"Low",IF(I567&lt;=2,"Moderate","High")))</f>
        <v/>
      </c>
    </row>
    <row r="568" ht="15" customHeight="1" s="12">
      <c r="A568" s="14">
        <f>'Raw Data'!A568</f>
        <v/>
      </c>
      <c r="B568" s="14">
        <f>'Raw Data'!B568</f>
        <v/>
      </c>
      <c r="C568" s="14">
        <f>'Raw Data'!C568</f>
        <v/>
      </c>
      <c r="D568" s="15">
        <f>'Raw Data'!M568</f>
        <v/>
      </c>
      <c r="E568" s="18">
        <f>'Raw Data'!M568/'Raw Data'!L568*100</f>
        <v/>
      </c>
      <c r="F568" s="14">
        <f>IF(E568&gt;15,"Wet Year",IF(E568&lt;-15,"Dry Year","Normal Year"))</f>
        <v/>
      </c>
      <c r="G568" s="16">
        <f>'Raw Data'!I568</f>
        <v/>
      </c>
      <c r="H568" s="14">
        <f>IF(G568&lt;15,"Low Variability",IF(G568&lt;=35,"Moderate Variability","High Variability"))</f>
        <v/>
      </c>
      <c r="I568" s="18">
        <f>'Raw Data'!O568</f>
        <v/>
      </c>
      <c r="J568" s="14">
        <f>IF(I568=0,"No Flood",IF(I568&lt;=0.5,"Low",IF(I568&lt;=2,"Moderate","High")))</f>
        <v/>
      </c>
    </row>
    <row r="569" ht="15" customHeight="1" s="12">
      <c r="A569" s="14">
        <f>'Raw Data'!A569</f>
        <v/>
      </c>
      <c r="B569" s="14">
        <f>'Raw Data'!B569</f>
        <v/>
      </c>
      <c r="C569" s="14">
        <f>'Raw Data'!C569</f>
        <v/>
      </c>
      <c r="D569" s="15">
        <f>'Raw Data'!M569</f>
        <v/>
      </c>
      <c r="E569" s="18">
        <f>'Raw Data'!M569/'Raw Data'!L569*100</f>
        <v/>
      </c>
      <c r="F569" s="14">
        <f>IF(E569&gt;15,"Wet Year",IF(E569&lt;-15,"Dry Year","Normal Year"))</f>
        <v/>
      </c>
      <c r="G569" s="16">
        <f>'Raw Data'!I569</f>
        <v/>
      </c>
      <c r="H569" s="14">
        <f>IF(G569&lt;15,"Low Variability",IF(G569&lt;=35,"Moderate Variability","High Variability"))</f>
        <v/>
      </c>
      <c r="I569" s="18">
        <f>'Raw Data'!O569</f>
        <v/>
      </c>
      <c r="J569" s="14">
        <f>IF(I569=0,"No Flood",IF(I569&lt;=0.5,"Low",IF(I569&lt;=2,"Moderate","High")))</f>
        <v/>
      </c>
    </row>
    <row r="570" ht="15" customHeight="1" s="12">
      <c r="A570" s="14">
        <f>'Raw Data'!A570</f>
        <v/>
      </c>
      <c r="B570" s="14">
        <f>'Raw Data'!B570</f>
        <v/>
      </c>
      <c r="C570" s="14">
        <f>'Raw Data'!C570</f>
        <v/>
      </c>
      <c r="D570" s="15">
        <f>'Raw Data'!M570</f>
        <v/>
      </c>
      <c r="E570" s="18">
        <f>'Raw Data'!M570/'Raw Data'!L570*100</f>
        <v/>
      </c>
      <c r="F570" s="14">
        <f>IF(E570&gt;15,"Wet Year",IF(E570&lt;-15,"Dry Year","Normal Year"))</f>
        <v/>
      </c>
      <c r="G570" s="16">
        <f>'Raw Data'!I570</f>
        <v/>
      </c>
      <c r="H570" s="14">
        <f>IF(G570&lt;15,"Low Variability",IF(G570&lt;=35,"Moderate Variability","High Variability"))</f>
        <v/>
      </c>
      <c r="I570" s="18">
        <f>'Raw Data'!O570</f>
        <v/>
      </c>
      <c r="J570" s="14">
        <f>IF(I570=0,"No Flood",IF(I570&lt;=0.5,"Low",IF(I570&lt;=2,"Moderate","High")))</f>
        <v/>
      </c>
    </row>
    <row r="571" ht="15" customHeight="1" s="12">
      <c r="A571" s="14">
        <f>'Raw Data'!A571</f>
        <v/>
      </c>
      <c r="B571" s="14">
        <f>'Raw Data'!B571</f>
        <v/>
      </c>
      <c r="C571" s="14">
        <f>'Raw Data'!C571</f>
        <v/>
      </c>
      <c r="D571" s="15">
        <f>'Raw Data'!M571</f>
        <v/>
      </c>
      <c r="E571" s="18">
        <f>'Raw Data'!M571/'Raw Data'!L571*100</f>
        <v/>
      </c>
      <c r="F571" s="14">
        <f>IF(E571&gt;15,"Wet Year",IF(E571&lt;-15,"Dry Year","Normal Year"))</f>
        <v/>
      </c>
      <c r="G571" s="16">
        <f>'Raw Data'!I571</f>
        <v/>
      </c>
      <c r="H571" s="14">
        <f>IF(G571&lt;15,"Low Variability",IF(G571&lt;=35,"Moderate Variability","High Variability"))</f>
        <v/>
      </c>
      <c r="I571" s="18">
        <f>'Raw Data'!O571</f>
        <v/>
      </c>
      <c r="J571" s="14">
        <f>IF(I571=0,"No Flood",IF(I571&lt;=0.5,"Low",IF(I571&lt;=2,"Moderate","High")))</f>
        <v/>
      </c>
    </row>
    <row r="572" ht="15" customHeight="1" s="12">
      <c r="A572" s="14">
        <f>'Raw Data'!A572</f>
        <v/>
      </c>
      <c r="B572" s="14">
        <f>'Raw Data'!B572</f>
        <v/>
      </c>
      <c r="C572" s="14">
        <f>'Raw Data'!C572</f>
        <v/>
      </c>
      <c r="D572" s="15">
        <f>'Raw Data'!M572</f>
        <v/>
      </c>
      <c r="E572" s="18">
        <f>'Raw Data'!M572/'Raw Data'!L572*100</f>
        <v/>
      </c>
      <c r="F572" s="14">
        <f>IF(E572&gt;15,"Wet Year",IF(E572&lt;-15,"Dry Year","Normal Year"))</f>
        <v/>
      </c>
      <c r="G572" s="16">
        <f>'Raw Data'!I572</f>
        <v/>
      </c>
      <c r="H572" s="14">
        <f>IF(G572&lt;15,"Low Variability",IF(G572&lt;=35,"Moderate Variability","High Variability"))</f>
        <v/>
      </c>
      <c r="I572" s="18">
        <f>'Raw Data'!O572</f>
        <v/>
      </c>
      <c r="J572" s="14">
        <f>IF(I572=0,"No Flood",IF(I572&lt;=0.5,"Low",IF(I572&lt;=2,"Moderate","High")))</f>
        <v/>
      </c>
    </row>
    <row r="573" ht="15" customHeight="1" s="12">
      <c r="A573" s="14">
        <f>'Raw Data'!A573</f>
        <v/>
      </c>
      <c r="B573" s="14">
        <f>'Raw Data'!B573</f>
        <v/>
      </c>
      <c r="C573" s="14">
        <f>'Raw Data'!C573</f>
        <v/>
      </c>
      <c r="D573" s="15">
        <f>'Raw Data'!M573</f>
        <v/>
      </c>
      <c r="E573" s="18">
        <f>'Raw Data'!M573/'Raw Data'!L573*100</f>
        <v/>
      </c>
      <c r="F573" s="14">
        <f>IF(E573&gt;15,"Wet Year",IF(E573&lt;-15,"Dry Year","Normal Year"))</f>
        <v/>
      </c>
      <c r="G573" s="16">
        <f>'Raw Data'!I573</f>
        <v/>
      </c>
      <c r="H573" s="14">
        <f>IF(G573&lt;15,"Low Variability",IF(G573&lt;=35,"Moderate Variability","High Variability"))</f>
        <v/>
      </c>
      <c r="I573" s="18">
        <f>'Raw Data'!O573</f>
        <v/>
      </c>
      <c r="J573" s="14">
        <f>IF(I573=0,"No Flood",IF(I573&lt;=0.5,"Low",IF(I573&lt;=2,"Moderate","High")))</f>
        <v/>
      </c>
    </row>
    <row r="574" ht="15" customHeight="1" s="12">
      <c r="A574" s="14">
        <f>'Raw Data'!A574</f>
        <v/>
      </c>
      <c r="B574" s="14">
        <f>'Raw Data'!B574</f>
        <v/>
      </c>
      <c r="C574" s="14">
        <f>'Raw Data'!C574</f>
        <v/>
      </c>
      <c r="D574" s="15">
        <f>'Raw Data'!M574</f>
        <v/>
      </c>
      <c r="E574" s="18">
        <f>'Raw Data'!M574/'Raw Data'!L574*100</f>
        <v/>
      </c>
      <c r="F574" s="14">
        <f>IF(E574&gt;15,"Wet Year",IF(E574&lt;-15,"Dry Year","Normal Year"))</f>
        <v/>
      </c>
      <c r="G574" s="16">
        <f>'Raw Data'!I574</f>
        <v/>
      </c>
      <c r="H574" s="14">
        <f>IF(G574&lt;15,"Low Variability",IF(G574&lt;=35,"Moderate Variability","High Variability"))</f>
        <v/>
      </c>
      <c r="I574" s="18">
        <f>'Raw Data'!O574</f>
        <v/>
      </c>
      <c r="J574" s="14">
        <f>IF(I574=0,"No Flood",IF(I574&lt;=0.5,"Low",IF(I574&lt;=2,"Moderate","High")))</f>
        <v/>
      </c>
    </row>
    <row r="575" ht="15" customHeight="1" s="12">
      <c r="A575" s="14">
        <f>'Raw Data'!A575</f>
        <v/>
      </c>
      <c r="B575" s="14">
        <f>'Raw Data'!B575</f>
        <v/>
      </c>
      <c r="C575" s="14">
        <f>'Raw Data'!C575</f>
        <v/>
      </c>
      <c r="D575" s="15">
        <f>'Raw Data'!M575</f>
        <v/>
      </c>
      <c r="E575" s="18">
        <f>'Raw Data'!M575/'Raw Data'!L575*100</f>
        <v/>
      </c>
      <c r="F575" s="14">
        <f>IF(E575&gt;15,"Wet Year",IF(E575&lt;-15,"Dry Year","Normal Year"))</f>
        <v/>
      </c>
      <c r="G575" s="16">
        <f>'Raw Data'!I575</f>
        <v/>
      </c>
      <c r="H575" s="14">
        <f>IF(G575&lt;15,"Low Variability",IF(G575&lt;=35,"Moderate Variability","High Variability"))</f>
        <v/>
      </c>
      <c r="I575" s="18">
        <f>'Raw Data'!O575</f>
        <v/>
      </c>
      <c r="J575" s="14">
        <f>IF(I575=0,"No Flood",IF(I575&lt;=0.5,"Low",IF(I575&lt;=2,"Moderate","High")))</f>
        <v/>
      </c>
    </row>
    <row r="576" ht="15" customHeight="1" s="12">
      <c r="A576" s="14">
        <f>'Raw Data'!A576</f>
        <v/>
      </c>
      <c r="B576" s="14">
        <f>'Raw Data'!B576</f>
        <v/>
      </c>
      <c r="C576" s="14">
        <f>'Raw Data'!C576</f>
        <v/>
      </c>
      <c r="D576" s="15">
        <f>'Raw Data'!M576</f>
        <v/>
      </c>
      <c r="E576" s="18">
        <f>'Raw Data'!M576/'Raw Data'!L576*100</f>
        <v/>
      </c>
      <c r="F576" s="14">
        <f>IF(E576&gt;15,"Wet Year",IF(E576&lt;-15,"Dry Year","Normal Year"))</f>
        <v/>
      </c>
      <c r="G576" s="16">
        <f>'Raw Data'!I576</f>
        <v/>
      </c>
      <c r="H576" s="14">
        <f>IF(G576&lt;15,"Low Variability",IF(G576&lt;=35,"Moderate Variability","High Variability"))</f>
        <v/>
      </c>
      <c r="I576" s="18">
        <f>'Raw Data'!O576</f>
        <v/>
      </c>
      <c r="J576" s="14">
        <f>IF(I576=0,"No Flood",IF(I576&lt;=0.5,"Low",IF(I576&lt;=2,"Moderate","High")))</f>
        <v/>
      </c>
    </row>
    <row r="577" ht="15" customHeight="1" s="12">
      <c r="A577" s="14">
        <f>'Raw Data'!A577</f>
        <v/>
      </c>
      <c r="B577" s="14">
        <f>'Raw Data'!B577</f>
        <v/>
      </c>
      <c r="C577" s="14">
        <f>'Raw Data'!C577</f>
        <v/>
      </c>
      <c r="D577" s="15">
        <f>'Raw Data'!M577</f>
        <v/>
      </c>
      <c r="E577" s="18">
        <f>'Raw Data'!M577/'Raw Data'!L577*100</f>
        <v/>
      </c>
      <c r="F577" s="14">
        <f>IF(E577&gt;15,"Wet Year",IF(E577&lt;-15,"Dry Year","Normal Year"))</f>
        <v/>
      </c>
      <c r="G577" s="16">
        <f>'Raw Data'!I577</f>
        <v/>
      </c>
      <c r="H577" s="14">
        <f>IF(G577&lt;15,"Low Variability",IF(G577&lt;=35,"Moderate Variability","High Variability"))</f>
        <v/>
      </c>
      <c r="I577" s="18">
        <f>'Raw Data'!O577</f>
        <v/>
      </c>
      <c r="J577" s="14">
        <f>IF(I577=0,"No Flood",IF(I577&lt;=0.5,"Low",IF(I577&lt;=2,"Moderate","High")))</f>
        <v/>
      </c>
    </row>
    <row r="578" ht="15" customHeight="1" s="12">
      <c r="A578" s="14">
        <f>'Raw Data'!A578</f>
        <v/>
      </c>
      <c r="B578" s="14">
        <f>'Raw Data'!B578</f>
        <v/>
      </c>
      <c r="C578" s="14">
        <f>'Raw Data'!C578</f>
        <v/>
      </c>
      <c r="D578" s="15">
        <f>'Raw Data'!M578</f>
        <v/>
      </c>
      <c r="E578" s="18">
        <f>'Raw Data'!M578/'Raw Data'!L578*100</f>
        <v/>
      </c>
      <c r="F578" s="14">
        <f>IF(E578&gt;15,"Wet Year",IF(E578&lt;-15,"Dry Year","Normal Year"))</f>
        <v/>
      </c>
      <c r="G578" s="16">
        <f>'Raw Data'!I578</f>
        <v/>
      </c>
      <c r="H578" s="14">
        <f>IF(G578&lt;15,"Low Variability",IF(G578&lt;=35,"Moderate Variability","High Variability"))</f>
        <v/>
      </c>
      <c r="I578" s="18">
        <f>'Raw Data'!O578</f>
        <v/>
      </c>
      <c r="J578" s="14">
        <f>IF(I578=0,"No Flood",IF(I578&lt;=0.5,"Low",IF(I578&lt;=2,"Moderate","High")))</f>
        <v/>
      </c>
    </row>
    <row r="579" ht="15" customHeight="1" s="12">
      <c r="A579" s="14">
        <f>'Raw Data'!A579</f>
        <v/>
      </c>
      <c r="B579" s="14">
        <f>'Raw Data'!B579</f>
        <v/>
      </c>
      <c r="C579" s="14">
        <f>'Raw Data'!C579</f>
        <v/>
      </c>
      <c r="D579" s="15">
        <f>'Raw Data'!M579</f>
        <v/>
      </c>
      <c r="E579" s="18">
        <f>'Raw Data'!M579/'Raw Data'!L579*100</f>
        <v/>
      </c>
      <c r="F579" s="14">
        <f>IF(E579&gt;15,"Wet Year",IF(E579&lt;-15,"Dry Year","Normal Year"))</f>
        <v/>
      </c>
      <c r="G579" s="16">
        <f>'Raw Data'!I579</f>
        <v/>
      </c>
      <c r="H579" s="14">
        <f>IF(G579&lt;15,"Low Variability",IF(G579&lt;=35,"Moderate Variability","High Variability"))</f>
        <v/>
      </c>
      <c r="I579" s="18">
        <f>'Raw Data'!O579</f>
        <v/>
      </c>
      <c r="J579" s="14">
        <f>IF(I579=0,"No Flood",IF(I579&lt;=0.5,"Low",IF(I579&lt;=2,"Moderate","High")))</f>
        <v/>
      </c>
    </row>
    <row r="580" ht="15" customHeight="1" s="12">
      <c r="A580" s="14">
        <f>'Raw Data'!A580</f>
        <v/>
      </c>
      <c r="B580" s="14">
        <f>'Raw Data'!B580</f>
        <v/>
      </c>
      <c r="C580" s="14">
        <f>'Raw Data'!C580</f>
        <v/>
      </c>
      <c r="D580" s="15">
        <f>'Raw Data'!M580</f>
        <v/>
      </c>
      <c r="E580" s="18">
        <f>'Raw Data'!M580/'Raw Data'!L580*100</f>
        <v/>
      </c>
      <c r="F580" s="14">
        <f>IF(E580&gt;15,"Wet Year",IF(E580&lt;-15,"Dry Year","Normal Year"))</f>
        <v/>
      </c>
      <c r="G580" s="16">
        <f>'Raw Data'!I580</f>
        <v/>
      </c>
      <c r="H580" s="14">
        <f>IF(G580&lt;15,"Low Variability",IF(G580&lt;=35,"Moderate Variability","High Variability"))</f>
        <v/>
      </c>
      <c r="I580" s="18">
        <f>'Raw Data'!O580</f>
        <v/>
      </c>
      <c r="J580" s="14">
        <f>IF(I580=0,"No Flood",IF(I580&lt;=0.5,"Low",IF(I580&lt;=2,"Moderate","High")))</f>
        <v/>
      </c>
    </row>
    <row r="581" ht="15" customHeight="1" s="12">
      <c r="A581" s="14">
        <f>'Raw Data'!A581</f>
        <v/>
      </c>
      <c r="B581" s="14">
        <f>'Raw Data'!B581</f>
        <v/>
      </c>
      <c r="C581" s="14">
        <f>'Raw Data'!C581</f>
        <v/>
      </c>
      <c r="D581" s="15">
        <f>'Raw Data'!M581</f>
        <v/>
      </c>
      <c r="E581" s="18">
        <f>'Raw Data'!M581/'Raw Data'!L581*100</f>
        <v/>
      </c>
      <c r="F581" s="14">
        <f>IF(E581&gt;15,"Wet Year",IF(E581&lt;-15,"Dry Year","Normal Year"))</f>
        <v/>
      </c>
      <c r="G581" s="16">
        <f>'Raw Data'!I581</f>
        <v/>
      </c>
      <c r="H581" s="14">
        <f>IF(G581&lt;15,"Low Variability",IF(G581&lt;=35,"Moderate Variability","High Variability"))</f>
        <v/>
      </c>
      <c r="I581" s="18">
        <f>'Raw Data'!O581</f>
        <v/>
      </c>
      <c r="J581" s="14">
        <f>IF(I581=0,"No Flood",IF(I581&lt;=0.5,"Low",IF(I581&lt;=2,"Moderate","High")))</f>
        <v/>
      </c>
    </row>
    <row r="582" ht="15" customHeight="1" s="12">
      <c r="A582" s="14">
        <f>'Raw Data'!A582</f>
        <v/>
      </c>
      <c r="B582" s="14">
        <f>'Raw Data'!B582</f>
        <v/>
      </c>
      <c r="C582" s="14">
        <f>'Raw Data'!C582</f>
        <v/>
      </c>
      <c r="D582" s="15">
        <f>'Raw Data'!M582</f>
        <v/>
      </c>
      <c r="E582" s="18">
        <f>'Raw Data'!M582/'Raw Data'!L582*100</f>
        <v/>
      </c>
      <c r="F582" s="14">
        <f>IF(E582&gt;15,"Wet Year",IF(E582&lt;-15,"Dry Year","Normal Year"))</f>
        <v/>
      </c>
      <c r="G582" s="16">
        <f>'Raw Data'!I582</f>
        <v/>
      </c>
      <c r="H582" s="14">
        <f>IF(G582&lt;15,"Low Variability",IF(G582&lt;=35,"Moderate Variability","High Variability"))</f>
        <v/>
      </c>
      <c r="I582" s="18">
        <f>'Raw Data'!O582</f>
        <v/>
      </c>
      <c r="J582" s="14">
        <f>IF(I582=0,"No Flood",IF(I582&lt;=0.5,"Low",IF(I582&lt;=2,"Moderate","High")))</f>
        <v/>
      </c>
    </row>
    <row r="583" ht="15" customHeight="1" s="12">
      <c r="A583" s="14">
        <f>'Raw Data'!A583</f>
        <v/>
      </c>
      <c r="B583" s="14">
        <f>'Raw Data'!B583</f>
        <v/>
      </c>
      <c r="C583" s="14">
        <f>'Raw Data'!C583</f>
        <v/>
      </c>
      <c r="D583" s="15">
        <f>'Raw Data'!M583</f>
        <v/>
      </c>
      <c r="E583" s="18">
        <f>'Raw Data'!M583/'Raw Data'!L583*100</f>
        <v/>
      </c>
      <c r="F583" s="14">
        <f>IF(E583&gt;15,"Wet Year",IF(E583&lt;-15,"Dry Year","Normal Year"))</f>
        <v/>
      </c>
      <c r="G583" s="16">
        <f>'Raw Data'!I583</f>
        <v/>
      </c>
      <c r="H583" s="14">
        <f>IF(G583&lt;15,"Low Variability",IF(G583&lt;=35,"Moderate Variability","High Variability"))</f>
        <v/>
      </c>
      <c r="I583" s="18">
        <f>'Raw Data'!O583</f>
        <v/>
      </c>
      <c r="J583" s="14">
        <f>IF(I583=0,"No Flood",IF(I583&lt;=0.5,"Low",IF(I583&lt;=2,"Moderate","High")))</f>
        <v/>
      </c>
    </row>
    <row r="584" ht="15" customHeight="1" s="12">
      <c r="A584" s="14">
        <f>'Raw Data'!A584</f>
        <v/>
      </c>
      <c r="B584" s="14">
        <f>'Raw Data'!B584</f>
        <v/>
      </c>
      <c r="C584" s="14">
        <f>'Raw Data'!C584</f>
        <v/>
      </c>
      <c r="D584" s="15">
        <f>'Raw Data'!M584</f>
        <v/>
      </c>
      <c r="E584" s="18">
        <f>'Raw Data'!M584/'Raw Data'!L584*100</f>
        <v/>
      </c>
      <c r="F584" s="14">
        <f>IF(E584&gt;15,"Wet Year",IF(E584&lt;-15,"Dry Year","Normal Year"))</f>
        <v/>
      </c>
      <c r="G584" s="16">
        <f>'Raw Data'!I584</f>
        <v/>
      </c>
      <c r="H584" s="14">
        <f>IF(G584&lt;15,"Low Variability",IF(G584&lt;=35,"Moderate Variability","High Variability"))</f>
        <v/>
      </c>
      <c r="I584" s="18">
        <f>'Raw Data'!O584</f>
        <v/>
      </c>
      <c r="J584" s="14">
        <f>IF(I584=0,"No Flood",IF(I584&lt;=0.5,"Low",IF(I584&lt;=2,"Moderate","High")))</f>
        <v/>
      </c>
    </row>
    <row r="585" ht="15" customHeight="1" s="12">
      <c r="A585" s="14">
        <f>'Raw Data'!A585</f>
        <v/>
      </c>
      <c r="B585" s="14">
        <f>'Raw Data'!B585</f>
        <v/>
      </c>
      <c r="C585" s="14">
        <f>'Raw Data'!C585</f>
        <v/>
      </c>
      <c r="D585" s="15">
        <f>'Raw Data'!M585</f>
        <v/>
      </c>
      <c r="E585" s="18">
        <f>'Raw Data'!M585/'Raw Data'!L585*100</f>
        <v/>
      </c>
      <c r="F585" s="14">
        <f>IF(E585&gt;15,"Wet Year",IF(E585&lt;-15,"Dry Year","Normal Year"))</f>
        <v/>
      </c>
      <c r="G585" s="16">
        <f>'Raw Data'!I585</f>
        <v/>
      </c>
      <c r="H585" s="14">
        <f>IF(G585&lt;15,"Low Variability",IF(G585&lt;=35,"Moderate Variability","High Variability"))</f>
        <v/>
      </c>
      <c r="I585" s="18">
        <f>'Raw Data'!O585</f>
        <v/>
      </c>
      <c r="J585" s="14">
        <f>IF(I585=0,"No Flood",IF(I585&lt;=0.5,"Low",IF(I585&lt;=2,"Moderate","High")))</f>
        <v/>
      </c>
    </row>
    <row r="586" ht="15" customHeight="1" s="12">
      <c r="A586" s="14">
        <f>'Raw Data'!A586</f>
        <v/>
      </c>
      <c r="B586" s="14">
        <f>'Raw Data'!B586</f>
        <v/>
      </c>
      <c r="C586" s="14">
        <f>'Raw Data'!C586</f>
        <v/>
      </c>
      <c r="D586" s="15">
        <f>'Raw Data'!M586</f>
        <v/>
      </c>
      <c r="E586" s="18">
        <f>'Raw Data'!M586/'Raw Data'!L586*100</f>
        <v/>
      </c>
      <c r="F586" s="14">
        <f>IF(E586&gt;15,"Wet Year",IF(E586&lt;-15,"Dry Year","Normal Year"))</f>
        <v/>
      </c>
      <c r="G586" s="16">
        <f>'Raw Data'!I586</f>
        <v/>
      </c>
      <c r="H586" s="14">
        <f>IF(G586&lt;15,"Low Variability",IF(G586&lt;=35,"Moderate Variability","High Variability"))</f>
        <v/>
      </c>
      <c r="I586" s="18">
        <f>'Raw Data'!O586</f>
        <v/>
      </c>
      <c r="J586" s="14">
        <f>IF(I586=0,"No Flood",IF(I586&lt;=0.5,"Low",IF(I586&lt;=2,"Moderate","High")))</f>
        <v/>
      </c>
    </row>
    <row r="587" ht="15" customHeight="1" s="12">
      <c r="A587" s="14">
        <f>'Raw Data'!A587</f>
        <v/>
      </c>
      <c r="B587" s="14">
        <f>'Raw Data'!B587</f>
        <v/>
      </c>
      <c r="C587" s="14">
        <f>'Raw Data'!C587</f>
        <v/>
      </c>
      <c r="D587" s="15">
        <f>'Raw Data'!M587</f>
        <v/>
      </c>
      <c r="E587" s="18">
        <f>'Raw Data'!M587/'Raw Data'!L587*100</f>
        <v/>
      </c>
      <c r="F587" s="14">
        <f>IF(E587&gt;15,"Wet Year",IF(E587&lt;-15,"Dry Year","Normal Year"))</f>
        <v/>
      </c>
      <c r="G587" s="16">
        <f>'Raw Data'!I587</f>
        <v/>
      </c>
      <c r="H587" s="14">
        <f>IF(G587&lt;15,"Low Variability",IF(G587&lt;=35,"Moderate Variability","High Variability"))</f>
        <v/>
      </c>
      <c r="I587" s="18">
        <f>'Raw Data'!O587</f>
        <v/>
      </c>
      <c r="J587" s="14">
        <f>IF(I587=0,"No Flood",IF(I587&lt;=0.5,"Low",IF(I587&lt;=2,"Moderate","High")))</f>
        <v/>
      </c>
    </row>
    <row r="588" ht="15" customHeight="1" s="12">
      <c r="A588" s="14">
        <f>'Raw Data'!A588</f>
        <v/>
      </c>
      <c r="B588" s="14">
        <f>'Raw Data'!B588</f>
        <v/>
      </c>
      <c r="C588" s="14">
        <f>'Raw Data'!C588</f>
        <v/>
      </c>
      <c r="D588" s="15">
        <f>'Raw Data'!M588</f>
        <v/>
      </c>
      <c r="E588" s="18">
        <f>'Raw Data'!M588/'Raw Data'!L588*100</f>
        <v/>
      </c>
      <c r="F588" s="14">
        <f>IF(E588&gt;15,"Wet Year",IF(E588&lt;-15,"Dry Year","Normal Year"))</f>
        <v/>
      </c>
      <c r="G588" s="16">
        <f>'Raw Data'!I588</f>
        <v/>
      </c>
      <c r="H588" s="14">
        <f>IF(G588&lt;15,"Low Variability",IF(G588&lt;=35,"Moderate Variability","High Variability"))</f>
        <v/>
      </c>
      <c r="I588" s="18">
        <f>'Raw Data'!O588</f>
        <v/>
      </c>
      <c r="J588" s="14">
        <f>IF(I588=0,"No Flood",IF(I588&lt;=0.5,"Low",IF(I588&lt;=2,"Moderate","High")))</f>
        <v/>
      </c>
    </row>
    <row r="589" ht="15" customHeight="1" s="12">
      <c r="A589" s="14">
        <f>'Raw Data'!A589</f>
        <v/>
      </c>
      <c r="B589" s="14">
        <f>'Raw Data'!B589</f>
        <v/>
      </c>
      <c r="C589" s="14">
        <f>'Raw Data'!C589</f>
        <v/>
      </c>
      <c r="D589" s="15">
        <f>'Raw Data'!M589</f>
        <v/>
      </c>
      <c r="E589" s="18">
        <f>'Raw Data'!M589/'Raw Data'!L589*100</f>
        <v/>
      </c>
      <c r="F589" s="14">
        <f>IF(E589&gt;15,"Wet Year",IF(E589&lt;-15,"Dry Year","Normal Year"))</f>
        <v/>
      </c>
      <c r="G589" s="16">
        <f>'Raw Data'!I589</f>
        <v/>
      </c>
      <c r="H589" s="14">
        <f>IF(G589&lt;15,"Low Variability",IF(G589&lt;=35,"Moderate Variability","High Variability"))</f>
        <v/>
      </c>
      <c r="I589" s="18">
        <f>'Raw Data'!O589</f>
        <v/>
      </c>
      <c r="J589" s="14">
        <f>IF(I589=0,"No Flood",IF(I589&lt;=0.5,"Low",IF(I589&lt;=2,"Moderate","High")))</f>
        <v/>
      </c>
    </row>
    <row r="590" ht="15" customHeight="1" s="12">
      <c r="A590" s="14">
        <f>'Raw Data'!A590</f>
        <v/>
      </c>
      <c r="B590" s="14">
        <f>'Raw Data'!B590</f>
        <v/>
      </c>
      <c r="C590" s="14">
        <f>'Raw Data'!C590</f>
        <v/>
      </c>
      <c r="D590" s="15">
        <f>'Raw Data'!M590</f>
        <v/>
      </c>
      <c r="E590" s="18">
        <f>'Raw Data'!M590/'Raw Data'!L590*100</f>
        <v/>
      </c>
      <c r="F590" s="14">
        <f>IF(E590&gt;15,"Wet Year",IF(E590&lt;-15,"Dry Year","Normal Year"))</f>
        <v/>
      </c>
      <c r="G590" s="16">
        <f>'Raw Data'!I590</f>
        <v/>
      </c>
      <c r="H590" s="14">
        <f>IF(G590&lt;15,"Low Variability",IF(G590&lt;=35,"Moderate Variability","High Variability"))</f>
        <v/>
      </c>
      <c r="I590" s="18">
        <f>'Raw Data'!O590</f>
        <v/>
      </c>
      <c r="J590" s="14">
        <f>IF(I590=0,"No Flood",IF(I590&lt;=0.5,"Low",IF(I590&lt;=2,"Moderate","High")))</f>
        <v/>
      </c>
    </row>
    <row r="591" ht="15" customHeight="1" s="12">
      <c r="A591" s="14">
        <f>'Raw Data'!A591</f>
        <v/>
      </c>
      <c r="B591" s="14">
        <f>'Raw Data'!B591</f>
        <v/>
      </c>
      <c r="C591" s="14">
        <f>'Raw Data'!C591</f>
        <v/>
      </c>
      <c r="D591" s="15">
        <f>'Raw Data'!M591</f>
        <v/>
      </c>
      <c r="E591" s="18">
        <f>'Raw Data'!M591/'Raw Data'!L591*100</f>
        <v/>
      </c>
      <c r="F591" s="14">
        <f>IF(E591&gt;15,"Wet Year",IF(E591&lt;-15,"Dry Year","Normal Year"))</f>
        <v/>
      </c>
      <c r="G591" s="16">
        <f>'Raw Data'!I591</f>
        <v/>
      </c>
      <c r="H591" s="14">
        <f>IF(G591&lt;15,"Low Variability",IF(G591&lt;=35,"Moderate Variability","High Variability"))</f>
        <v/>
      </c>
      <c r="I591" s="18">
        <f>'Raw Data'!O591</f>
        <v/>
      </c>
      <c r="J591" s="14">
        <f>IF(I591=0,"No Flood",IF(I591&lt;=0.5,"Low",IF(I591&lt;=2,"Moderate","High")))</f>
        <v/>
      </c>
    </row>
    <row r="592" ht="15" customHeight="1" s="12">
      <c r="A592" s="14">
        <f>'Raw Data'!A592</f>
        <v/>
      </c>
      <c r="B592" s="14">
        <f>'Raw Data'!B592</f>
        <v/>
      </c>
      <c r="C592" s="14">
        <f>'Raw Data'!C592</f>
        <v/>
      </c>
      <c r="D592" s="15">
        <f>'Raw Data'!M592</f>
        <v/>
      </c>
      <c r="E592" s="18">
        <f>'Raw Data'!M592/'Raw Data'!L592*100</f>
        <v/>
      </c>
      <c r="F592" s="14">
        <f>IF(E592&gt;15,"Wet Year",IF(E592&lt;-15,"Dry Year","Normal Year"))</f>
        <v/>
      </c>
      <c r="G592" s="16">
        <f>'Raw Data'!I592</f>
        <v/>
      </c>
      <c r="H592" s="14">
        <f>IF(G592&lt;15,"Low Variability",IF(G592&lt;=35,"Moderate Variability","High Variability"))</f>
        <v/>
      </c>
      <c r="I592" s="18">
        <f>'Raw Data'!O592</f>
        <v/>
      </c>
      <c r="J592" s="14">
        <f>IF(I592=0,"No Flood",IF(I592&lt;=0.5,"Low",IF(I592&lt;=2,"Moderate","High")))</f>
        <v/>
      </c>
    </row>
    <row r="593" ht="15" customHeight="1" s="12">
      <c r="A593" s="14">
        <f>'Raw Data'!A593</f>
        <v/>
      </c>
      <c r="B593" s="14">
        <f>'Raw Data'!B593</f>
        <v/>
      </c>
      <c r="C593" s="14">
        <f>'Raw Data'!C593</f>
        <v/>
      </c>
      <c r="D593" s="15">
        <f>'Raw Data'!M593</f>
        <v/>
      </c>
      <c r="E593" s="18">
        <f>'Raw Data'!M593/'Raw Data'!L593*100</f>
        <v/>
      </c>
      <c r="F593" s="14">
        <f>IF(E593&gt;15,"Wet Year",IF(E593&lt;-15,"Dry Year","Normal Year"))</f>
        <v/>
      </c>
      <c r="G593" s="16">
        <f>'Raw Data'!I593</f>
        <v/>
      </c>
      <c r="H593" s="14">
        <f>IF(G593&lt;15,"Low Variability",IF(G593&lt;=35,"Moderate Variability","High Variability"))</f>
        <v/>
      </c>
      <c r="I593" s="18">
        <f>'Raw Data'!O593</f>
        <v/>
      </c>
      <c r="J593" s="14">
        <f>IF(I593=0,"No Flood",IF(I593&lt;=0.5,"Low",IF(I593&lt;=2,"Moderate","High")))</f>
        <v/>
      </c>
    </row>
    <row r="594" ht="15" customHeight="1" s="12">
      <c r="A594" s="14">
        <f>'Raw Data'!A594</f>
        <v/>
      </c>
      <c r="B594" s="14">
        <f>'Raw Data'!B594</f>
        <v/>
      </c>
      <c r="C594" s="14">
        <f>'Raw Data'!C594</f>
        <v/>
      </c>
      <c r="D594" s="15">
        <f>'Raw Data'!M594</f>
        <v/>
      </c>
      <c r="E594" s="18">
        <f>'Raw Data'!M594/'Raw Data'!L594*100</f>
        <v/>
      </c>
      <c r="F594" s="14">
        <f>IF(E594&gt;15,"Wet Year",IF(E594&lt;-15,"Dry Year","Normal Year"))</f>
        <v/>
      </c>
      <c r="G594" s="16">
        <f>'Raw Data'!I594</f>
        <v/>
      </c>
      <c r="H594" s="14">
        <f>IF(G594&lt;15,"Low Variability",IF(G594&lt;=35,"Moderate Variability","High Variability"))</f>
        <v/>
      </c>
      <c r="I594" s="18">
        <f>'Raw Data'!O594</f>
        <v/>
      </c>
      <c r="J594" s="14">
        <f>IF(I594=0,"No Flood",IF(I594&lt;=0.5,"Low",IF(I594&lt;=2,"Moderate","High")))</f>
        <v/>
      </c>
    </row>
    <row r="595" ht="15" customHeight="1" s="12">
      <c r="A595" s="14">
        <f>'Raw Data'!A595</f>
        <v/>
      </c>
      <c r="B595" s="14">
        <f>'Raw Data'!B595</f>
        <v/>
      </c>
      <c r="C595" s="14">
        <f>'Raw Data'!C595</f>
        <v/>
      </c>
      <c r="D595" s="15">
        <f>'Raw Data'!M595</f>
        <v/>
      </c>
      <c r="E595" s="18">
        <f>'Raw Data'!M595/'Raw Data'!L595*100</f>
        <v/>
      </c>
      <c r="F595" s="14">
        <f>IF(E595&gt;15,"Wet Year",IF(E595&lt;-15,"Dry Year","Normal Year"))</f>
        <v/>
      </c>
      <c r="G595" s="16">
        <f>'Raw Data'!I595</f>
        <v/>
      </c>
      <c r="H595" s="14">
        <f>IF(G595&lt;15,"Low Variability",IF(G595&lt;=35,"Moderate Variability","High Variability"))</f>
        <v/>
      </c>
      <c r="I595" s="18">
        <f>'Raw Data'!O595</f>
        <v/>
      </c>
      <c r="J595" s="14">
        <f>IF(I595=0,"No Flood",IF(I595&lt;=0.5,"Low",IF(I595&lt;=2,"Moderate","High")))</f>
        <v/>
      </c>
    </row>
    <row r="596" ht="15" customHeight="1" s="12">
      <c r="A596" s="14">
        <f>'Raw Data'!A596</f>
        <v/>
      </c>
      <c r="B596" s="14">
        <f>'Raw Data'!B596</f>
        <v/>
      </c>
      <c r="C596" s="14">
        <f>'Raw Data'!C596</f>
        <v/>
      </c>
      <c r="D596" s="15">
        <f>'Raw Data'!M596</f>
        <v/>
      </c>
      <c r="E596" s="18">
        <f>'Raw Data'!M596/'Raw Data'!L596*100</f>
        <v/>
      </c>
      <c r="F596" s="14">
        <f>IF(E596&gt;15,"Wet Year",IF(E596&lt;-15,"Dry Year","Normal Year"))</f>
        <v/>
      </c>
      <c r="G596" s="16">
        <f>'Raw Data'!I596</f>
        <v/>
      </c>
      <c r="H596" s="14">
        <f>IF(G596&lt;15,"Low Variability",IF(G596&lt;=35,"Moderate Variability","High Variability"))</f>
        <v/>
      </c>
      <c r="I596" s="18">
        <f>'Raw Data'!O596</f>
        <v/>
      </c>
      <c r="J596" s="14">
        <f>IF(I596=0,"No Flood",IF(I596&lt;=0.5,"Low",IF(I596&lt;=2,"Moderate","High")))</f>
        <v/>
      </c>
    </row>
    <row r="597" ht="15" customHeight="1" s="12">
      <c r="A597" s="14">
        <f>'Raw Data'!A597</f>
        <v/>
      </c>
      <c r="B597" s="14">
        <f>'Raw Data'!B597</f>
        <v/>
      </c>
      <c r="C597" s="14">
        <f>'Raw Data'!C597</f>
        <v/>
      </c>
      <c r="D597" s="15">
        <f>'Raw Data'!M597</f>
        <v/>
      </c>
      <c r="E597" s="18">
        <f>'Raw Data'!M597/'Raw Data'!L597*100</f>
        <v/>
      </c>
      <c r="F597" s="14">
        <f>IF(E597&gt;15,"Wet Year",IF(E597&lt;-15,"Dry Year","Normal Year"))</f>
        <v/>
      </c>
      <c r="G597" s="16">
        <f>'Raw Data'!I597</f>
        <v/>
      </c>
      <c r="H597" s="14">
        <f>IF(G597&lt;15,"Low Variability",IF(G597&lt;=35,"Moderate Variability","High Variability"))</f>
        <v/>
      </c>
      <c r="I597" s="18">
        <f>'Raw Data'!O597</f>
        <v/>
      </c>
      <c r="J597" s="14">
        <f>IF(I597=0,"No Flood",IF(I597&lt;=0.5,"Low",IF(I597&lt;=2,"Moderate","High")))</f>
        <v/>
      </c>
    </row>
    <row r="598" ht="15" customHeight="1" s="12">
      <c r="A598" s="14">
        <f>'Raw Data'!A598</f>
        <v/>
      </c>
      <c r="B598" s="14">
        <f>'Raw Data'!B598</f>
        <v/>
      </c>
      <c r="C598" s="14">
        <f>'Raw Data'!C598</f>
        <v/>
      </c>
      <c r="D598" s="15">
        <f>'Raw Data'!M598</f>
        <v/>
      </c>
      <c r="E598" s="18">
        <f>'Raw Data'!M598/'Raw Data'!L598*100</f>
        <v/>
      </c>
      <c r="F598" s="14">
        <f>IF(E598&gt;15,"Wet Year",IF(E598&lt;-15,"Dry Year","Normal Year"))</f>
        <v/>
      </c>
      <c r="G598" s="16">
        <f>'Raw Data'!I598</f>
        <v/>
      </c>
      <c r="H598" s="14">
        <f>IF(G598&lt;15,"Low Variability",IF(G598&lt;=35,"Moderate Variability","High Variability"))</f>
        <v/>
      </c>
      <c r="I598" s="18">
        <f>'Raw Data'!O598</f>
        <v/>
      </c>
      <c r="J598" s="14">
        <f>IF(I598=0,"No Flood",IF(I598&lt;=0.5,"Low",IF(I598&lt;=2,"Moderate","High")))</f>
        <v/>
      </c>
    </row>
    <row r="599" ht="15" customHeight="1" s="12">
      <c r="A599" s="14">
        <f>'Raw Data'!A599</f>
        <v/>
      </c>
      <c r="B599" s="14">
        <f>'Raw Data'!B599</f>
        <v/>
      </c>
      <c r="C599" s="14">
        <f>'Raw Data'!C599</f>
        <v/>
      </c>
      <c r="D599" s="15">
        <f>'Raw Data'!M599</f>
        <v/>
      </c>
      <c r="E599" s="18">
        <f>'Raw Data'!M599/'Raw Data'!L599*100</f>
        <v/>
      </c>
      <c r="F599" s="14">
        <f>IF(E599&gt;15,"Wet Year",IF(E599&lt;-15,"Dry Year","Normal Year"))</f>
        <v/>
      </c>
      <c r="G599" s="16">
        <f>'Raw Data'!I599</f>
        <v/>
      </c>
      <c r="H599" s="14">
        <f>IF(G599&lt;15,"Low Variability",IF(G599&lt;=35,"Moderate Variability","High Variability"))</f>
        <v/>
      </c>
      <c r="I599" s="18">
        <f>'Raw Data'!O599</f>
        <v/>
      </c>
      <c r="J599" s="14">
        <f>IF(I599=0,"No Flood",IF(I599&lt;=0.5,"Low",IF(I599&lt;=2,"Moderate","High")))</f>
        <v/>
      </c>
    </row>
    <row r="600" ht="15" customHeight="1" s="12">
      <c r="A600" s="14">
        <f>'Raw Data'!A600</f>
        <v/>
      </c>
      <c r="B600" s="14">
        <f>'Raw Data'!B600</f>
        <v/>
      </c>
      <c r="C600" s="14">
        <f>'Raw Data'!C600</f>
        <v/>
      </c>
      <c r="D600" s="15">
        <f>'Raw Data'!M600</f>
        <v/>
      </c>
      <c r="E600" s="18">
        <f>'Raw Data'!M600/'Raw Data'!L600*100</f>
        <v/>
      </c>
      <c r="F600" s="14">
        <f>IF(E600&gt;15,"Wet Year",IF(E600&lt;-15,"Dry Year","Normal Year"))</f>
        <v/>
      </c>
      <c r="G600" s="16">
        <f>'Raw Data'!I600</f>
        <v/>
      </c>
      <c r="H600" s="14">
        <f>IF(G600&lt;15,"Low Variability",IF(G600&lt;=35,"Moderate Variability","High Variability"))</f>
        <v/>
      </c>
      <c r="I600" s="18">
        <f>'Raw Data'!O600</f>
        <v/>
      </c>
      <c r="J600" s="14">
        <f>IF(I600=0,"No Flood",IF(I600&lt;=0.5,"Low",IF(I600&lt;=2,"Moderate","High")))</f>
        <v/>
      </c>
    </row>
    <row r="601" ht="15" customHeight="1" s="12">
      <c r="A601" s="14">
        <f>'Raw Data'!A601</f>
        <v/>
      </c>
      <c r="B601" s="14">
        <f>'Raw Data'!B601</f>
        <v/>
      </c>
      <c r="C601" s="14">
        <f>'Raw Data'!C601</f>
        <v/>
      </c>
      <c r="D601" s="15">
        <f>'Raw Data'!M601</f>
        <v/>
      </c>
      <c r="E601" s="18">
        <f>'Raw Data'!M601/'Raw Data'!L601*100</f>
        <v/>
      </c>
      <c r="F601" s="14">
        <f>IF(E601&gt;15,"Wet Year",IF(E601&lt;-15,"Dry Year","Normal Year"))</f>
        <v/>
      </c>
      <c r="G601" s="16">
        <f>'Raw Data'!I601</f>
        <v/>
      </c>
      <c r="H601" s="14">
        <f>IF(G601&lt;15,"Low Variability",IF(G601&lt;=35,"Moderate Variability","High Variability"))</f>
        <v/>
      </c>
      <c r="I601" s="18">
        <f>'Raw Data'!O601</f>
        <v/>
      </c>
      <c r="J601" s="14">
        <f>IF(I601=0,"No Flood",IF(I601&lt;=0.5,"Low",IF(I601&lt;=2,"Moderate","High")))</f>
        <v/>
      </c>
    </row>
    <row r="602" ht="15" customHeight="1" s="12">
      <c r="A602" s="14">
        <f>'Raw Data'!A602</f>
        <v/>
      </c>
      <c r="B602" s="14">
        <f>'Raw Data'!B602</f>
        <v/>
      </c>
      <c r="C602" s="14">
        <f>'Raw Data'!C602</f>
        <v/>
      </c>
      <c r="D602" s="15">
        <f>'Raw Data'!M602</f>
        <v/>
      </c>
      <c r="E602" s="18">
        <f>'Raw Data'!M602/'Raw Data'!L602*100</f>
        <v/>
      </c>
      <c r="F602" s="14">
        <f>IF(E602&gt;15,"Wet Year",IF(E602&lt;-15,"Dry Year","Normal Year"))</f>
        <v/>
      </c>
      <c r="G602" s="16">
        <f>'Raw Data'!I602</f>
        <v/>
      </c>
      <c r="H602" s="14">
        <f>IF(G602&lt;15,"Low Variability",IF(G602&lt;=35,"Moderate Variability","High Variability"))</f>
        <v/>
      </c>
      <c r="I602" s="18">
        <f>'Raw Data'!O602</f>
        <v/>
      </c>
      <c r="J602" s="14">
        <f>IF(I602=0,"No Flood",IF(I602&lt;=0.5,"Low",IF(I602&lt;=2,"Moderate","High")))</f>
        <v/>
      </c>
    </row>
    <row r="603" ht="15" customHeight="1" s="12">
      <c r="A603" s="14">
        <f>'Raw Data'!A603</f>
        <v/>
      </c>
      <c r="B603" s="14">
        <f>'Raw Data'!B603</f>
        <v/>
      </c>
      <c r="C603" s="14">
        <f>'Raw Data'!C603</f>
        <v/>
      </c>
      <c r="D603" s="15">
        <f>'Raw Data'!M603</f>
        <v/>
      </c>
      <c r="E603" s="18">
        <f>'Raw Data'!M603/'Raw Data'!L603*100</f>
        <v/>
      </c>
      <c r="F603" s="14">
        <f>IF(E603&gt;15,"Wet Year",IF(E603&lt;-15,"Dry Year","Normal Year"))</f>
        <v/>
      </c>
      <c r="G603" s="16">
        <f>'Raw Data'!I603</f>
        <v/>
      </c>
      <c r="H603" s="14">
        <f>IF(G603&lt;15,"Low Variability",IF(G603&lt;=35,"Moderate Variability","High Variability"))</f>
        <v/>
      </c>
      <c r="I603" s="18">
        <f>'Raw Data'!O603</f>
        <v/>
      </c>
      <c r="J603" s="14">
        <f>IF(I603=0,"No Flood",IF(I603&lt;=0.5,"Low",IF(I603&lt;=2,"Moderate","High")))</f>
        <v/>
      </c>
    </row>
    <row r="604" ht="15" customHeight="1" s="12">
      <c r="A604" s="14">
        <f>'Raw Data'!A604</f>
        <v/>
      </c>
      <c r="B604" s="14">
        <f>'Raw Data'!B604</f>
        <v/>
      </c>
      <c r="C604" s="14">
        <f>'Raw Data'!C604</f>
        <v/>
      </c>
      <c r="D604" s="15">
        <f>'Raw Data'!M604</f>
        <v/>
      </c>
      <c r="E604" s="18">
        <f>'Raw Data'!M604/'Raw Data'!L604*100</f>
        <v/>
      </c>
      <c r="F604" s="14">
        <f>IF(E604&gt;15,"Wet Year",IF(E604&lt;-15,"Dry Year","Normal Year"))</f>
        <v/>
      </c>
      <c r="G604" s="16">
        <f>'Raw Data'!I604</f>
        <v/>
      </c>
      <c r="H604" s="14">
        <f>IF(G604&lt;15,"Low Variability",IF(G604&lt;=35,"Moderate Variability","High Variability"))</f>
        <v/>
      </c>
      <c r="I604" s="18">
        <f>'Raw Data'!O604</f>
        <v/>
      </c>
      <c r="J604" s="14">
        <f>IF(I604=0,"No Flood",IF(I604&lt;=0.5,"Low",IF(I604&lt;=2,"Moderate","High")))</f>
        <v/>
      </c>
    </row>
    <row r="605" ht="15" customHeight="1" s="12">
      <c r="A605" s="14">
        <f>'Raw Data'!A605</f>
        <v/>
      </c>
      <c r="B605" s="14">
        <f>'Raw Data'!B605</f>
        <v/>
      </c>
      <c r="C605" s="14">
        <f>'Raw Data'!C605</f>
        <v/>
      </c>
      <c r="D605" s="15">
        <f>'Raw Data'!M605</f>
        <v/>
      </c>
      <c r="E605" s="18">
        <f>'Raw Data'!M605/'Raw Data'!L605*100</f>
        <v/>
      </c>
      <c r="F605" s="14">
        <f>IF(E605&gt;15,"Wet Year",IF(E605&lt;-15,"Dry Year","Normal Year"))</f>
        <v/>
      </c>
      <c r="G605" s="16">
        <f>'Raw Data'!I605</f>
        <v/>
      </c>
      <c r="H605" s="14">
        <f>IF(G605&lt;15,"Low Variability",IF(G605&lt;=35,"Moderate Variability","High Variability"))</f>
        <v/>
      </c>
      <c r="I605" s="18">
        <f>'Raw Data'!O605</f>
        <v/>
      </c>
      <c r="J605" s="14">
        <f>IF(I605=0,"No Flood",IF(I605&lt;=0.5,"Low",IF(I605&lt;=2,"Moderate","High")))</f>
        <v/>
      </c>
    </row>
    <row r="606" ht="15" customHeight="1" s="12">
      <c r="A606" s="14">
        <f>'Raw Data'!A606</f>
        <v/>
      </c>
      <c r="B606" s="14">
        <f>'Raw Data'!B606</f>
        <v/>
      </c>
      <c r="C606" s="14">
        <f>'Raw Data'!C606</f>
        <v/>
      </c>
      <c r="D606" s="15">
        <f>'Raw Data'!M606</f>
        <v/>
      </c>
      <c r="E606" s="18">
        <f>'Raw Data'!M606/'Raw Data'!L606*100</f>
        <v/>
      </c>
      <c r="F606" s="14">
        <f>IF(E606&gt;15,"Wet Year",IF(E606&lt;-15,"Dry Year","Normal Year"))</f>
        <v/>
      </c>
      <c r="G606" s="16">
        <f>'Raw Data'!I606</f>
        <v/>
      </c>
      <c r="H606" s="14">
        <f>IF(G606&lt;15,"Low Variability",IF(G606&lt;=35,"Moderate Variability","High Variability"))</f>
        <v/>
      </c>
      <c r="I606" s="18">
        <f>'Raw Data'!O606</f>
        <v/>
      </c>
      <c r="J606" s="14">
        <f>IF(I606=0,"No Flood",IF(I606&lt;=0.5,"Low",IF(I606&lt;=2,"Moderate","High")))</f>
        <v/>
      </c>
    </row>
    <row r="607" ht="15" customHeight="1" s="12">
      <c r="A607" s="14">
        <f>'Raw Data'!A607</f>
        <v/>
      </c>
      <c r="B607" s="14">
        <f>'Raw Data'!B607</f>
        <v/>
      </c>
      <c r="C607" s="14">
        <f>'Raw Data'!C607</f>
        <v/>
      </c>
      <c r="D607" s="15">
        <f>'Raw Data'!M607</f>
        <v/>
      </c>
      <c r="E607" s="18">
        <f>'Raw Data'!M607/'Raw Data'!L607*100</f>
        <v/>
      </c>
      <c r="F607" s="14">
        <f>IF(E607&gt;15,"Wet Year",IF(E607&lt;-15,"Dry Year","Normal Year"))</f>
        <v/>
      </c>
      <c r="G607" s="16">
        <f>'Raw Data'!I607</f>
        <v/>
      </c>
      <c r="H607" s="14">
        <f>IF(G607&lt;15,"Low Variability",IF(G607&lt;=35,"Moderate Variability","High Variability"))</f>
        <v/>
      </c>
      <c r="I607" s="18">
        <f>'Raw Data'!O607</f>
        <v/>
      </c>
      <c r="J607" s="14">
        <f>IF(I607=0,"No Flood",IF(I607&lt;=0.5,"Low",IF(I607&lt;=2,"Moderate","High")))</f>
        <v/>
      </c>
    </row>
    <row r="608" ht="15" customHeight="1" s="12">
      <c r="A608" s="14">
        <f>'Raw Data'!A608</f>
        <v/>
      </c>
      <c r="B608" s="14">
        <f>'Raw Data'!B608</f>
        <v/>
      </c>
      <c r="C608" s="14">
        <f>'Raw Data'!C608</f>
        <v/>
      </c>
      <c r="D608" s="15">
        <f>'Raw Data'!M608</f>
        <v/>
      </c>
      <c r="E608" s="18">
        <f>'Raw Data'!M608/'Raw Data'!L608*100</f>
        <v/>
      </c>
      <c r="F608" s="14">
        <f>IF(E608&gt;15,"Wet Year",IF(E608&lt;-15,"Dry Year","Normal Year"))</f>
        <v/>
      </c>
      <c r="G608" s="16">
        <f>'Raw Data'!I608</f>
        <v/>
      </c>
      <c r="H608" s="14">
        <f>IF(G608&lt;15,"Low Variability",IF(G608&lt;=35,"Moderate Variability","High Variability"))</f>
        <v/>
      </c>
      <c r="I608" s="18">
        <f>'Raw Data'!O608</f>
        <v/>
      </c>
      <c r="J608" s="14">
        <f>IF(I608=0,"No Flood",IF(I608&lt;=0.5,"Low",IF(I608&lt;=2,"Moderate","High")))</f>
        <v/>
      </c>
    </row>
    <row r="609" ht="15" customHeight="1" s="12">
      <c r="A609" s="14">
        <f>'Raw Data'!A609</f>
        <v/>
      </c>
      <c r="B609" s="14">
        <f>'Raw Data'!B609</f>
        <v/>
      </c>
      <c r="C609" s="14">
        <f>'Raw Data'!C609</f>
        <v/>
      </c>
      <c r="D609" s="15">
        <f>'Raw Data'!M609</f>
        <v/>
      </c>
      <c r="E609" s="18">
        <f>'Raw Data'!M609/'Raw Data'!L609*100</f>
        <v/>
      </c>
      <c r="F609" s="14">
        <f>IF(E609&gt;15,"Wet Year",IF(E609&lt;-15,"Dry Year","Normal Year"))</f>
        <v/>
      </c>
      <c r="G609" s="16">
        <f>'Raw Data'!I609</f>
        <v/>
      </c>
      <c r="H609" s="14">
        <f>IF(G609&lt;15,"Low Variability",IF(G609&lt;=35,"Moderate Variability","High Variability"))</f>
        <v/>
      </c>
      <c r="I609" s="18">
        <f>'Raw Data'!O609</f>
        <v/>
      </c>
      <c r="J609" s="14">
        <f>IF(I609=0,"No Flood",IF(I609&lt;=0.5,"Low",IF(I609&lt;=2,"Moderate","High")))</f>
        <v/>
      </c>
    </row>
    <row r="610" ht="15" customHeight="1" s="12">
      <c r="A610" s="14">
        <f>'Raw Data'!A610</f>
        <v/>
      </c>
      <c r="B610" s="14">
        <f>'Raw Data'!B610</f>
        <v/>
      </c>
      <c r="C610" s="14">
        <f>'Raw Data'!C610</f>
        <v/>
      </c>
      <c r="D610" s="15">
        <f>'Raw Data'!M610</f>
        <v/>
      </c>
      <c r="E610" s="18">
        <f>'Raw Data'!M610/'Raw Data'!L610*100</f>
        <v/>
      </c>
      <c r="F610" s="14">
        <f>IF(E610&gt;15,"Wet Year",IF(E610&lt;-15,"Dry Year","Normal Year"))</f>
        <v/>
      </c>
      <c r="G610" s="16">
        <f>'Raw Data'!I610</f>
        <v/>
      </c>
      <c r="H610" s="14">
        <f>IF(G610&lt;15,"Low Variability",IF(G610&lt;=35,"Moderate Variability","High Variability"))</f>
        <v/>
      </c>
      <c r="I610" s="18">
        <f>'Raw Data'!O610</f>
        <v/>
      </c>
      <c r="J610" s="14">
        <f>IF(I610=0,"No Flood",IF(I610&lt;=0.5,"Low",IF(I610&lt;=2,"Moderate","High")))</f>
        <v/>
      </c>
    </row>
    <row r="611" ht="15" customHeight="1" s="12">
      <c r="A611" s="14">
        <f>'Raw Data'!A611</f>
        <v/>
      </c>
      <c r="B611" s="14">
        <f>'Raw Data'!B611</f>
        <v/>
      </c>
      <c r="C611" s="14">
        <f>'Raw Data'!C611</f>
        <v/>
      </c>
      <c r="D611" s="15">
        <f>'Raw Data'!M611</f>
        <v/>
      </c>
      <c r="E611" s="18">
        <f>'Raw Data'!M611/'Raw Data'!L611*100</f>
        <v/>
      </c>
      <c r="F611" s="14">
        <f>IF(E611&gt;15,"Wet Year",IF(E611&lt;-15,"Dry Year","Normal Year"))</f>
        <v/>
      </c>
      <c r="G611" s="16">
        <f>'Raw Data'!I611</f>
        <v/>
      </c>
      <c r="H611" s="14">
        <f>IF(G611&lt;15,"Low Variability",IF(G611&lt;=35,"Moderate Variability","High Variability"))</f>
        <v/>
      </c>
      <c r="I611" s="18">
        <f>'Raw Data'!O611</f>
        <v/>
      </c>
      <c r="J611" s="14">
        <f>IF(I611=0,"No Flood",IF(I611&lt;=0.5,"Low",IF(I611&lt;=2,"Moderate","High")))</f>
        <v/>
      </c>
    </row>
    <row r="612" ht="15" customHeight="1" s="12">
      <c r="A612" s="14">
        <f>'Raw Data'!A612</f>
        <v/>
      </c>
      <c r="B612" s="14">
        <f>'Raw Data'!B612</f>
        <v/>
      </c>
      <c r="C612" s="14">
        <f>'Raw Data'!C612</f>
        <v/>
      </c>
      <c r="D612" s="15">
        <f>'Raw Data'!M612</f>
        <v/>
      </c>
      <c r="E612" s="18">
        <f>'Raw Data'!M612/'Raw Data'!L612*100</f>
        <v/>
      </c>
      <c r="F612" s="14">
        <f>IF(E612&gt;15,"Wet Year",IF(E612&lt;-15,"Dry Year","Normal Year"))</f>
        <v/>
      </c>
      <c r="G612" s="16">
        <f>'Raw Data'!I612</f>
        <v/>
      </c>
      <c r="H612" s="14">
        <f>IF(G612&lt;15,"Low Variability",IF(G612&lt;=35,"Moderate Variability","High Variability"))</f>
        <v/>
      </c>
      <c r="I612" s="18">
        <f>'Raw Data'!O612</f>
        <v/>
      </c>
      <c r="J612" s="14">
        <f>IF(I612=0,"No Flood",IF(I612&lt;=0.5,"Low",IF(I612&lt;=2,"Moderate","High")))</f>
        <v/>
      </c>
    </row>
    <row r="613" ht="15" customHeight="1" s="12">
      <c r="A613" s="14">
        <f>'Raw Data'!A613</f>
        <v/>
      </c>
      <c r="B613" s="14">
        <f>'Raw Data'!B613</f>
        <v/>
      </c>
      <c r="C613" s="14">
        <f>'Raw Data'!C613</f>
        <v/>
      </c>
      <c r="D613" s="15">
        <f>'Raw Data'!M613</f>
        <v/>
      </c>
      <c r="E613" s="18">
        <f>'Raw Data'!M613/'Raw Data'!L613*100</f>
        <v/>
      </c>
      <c r="F613" s="14">
        <f>IF(E613&gt;15,"Wet Year",IF(E613&lt;-15,"Dry Year","Normal Year"))</f>
        <v/>
      </c>
      <c r="G613" s="16">
        <f>'Raw Data'!I613</f>
        <v/>
      </c>
      <c r="H613" s="14">
        <f>IF(G613&lt;15,"Low Variability",IF(G613&lt;=35,"Moderate Variability","High Variability"))</f>
        <v/>
      </c>
      <c r="I613" s="18">
        <f>'Raw Data'!O613</f>
        <v/>
      </c>
      <c r="J613" s="14">
        <f>IF(I613=0,"No Flood",IF(I613&lt;=0.5,"Low",IF(I613&lt;=2,"Moderate","High")))</f>
        <v/>
      </c>
    </row>
    <row r="614" ht="15" customHeight="1" s="12">
      <c r="A614" s="14">
        <f>'Raw Data'!A614</f>
        <v/>
      </c>
      <c r="B614" s="14">
        <f>'Raw Data'!B614</f>
        <v/>
      </c>
      <c r="C614" s="14">
        <f>'Raw Data'!C614</f>
        <v/>
      </c>
      <c r="D614" s="15">
        <f>'Raw Data'!M614</f>
        <v/>
      </c>
      <c r="E614" s="18">
        <f>'Raw Data'!M614/'Raw Data'!L614*100</f>
        <v/>
      </c>
      <c r="F614" s="14">
        <f>IF(E614&gt;15,"Wet Year",IF(E614&lt;-15,"Dry Year","Normal Year"))</f>
        <v/>
      </c>
      <c r="G614" s="16">
        <f>'Raw Data'!I614</f>
        <v/>
      </c>
      <c r="H614" s="14">
        <f>IF(G614&lt;15,"Low Variability",IF(G614&lt;=35,"Moderate Variability","High Variability"))</f>
        <v/>
      </c>
      <c r="I614" s="18">
        <f>'Raw Data'!O614</f>
        <v/>
      </c>
      <c r="J614" s="14">
        <f>IF(I614=0,"No Flood",IF(I614&lt;=0.5,"Low",IF(I614&lt;=2,"Moderate","High")))</f>
        <v/>
      </c>
    </row>
    <row r="615" ht="15" customHeight="1" s="12">
      <c r="A615" s="14">
        <f>'Raw Data'!A615</f>
        <v/>
      </c>
      <c r="B615" s="14">
        <f>'Raw Data'!B615</f>
        <v/>
      </c>
      <c r="C615" s="14">
        <f>'Raw Data'!C615</f>
        <v/>
      </c>
      <c r="D615" s="15">
        <f>'Raw Data'!M615</f>
        <v/>
      </c>
      <c r="E615" s="18">
        <f>'Raw Data'!M615/'Raw Data'!L615*100</f>
        <v/>
      </c>
      <c r="F615" s="14">
        <f>IF(E615&gt;15,"Wet Year",IF(E615&lt;-15,"Dry Year","Normal Year"))</f>
        <v/>
      </c>
      <c r="G615" s="16">
        <f>'Raw Data'!I615</f>
        <v/>
      </c>
      <c r="H615" s="14">
        <f>IF(G615&lt;15,"Low Variability",IF(G615&lt;=35,"Moderate Variability","High Variability"))</f>
        <v/>
      </c>
      <c r="I615" s="18">
        <f>'Raw Data'!O615</f>
        <v/>
      </c>
      <c r="J615" s="14">
        <f>IF(I615=0,"No Flood",IF(I615&lt;=0.5,"Low",IF(I615&lt;=2,"Moderate","High")))</f>
        <v/>
      </c>
    </row>
    <row r="616" ht="15" customHeight="1" s="12">
      <c r="A616" s="14">
        <f>'Raw Data'!A616</f>
        <v/>
      </c>
      <c r="B616" s="14">
        <f>'Raw Data'!B616</f>
        <v/>
      </c>
      <c r="C616" s="14">
        <f>'Raw Data'!C616</f>
        <v/>
      </c>
      <c r="D616" s="15">
        <f>'Raw Data'!M616</f>
        <v/>
      </c>
      <c r="E616" s="18">
        <f>'Raw Data'!M616/'Raw Data'!L616*100</f>
        <v/>
      </c>
      <c r="F616" s="14">
        <f>IF(E616&gt;15,"Wet Year",IF(E616&lt;-15,"Dry Year","Normal Year"))</f>
        <v/>
      </c>
      <c r="G616" s="16">
        <f>'Raw Data'!I616</f>
        <v/>
      </c>
      <c r="H616" s="14">
        <f>IF(G616&lt;15,"Low Variability",IF(G616&lt;=35,"Moderate Variability","High Variability"))</f>
        <v/>
      </c>
      <c r="I616" s="18">
        <f>'Raw Data'!O616</f>
        <v/>
      </c>
      <c r="J616" s="14">
        <f>IF(I616=0,"No Flood",IF(I616&lt;=0.5,"Low",IF(I616&lt;=2,"Moderate","High")))</f>
        <v/>
      </c>
    </row>
    <row r="617" ht="15" customHeight="1" s="12">
      <c r="A617" s="14">
        <f>'Raw Data'!A617</f>
        <v/>
      </c>
      <c r="B617" s="14">
        <f>'Raw Data'!B617</f>
        <v/>
      </c>
      <c r="C617" s="14">
        <f>'Raw Data'!C617</f>
        <v/>
      </c>
      <c r="D617" s="15">
        <f>'Raw Data'!M617</f>
        <v/>
      </c>
      <c r="E617" s="18">
        <f>'Raw Data'!M617/'Raw Data'!L617*100</f>
        <v/>
      </c>
      <c r="F617" s="14">
        <f>IF(E617&gt;15,"Wet Year",IF(E617&lt;-15,"Dry Year","Normal Year"))</f>
        <v/>
      </c>
      <c r="G617" s="16">
        <f>'Raw Data'!I617</f>
        <v/>
      </c>
      <c r="H617" s="14">
        <f>IF(G617&lt;15,"Low Variability",IF(G617&lt;=35,"Moderate Variability","High Variability"))</f>
        <v/>
      </c>
      <c r="I617" s="18">
        <f>'Raw Data'!O617</f>
        <v/>
      </c>
      <c r="J617" s="14">
        <f>IF(I617=0,"No Flood",IF(I617&lt;=0.5,"Low",IF(I617&lt;=2,"Moderate","High")))</f>
        <v/>
      </c>
    </row>
    <row r="618" ht="15" customHeight="1" s="12">
      <c r="A618" s="14">
        <f>'Raw Data'!A618</f>
        <v/>
      </c>
      <c r="B618" s="14">
        <f>'Raw Data'!B618</f>
        <v/>
      </c>
      <c r="C618" s="14">
        <f>'Raw Data'!C618</f>
        <v/>
      </c>
      <c r="D618" s="15">
        <f>'Raw Data'!M618</f>
        <v/>
      </c>
      <c r="E618" s="18">
        <f>'Raw Data'!M618/'Raw Data'!L618*100</f>
        <v/>
      </c>
      <c r="F618" s="14">
        <f>IF(E618&gt;15,"Wet Year",IF(E618&lt;-15,"Dry Year","Normal Year"))</f>
        <v/>
      </c>
      <c r="G618" s="16">
        <f>'Raw Data'!I618</f>
        <v/>
      </c>
      <c r="H618" s="14">
        <f>IF(G618&lt;15,"Low Variability",IF(G618&lt;=35,"Moderate Variability","High Variability"))</f>
        <v/>
      </c>
      <c r="I618" s="18">
        <f>'Raw Data'!O618</f>
        <v/>
      </c>
      <c r="J618" s="14">
        <f>IF(I618=0,"No Flood",IF(I618&lt;=0.5,"Low",IF(I618&lt;=2,"Moderate","High")))</f>
        <v/>
      </c>
    </row>
    <row r="619" ht="15" customHeight="1" s="12">
      <c r="A619" s="14">
        <f>'Raw Data'!A619</f>
        <v/>
      </c>
      <c r="B619" s="14">
        <f>'Raw Data'!B619</f>
        <v/>
      </c>
      <c r="C619" s="14">
        <f>'Raw Data'!C619</f>
        <v/>
      </c>
      <c r="D619" s="15">
        <f>'Raw Data'!M619</f>
        <v/>
      </c>
      <c r="E619" s="18">
        <f>'Raw Data'!M619/'Raw Data'!L619*100</f>
        <v/>
      </c>
      <c r="F619" s="14">
        <f>IF(E619&gt;15,"Wet Year",IF(E619&lt;-15,"Dry Year","Normal Year"))</f>
        <v/>
      </c>
      <c r="G619" s="16">
        <f>'Raw Data'!I619</f>
        <v/>
      </c>
      <c r="H619" s="14">
        <f>IF(G619&lt;15,"Low Variability",IF(G619&lt;=35,"Moderate Variability","High Variability"))</f>
        <v/>
      </c>
      <c r="I619" s="18">
        <f>'Raw Data'!O619</f>
        <v/>
      </c>
      <c r="J619" s="14">
        <f>IF(I619=0,"No Flood",IF(I619&lt;=0.5,"Low",IF(I619&lt;=2,"Moderate","High")))</f>
        <v/>
      </c>
    </row>
    <row r="620" ht="15" customHeight="1" s="12">
      <c r="A620" s="14">
        <f>'Raw Data'!A620</f>
        <v/>
      </c>
      <c r="B620" s="14">
        <f>'Raw Data'!B620</f>
        <v/>
      </c>
      <c r="C620" s="14">
        <f>'Raw Data'!C620</f>
        <v/>
      </c>
      <c r="D620" s="15">
        <f>'Raw Data'!M620</f>
        <v/>
      </c>
      <c r="E620" s="18">
        <f>'Raw Data'!M620/'Raw Data'!L620*100</f>
        <v/>
      </c>
      <c r="F620" s="14">
        <f>IF(E620&gt;15,"Wet Year",IF(E620&lt;-15,"Dry Year","Normal Year"))</f>
        <v/>
      </c>
      <c r="G620" s="16">
        <f>'Raw Data'!I620</f>
        <v/>
      </c>
      <c r="H620" s="14">
        <f>IF(G620&lt;15,"Low Variability",IF(G620&lt;=35,"Moderate Variability","High Variability"))</f>
        <v/>
      </c>
      <c r="I620" s="18">
        <f>'Raw Data'!O620</f>
        <v/>
      </c>
      <c r="J620" s="14">
        <f>IF(I620=0,"No Flood",IF(I620&lt;=0.5,"Low",IF(I620&lt;=2,"Moderate","High")))</f>
        <v/>
      </c>
    </row>
    <row r="621" ht="15" customHeight="1" s="12">
      <c r="A621" s="14">
        <f>'Raw Data'!A621</f>
        <v/>
      </c>
      <c r="B621" s="14">
        <f>'Raw Data'!B621</f>
        <v/>
      </c>
      <c r="C621" s="14">
        <f>'Raw Data'!C621</f>
        <v/>
      </c>
      <c r="D621" s="15">
        <f>'Raw Data'!M621</f>
        <v/>
      </c>
      <c r="E621" s="18">
        <f>'Raw Data'!M621/'Raw Data'!L621*100</f>
        <v/>
      </c>
      <c r="F621" s="14">
        <f>IF(E621&gt;15,"Wet Year",IF(E621&lt;-15,"Dry Year","Normal Year"))</f>
        <v/>
      </c>
      <c r="G621" s="16">
        <f>'Raw Data'!I621</f>
        <v/>
      </c>
      <c r="H621" s="14">
        <f>IF(G621&lt;15,"Low Variability",IF(G621&lt;=35,"Moderate Variability","High Variability"))</f>
        <v/>
      </c>
      <c r="I621" s="18">
        <f>'Raw Data'!O621</f>
        <v/>
      </c>
      <c r="J621" s="14">
        <f>IF(I621=0,"No Flood",IF(I621&lt;=0.5,"Low",IF(I621&lt;=2,"Moderate","High")))</f>
        <v/>
      </c>
    </row>
    <row r="622" ht="15" customHeight="1" s="12">
      <c r="A622" s="14">
        <f>'Raw Data'!A622</f>
        <v/>
      </c>
      <c r="B622" s="14">
        <f>'Raw Data'!B622</f>
        <v/>
      </c>
      <c r="C622" s="14">
        <f>'Raw Data'!C622</f>
        <v/>
      </c>
      <c r="D622" s="15">
        <f>'Raw Data'!M622</f>
        <v/>
      </c>
      <c r="E622" s="18">
        <f>'Raw Data'!M622/'Raw Data'!L622*100</f>
        <v/>
      </c>
      <c r="F622" s="14">
        <f>IF(E622&gt;15,"Wet Year",IF(E622&lt;-15,"Dry Year","Normal Year"))</f>
        <v/>
      </c>
      <c r="G622" s="16">
        <f>'Raw Data'!I622</f>
        <v/>
      </c>
      <c r="H622" s="14">
        <f>IF(G622&lt;15,"Low Variability",IF(G622&lt;=35,"Moderate Variability","High Variability"))</f>
        <v/>
      </c>
      <c r="I622" s="18">
        <f>'Raw Data'!O622</f>
        <v/>
      </c>
      <c r="J622" s="14">
        <f>IF(I622=0,"No Flood",IF(I622&lt;=0.5,"Low",IF(I622&lt;=2,"Moderate","High")))</f>
        <v/>
      </c>
    </row>
    <row r="623" ht="15" customHeight="1" s="12">
      <c r="A623" s="14">
        <f>'Raw Data'!A623</f>
        <v/>
      </c>
      <c r="B623" s="14">
        <f>'Raw Data'!B623</f>
        <v/>
      </c>
      <c r="C623" s="14">
        <f>'Raw Data'!C623</f>
        <v/>
      </c>
      <c r="D623" s="15">
        <f>'Raw Data'!M623</f>
        <v/>
      </c>
      <c r="E623" s="18">
        <f>'Raw Data'!M623/'Raw Data'!L623*100</f>
        <v/>
      </c>
      <c r="F623" s="14">
        <f>IF(E623&gt;15,"Wet Year",IF(E623&lt;-15,"Dry Year","Normal Year"))</f>
        <v/>
      </c>
      <c r="G623" s="16">
        <f>'Raw Data'!I623</f>
        <v/>
      </c>
      <c r="H623" s="14">
        <f>IF(G623&lt;15,"Low Variability",IF(G623&lt;=35,"Moderate Variability","High Variability"))</f>
        <v/>
      </c>
      <c r="I623" s="18">
        <f>'Raw Data'!O623</f>
        <v/>
      </c>
      <c r="J623" s="14">
        <f>IF(I623=0,"No Flood",IF(I623&lt;=0.5,"Low",IF(I623&lt;=2,"Moderate","High")))</f>
        <v/>
      </c>
    </row>
    <row r="624" ht="15" customHeight="1" s="12">
      <c r="A624" s="14">
        <f>'Raw Data'!A624</f>
        <v/>
      </c>
      <c r="B624" s="14">
        <f>'Raw Data'!B624</f>
        <v/>
      </c>
      <c r="C624" s="14">
        <f>'Raw Data'!C624</f>
        <v/>
      </c>
      <c r="D624" s="15">
        <f>'Raw Data'!M624</f>
        <v/>
      </c>
      <c r="E624" s="18">
        <f>'Raw Data'!M624/'Raw Data'!L624*100</f>
        <v/>
      </c>
      <c r="F624" s="14">
        <f>IF(E624&gt;15,"Wet Year",IF(E624&lt;-15,"Dry Year","Normal Year"))</f>
        <v/>
      </c>
      <c r="G624" s="16">
        <f>'Raw Data'!I624</f>
        <v/>
      </c>
      <c r="H624" s="14">
        <f>IF(G624&lt;15,"Low Variability",IF(G624&lt;=35,"Moderate Variability","High Variability"))</f>
        <v/>
      </c>
      <c r="I624" s="18">
        <f>'Raw Data'!O624</f>
        <v/>
      </c>
      <c r="J624" s="14">
        <f>IF(I624=0,"No Flood",IF(I624&lt;=0.5,"Low",IF(I624&lt;=2,"Moderate","High")))</f>
        <v/>
      </c>
    </row>
    <row r="625" ht="15" customHeight="1" s="12">
      <c r="A625" s="14">
        <f>'Raw Data'!A625</f>
        <v/>
      </c>
      <c r="B625" s="14">
        <f>'Raw Data'!B625</f>
        <v/>
      </c>
      <c r="C625" s="14">
        <f>'Raw Data'!C625</f>
        <v/>
      </c>
      <c r="D625" s="15">
        <f>'Raw Data'!M625</f>
        <v/>
      </c>
      <c r="E625" s="18">
        <f>'Raw Data'!M625/'Raw Data'!L625*100</f>
        <v/>
      </c>
      <c r="F625" s="14">
        <f>IF(E625&gt;15,"Wet Year",IF(E625&lt;-15,"Dry Year","Normal Year"))</f>
        <v/>
      </c>
      <c r="G625" s="16">
        <f>'Raw Data'!I625</f>
        <v/>
      </c>
      <c r="H625" s="14">
        <f>IF(G625&lt;15,"Low Variability",IF(G625&lt;=35,"Moderate Variability","High Variability"))</f>
        <v/>
      </c>
      <c r="I625" s="18">
        <f>'Raw Data'!O625</f>
        <v/>
      </c>
      <c r="J625" s="14">
        <f>IF(I625=0,"No Flood",IF(I625&lt;=0.5,"Low",IF(I625&lt;=2,"Moderate","High")))</f>
        <v/>
      </c>
    </row>
    <row r="626" ht="15" customHeight="1" s="12">
      <c r="A626" s="14">
        <f>'Raw Data'!A626</f>
        <v/>
      </c>
      <c r="B626" s="14">
        <f>'Raw Data'!B626</f>
        <v/>
      </c>
      <c r="C626" s="14">
        <f>'Raw Data'!C626</f>
        <v/>
      </c>
      <c r="D626" s="15">
        <f>'Raw Data'!M626</f>
        <v/>
      </c>
      <c r="E626" s="18">
        <f>'Raw Data'!M626/'Raw Data'!L626*100</f>
        <v/>
      </c>
      <c r="F626" s="14">
        <f>IF(E626&gt;15,"Wet Year",IF(E626&lt;-15,"Dry Year","Normal Year"))</f>
        <v/>
      </c>
      <c r="G626" s="16">
        <f>'Raw Data'!I626</f>
        <v/>
      </c>
      <c r="H626" s="14">
        <f>IF(G626&lt;15,"Low Variability",IF(G626&lt;=35,"Moderate Variability","High Variability"))</f>
        <v/>
      </c>
      <c r="I626" s="18">
        <f>'Raw Data'!O626</f>
        <v/>
      </c>
      <c r="J626" s="14">
        <f>IF(I626=0,"No Flood",IF(I626&lt;=0.5,"Low",IF(I626&lt;=2,"Moderate","High")))</f>
        <v/>
      </c>
    </row>
    <row r="627" ht="15" customHeight="1" s="12">
      <c r="A627" s="14">
        <f>'Raw Data'!A627</f>
        <v/>
      </c>
      <c r="B627" s="14">
        <f>'Raw Data'!B627</f>
        <v/>
      </c>
      <c r="C627" s="14">
        <f>'Raw Data'!C627</f>
        <v/>
      </c>
      <c r="D627" s="15">
        <f>'Raw Data'!M627</f>
        <v/>
      </c>
      <c r="E627" s="18">
        <f>'Raw Data'!M627/'Raw Data'!L627*100</f>
        <v/>
      </c>
      <c r="F627" s="14">
        <f>IF(E627&gt;15,"Wet Year",IF(E627&lt;-15,"Dry Year","Normal Year"))</f>
        <v/>
      </c>
      <c r="G627" s="16">
        <f>'Raw Data'!I627</f>
        <v/>
      </c>
      <c r="H627" s="14">
        <f>IF(G627&lt;15,"Low Variability",IF(G627&lt;=35,"Moderate Variability","High Variability"))</f>
        <v/>
      </c>
      <c r="I627" s="18">
        <f>'Raw Data'!O627</f>
        <v/>
      </c>
      <c r="J627" s="14">
        <f>IF(I627=0,"No Flood",IF(I627&lt;=0.5,"Low",IF(I627&lt;=2,"Moderate","High")))</f>
        <v/>
      </c>
    </row>
    <row r="628" ht="15" customHeight="1" s="12">
      <c r="A628" s="14">
        <f>'Raw Data'!A628</f>
        <v/>
      </c>
      <c r="B628" s="14">
        <f>'Raw Data'!B628</f>
        <v/>
      </c>
      <c r="C628" s="14">
        <f>'Raw Data'!C628</f>
        <v/>
      </c>
      <c r="D628" s="15">
        <f>'Raw Data'!M628</f>
        <v/>
      </c>
      <c r="E628" s="18">
        <f>'Raw Data'!M628/'Raw Data'!L628*100</f>
        <v/>
      </c>
      <c r="F628" s="14">
        <f>IF(E628&gt;15,"Wet Year",IF(E628&lt;-15,"Dry Year","Normal Year"))</f>
        <v/>
      </c>
      <c r="G628" s="16">
        <f>'Raw Data'!I628</f>
        <v/>
      </c>
      <c r="H628" s="14">
        <f>IF(G628&lt;15,"Low Variability",IF(G628&lt;=35,"Moderate Variability","High Variability"))</f>
        <v/>
      </c>
      <c r="I628" s="18">
        <f>'Raw Data'!O628</f>
        <v/>
      </c>
      <c r="J628" s="14">
        <f>IF(I628=0,"No Flood",IF(I628&lt;=0.5,"Low",IF(I628&lt;=2,"Moderate","High")))</f>
        <v/>
      </c>
    </row>
    <row r="629" ht="15" customHeight="1" s="12">
      <c r="A629" s="14">
        <f>'Raw Data'!A629</f>
        <v/>
      </c>
      <c r="B629" s="14">
        <f>'Raw Data'!B629</f>
        <v/>
      </c>
      <c r="C629" s="14">
        <f>'Raw Data'!C629</f>
        <v/>
      </c>
      <c r="D629" s="15">
        <f>'Raw Data'!M629</f>
        <v/>
      </c>
      <c r="E629" s="18">
        <f>'Raw Data'!M629/'Raw Data'!L629*100</f>
        <v/>
      </c>
      <c r="F629" s="14">
        <f>IF(E629&gt;15,"Wet Year",IF(E629&lt;-15,"Dry Year","Normal Year"))</f>
        <v/>
      </c>
      <c r="G629" s="16">
        <f>'Raw Data'!I629</f>
        <v/>
      </c>
      <c r="H629" s="14">
        <f>IF(G629&lt;15,"Low Variability",IF(G629&lt;=35,"Moderate Variability","High Variability"))</f>
        <v/>
      </c>
      <c r="I629" s="18">
        <f>'Raw Data'!O629</f>
        <v/>
      </c>
      <c r="J629" s="14">
        <f>IF(I629=0,"No Flood",IF(I629&lt;=0.5,"Low",IF(I629&lt;=2,"Moderate","High")))</f>
        <v/>
      </c>
    </row>
    <row r="630" ht="15" customHeight="1" s="12">
      <c r="A630" s="14">
        <f>'Raw Data'!A630</f>
        <v/>
      </c>
      <c r="B630" s="14">
        <f>'Raw Data'!B630</f>
        <v/>
      </c>
      <c r="C630" s="14">
        <f>'Raw Data'!C630</f>
        <v/>
      </c>
      <c r="D630" s="15">
        <f>'Raw Data'!M630</f>
        <v/>
      </c>
      <c r="E630" s="18">
        <f>'Raw Data'!M630/'Raw Data'!L630*100</f>
        <v/>
      </c>
      <c r="F630" s="14">
        <f>IF(E630&gt;15,"Wet Year",IF(E630&lt;-15,"Dry Year","Normal Year"))</f>
        <v/>
      </c>
      <c r="G630" s="16">
        <f>'Raw Data'!I630</f>
        <v/>
      </c>
      <c r="H630" s="14">
        <f>IF(G630&lt;15,"Low Variability",IF(G630&lt;=35,"Moderate Variability","High Variability"))</f>
        <v/>
      </c>
      <c r="I630" s="18">
        <f>'Raw Data'!O630</f>
        <v/>
      </c>
      <c r="J630" s="14">
        <f>IF(I630=0,"No Flood",IF(I630&lt;=0.5,"Low",IF(I630&lt;=2,"Moderate","High")))</f>
        <v/>
      </c>
    </row>
    <row r="631" ht="15" customHeight="1" s="12">
      <c r="A631" s="14">
        <f>'Raw Data'!A631</f>
        <v/>
      </c>
      <c r="B631" s="14">
        <f>'Raw Data'!B631</f>
        <v/>
      </c>
      <c r="C631" s="14">
        <f>'Raw Data'!C631</f>
        <v/>
      </c>
      <c r="D631" s="15">
        <f>'Raw Data'!M631</f>
        <v/>
      </c>
      <c r="E631" s="18">
        <f>'Raw Data'!M631/'Raw Data'!L631*100</f>
        <v/>
      </c>
      <c r="F631" s="14">
        <f>IF(E631&gt;15,"Wet Year",IF(E631&lt;-15,"Dry Year","Normal Year"))</f>
        <v/>
      </c>
      <c r="G631" s="16">
        <f>'Raw Data'!I631</f>
        <v/>
      </c>
      <c r="H631" s="14">
        <f>IF(G631&lt;15,"Low Variability",IF(G631&lt;=35,"Moderate Variability","High Variability"))</f>
        <v/>
      </c>
      <c r="I631" s="18">
        <f>'Raw Data'!O631</f>
        <v/>
      </c>
      <c r="J631" s="14">
        <f>IF(I631=0,"No Flood",IF(I631&lt;=0.5,"Low",IF(I631&lt;=2,"Moderate","High")))</f>
        <v/>
      </c>
    </row>
    <row r="632" ht="15" customHeight="1" s="12">
      <c r="A632" s="14">
        <f>'Raw Data'!A632</f>
        <v/>
      </c>
      <c r="B632" s="14">
        <f>'Raw Data'!B632</f>
        <v/>
      </c>
      <c r="C632" s="14">
        <f>'Raw Data'!C632</f>
        <v/>
      </c>
      <c r="D632" s="15">
        <f>'Raw Data'!M632</f>
        <v/>
      </c>
      <c r="E632" s="18">
        <f>'Raw Data'!M632/'Raw Data'!L632*100</f>
        <v/>
      </c>
      <c r="F632" s="14">
        <f>IF(E632&gt;15,"Wet Year",IF(E632&lt;-15,"Dry Year","Normal Year"))</f>
        <v/>
      </c>
      <c r="G632" s="16">
        <f>'Raw Data'!I632</f>
        <v/>
      </c>
      <c r="H632" s="14">
        <f>IF(G632&lt;15,"Low Variability",IF(G632&lt;=35,"Moderate Variability","High Variability"))</f>
        <v/>
      </c>
      <c r="I632" s="18">
        <f>'Raw Data'!O632</f>
        <v/>
      </c>
      <c r="J632" s="14">
        <f>IF(I632=0,"No Flood",IF(I632&lt;=0.5,"Low",IF(I632&lt;=2,"Moderate","High")))</f>
        <v/>
      </c>
    </row>
    <row r="633" ht="15" customHeight="1" s="12">
      <c r="A633" s="14">
        <f>'Raw Data'!A633</f>
        <v/>
      </c>
      <c r="B633" s="14">
        <f>'Raw Data'!B633</f>
        <v/>
      </c>
      <c r="C633" s="14">
        <f>'Raw Data'!C633</f>
        <v/>
      </c>
      <c r="D633" s="15">
        <f>'Raw Data'!M633</f>
        <v/>
      </c>
      <c r="E633" s="18">
        <f>'Raw Data'!M633/'Raw Data'!L633*100</f>
        <v/>
      </c>
      <c r="F633" s="14">
        <f>IF(E633&gt;15,"Wet Year",IF(E633&lt;-15,"Dry Year","Normal Year"))</f>
        <v/>
      </c>
      <c r="G633" s="16">
        <f>'Raw Data'!I633</f>
        <v/>
      </c>
      <c r="H633" s="14">
        <f>IF(G633&lt;15,"Low Variability",IF(G633&lt;=35,"Moderate Variability","High Variability"))</f>
        <v/>
      </c>
      <c r="I633" s="18">
        <f>'Raw Data'!O633</f>
        <v/>
      </c>
      <c r="J633" s="14">
        <f>IF(I633=0,"No Flood",IF(I633&lt;=0.5,"Low",IF(I633&lt;=2,"Moderate","High")))</f>
        <v/>
      </c>
    </row>
    <row r="634" ht="15" customHeight="1" s="12">
      <c r="A634" s="14">
        <f>'Raw Data'!A634</f>
        <v/>
      </c>
      <c r="B634" s="14">
        <f>'Raw Data'!B634</f>
        <v/>
      </c>
      <c r="C634" s="14">
        <f>'Raw Data'!C634</f>
        <v/>
      </c>
      <c r="D634" s="15">
        <f>'Raw Data'!M634</f>
        <v/>
      </c>
      <c r="E634" s="18">
        <f>'Raw Data'!M634/'Raw Data'!L634*100</f>
        <v/>
      </c>
      <c r="F634" s="14">
        <f>IF(E634&gt;15,"Wet Year",IF(E634&lt;-15,"Dry Year","Normal Year"))</f>
        <v/>
      </c>
      <c r="G634" s="16">
        <f>'Raw Data'!I634</f>
        <v/>
      </c>
      <c r="H634" s="14">
        <f>IF(G634&lt;15,"Low Variability",IF(G634&lt;=35,"Moderate Variability","High Variability"))</f>
        <v/>
      </c>
      <c r="I634" s="18">
        <f>'Raw Data'!O634</f>
        <v/>
      </c>
      <c r="J634" s="14">
        <f>IF(I634=0,"No Flood",IF(I634&lt;=0.5,"Low",IF(I634&lt;=2,"Moderate","High")))</f>
        <v/>
      </c>
    </row>
    <row r="635" ht="15" customHeight="1" s="12">
      <c r="A635" s="14">
        <f>'Raw Data'!A635</f>
        <v/>
      </c>
      <c r="B635" s="14">
        <f>'Raw Data'!B635</f>
        <v/>
      </c>
      <c r="C635" s="14">
        <f>'Raw Data'!C635</f>
        <v/>
      </c>
      <c r="D635" s="15">
        <f>'Raw Data'!M635</f>
        <v/>
      </c>
      <c r="E635" s="18">
        <f>'Raw Data'!M635/'Raw Data'!L635*100</f>
        <v/>
      </c>
      <c r="F635" s="14">
        <f>IF(E635&gt;15,"Wet Year",IF(E635&lt;-15,"Dry Year","Normal Year"))</f>
        <v/>
      </c>
      <c r="G635" s="16">
        <f>'Raw Data'!I635</f>
        <v/>
      </c>
      <c r="H635" s="14">
        <f>IF(G635&lt;15,"Low Variability",IF(G635&lt;=35,"Moderate Variability","High Variability"))</f>
        <v/>
      </c>
      <c r="I635" s="18">
        <f>'Raw Data'!O635</f>
        <v/>
      </c>
      <c r="J635" s="14">
        <f>IF(I635=0,"No Flood",IF(I635&lt;=0.5,"Low",IF(I635&lt;=2,"Moderate","High")))</f>
        <v/>
      </c>
    </row>
    <row r="636" ht="15" customHeight="1" s="12">
      <c r="A636" s="14">
        <f>'Raw Data'!A636</f>
        <v/>
      </c>
      <c r="B636" s="14">
        <f>'Raw Data'!B636</f>
        <v/>
      </c>
      <c r="C636" s="14">
        <f>'Raw Data'!C636</f>
        <v/>
      </c>
      <c r="D636" s="15">
        <f>'Raw Data'!M636</f>
        <v/>
      </c>
      <c r="E636" s="18">
        <f>'Raw Data'!M636/'Raw Data'!L636*100</f>
        <v/>
      </c>
      <c r="F636" s="14">
        <f>IF(E636&gt;15,"Wet Year",IF(E636&lt;-15,"Dry Year","Normal Year"))</f>
        <v/>
      </c>
      <c r="G636" s="16">
        <f>'Raw Data'!I636</f>
        <v/>
      </c>
      <c r="H636" s="14">
        <f>IF(G636&lt;15,"Low Variability",IF(G636&lt;=35,"Moderate Variability","High Variability"))</f>
        <v/>
      </c>
      <c r="I636" s="18">
        <f>'Raw Data'!O636</f>
        <v/>
      </c>
      <c r="J636" s="14">
        <f>IF(I636=0,"No Flood",IF(I636&lt;=0.5,"Low",IF(I636&lt;=2,"Moderate","High")))</f>
        <v/>
      </c>
    </row>
    <row r="637" ht="15" customHeight="1" s="12">
      <c r="A637" s="14">
        <f>'Raw Data'!A637</f>
        <v/>
      </c>
      <c r="B637" s="14">
        <f>'Raw Data'!B637</f>
        <v/>
      </c>
      <c r="C637" s="14">
        <f>'Raw Data'!C637</f>
        <v/>
      </c>
      <c r="D637" s="15">
        <f>'Raw Data'!M637</f>
        <v/>
      </c>
      <c r="E637" s="18">
        <f>'Raw Data'!M637/'Raw Data'!L637*100</f>
        <v/>
      </c>
      <c r="F637" s="14">
        <f>IF(E637&gt;15,"Wet Year",IF(E637&lt;-15,"Dry Year","Normal Year"))</f>
        <v/>
      </c>
      <c r="G637" s="16">
        <f>'Raw Data'!I637</f>
        <v/>
      </c>
      <c r="H637" s="14">
        <f>IF(G637&lt;15,"Low Variability",IF(G637&lt;=35,"Moderate Variability","High Variability"))</f>
        <v/>
      </c>
      <c r="I637" s="18">
        <f>'Raw Data'!O637</f>
        <v/>
      </c>
      <c r="J637" s="14">
        <f>IF(I637=0,"No Flood",IF(I637&lt;=0.5,"Low",IF(I637&lt;=2,"Moderate","High")))</f>
        <v/>
      </c>
    </row>
    <row r="638" ht="15" customHeight="1" s="12">
      <c r="A638" s="14">
        <f>'Raw Data'!A638</f>
        <v/>
      </c>
      <c r="B638" s="14">
        <f>'Raw Data'!B638</f>
        <v/>
      </c>
      <c r="C638" s="14">
        <f>'Raw Data'!C638</f>
        <v/>
      </c>
      <c r="D638" s="15">
        <f>'Raw Data'!M638</f>
        <v/>
      </c>
      <c r="E638" s="18">
        <f>'Raw Data'!M638/'Raw Data'!L638*100</f>
        <v/>
      </c>
      <c r="F638" s="14">
        <f>IF(E638&gt;15,"Wet Year",IF(E638&lt;-15,"Dry Year","Normal Year"))</f>
        <v/>
      </c>
      <c r="G638" s="16">
        <f>'Raw Data'!I638</f>
        <v/>
      </c>
      <c r="H638" s="14">
        <f>IF(G638&lt;15,"Low Variability",IF(G638&lt;=35,"Moderate Variability","High Variability"))</f>
        <v/>
      </c>
      <c r="I638" s="18">
        <f>'Raw Data'!O638</f>
        <v/>
      </c>
      <c r="J638" s="14">
        <f>IF(I638=0,"No Flood",IF(I638&lt;=0.5,"Low",IF(I638&lt;=2,"Moderate","High")))</f>
        <v/>
      </c>
    </row>
    <row r="639" ht="15" customHeight="1" s="12">
      <c r="A639" s="14">
        <f>'Raw Data'!A639</f>
        <v/>
      </c>
      <c r="B639" s="14">
        <f>'Raw Data'!B639</f>
        <v/>
      </c>
      <c r="C639" s="14">
        <f>'Raw Data'!C639</f>
        <v/>
      </c>
      <c r="D639" s="15">
        <f>'Raw Data'!M639</f>
        <v/>
      </c>
      <c r="E639" s="18">
        <f>'Raw Data'!M639/'Raw Data'!L639*100</f>
        <v/>
      </c>
      <c r="F639" s="14">
        <f>IF(E639&gt;15,"Wet Year",IF(E639&lt;-15,"Dry Year","Normal Year"))</f>
        <v/>
      </c>
      <c r="G639" s="16">
        <f>'Raw Data'!I639</f>
        <v/>
      </c>
      <c r="H639" s="14">
        <f>IF(G639&lt;15,"Low Variability",IF(G639&lt;=35,"Moderate Variability","High Variability"))</f>
        <v/>
      </c>
      <c r="I639" s="18">
        <f>'Raw Data'!O639</f>
        <v/>
      </c>
      <c r="J639" s="14">
        <f>IF(I639=0,"No Flood",IF(I639&lt;=0.5,"Low",IF(I639&lt;=2,"Moderate","High")))</f>
        <v/>
      </c>
    </row>
    <row r="640" ht="15" customHeight="1" s="12">
      <c r="A640" s="14">
        <f>'Raw Data'!A640</f>
        <v/>
      </c>
      <c r="B640" s="14">
        <f>'Raw Data'!B640</f>
        <v/>
      </c>
      <c r="C640" s="14">
        <f>'Raw Data'!C640</f>
        <v/>
      </c>
      <c r="D640" s="15">
        <f>'Raw Data'!M640</f>
        <v/>
      </c>
      <c r="E640" s="18">
        <f>'Raw Data'!M640/'Raw Data'!L640*100</f>
        <v/>
      </c>
      <c r="F640" s="14">
        <f>IF(E640&gt;15,"Wet Year",IF(E640&lt;-15,"Dry Year","Normal Year"))</f>
        <v/>
      </c>
      <c r="G640" s="16">
        <f>'Raw Data'!I640</f>
        <v/>
      </c>
      <c r="H640" s="14">
        <f>IF(G640&lt;15,"Low Variability",IF(G640&lt;=35,"Moderate Variability","High Variability"))</f>
        <v/>
      </c>
      <c r="I640" s="18">
        <f>'Raw Data'!O640</f>
        <v/>
      </c>
      <c r="J640" s="14">
        <f>IF(I640=0,"No Flood",IF(I640&lt;=0.5,"Low",IF(I640&lt;=2,"Moderate","High")))</f>
        <v/>
      </c>
    </row>
    <row r="641" ht="15" customHeight="1" s="12">
      <c r="A641" s="14">
        <f>'Raw Data'!A641</f>
        <v/>
      </c>
      <c r="B641" s="14">
        <f>'Raw Data'!B641</f>
        <v/>
      </c>
      <c r="C641" s="14">
        <f>'Raw Data'!C641</f>
        <v/>
      </c>
      <c r="D641" s="15">
        <f>'Raw Data'!M641</f>
        <v/>
      </c>
      <c r="E641" s="18">
        <f>'Raw Data'!M641/'Raw Data'!L641*100</f>
        <v/>
      </c>
      <c r="F641" s="14">
        <f>IF(E641&gt;15,"Wet Year",IF(E641&lt;-15,"Dry Year","Normal Year"))</f>
        <v/>
      </c>
      <c r="G641" s="16">
        <f>'Raw Data'!I641</f>
        <v/>
      </c>
      <c r="H641" s="14">
        <f>IF(G641&lt;15,"Low Variability",IF(G641&lt;=35,"Moderate Variability","High Variability"))</f>
        <v/>
      </c>
      <c r="I641" s="18">
        <f>'Raw Data'!O641</f>
        <v/>
      </c>
      <c r="J641" s="14">
        <f>IF(I641=0,"No Flood",IF(I641&lt;=0.5,"Low",IF(I641&lt;=2,"Moderate","High")))</f>
        <v/>
      </c>
    </row>
    <row r="642" ht="15" customHeight="1" s="12">
      <c r="A642" s="14">
        <f>'Raw Data'!A642</f>
        <v/>
      </c>
      <c r="B642" s="14">
        <f>'Raw Data'!B642</f>
        <v/>
      </c>
      <c r="C642" s="14">
        <f>'Raw Data'!C642</f>
        <v/>
      </c>
      <c r="D642" s="15">
        <f>'Raw Data'!M642</f>
        <v/>
      </c>
      <c r="E642" s="18">
        <f>'Raw Data'!M642/'Raw Data'!L642*100</f>
        <v/>
      </c>
      <c r="F642" s="14">
        <f>IF(E642&gt;15,"Wet Year",IF(E642&lt;-15,"Dry Year","Normal Year"))</f>
        <v/>
      </c>
      <c r="G642" s="16">
        <f>'Raw Data'!I642</f>
        <v/>
      </c>
      <c r="H642" s="14">
        <f>IF(G642&lt;15,"Low Variability",IF(G642&lt;=35,"Moderate Variability","High Variability"))</f>
        <v/>
      </c>
      <c r="I642" s="18">
        <f>'Raw Data'!O642</f>
        <v/>
      </c>
      <c r="J642" s="14">
        <f>IF(I642=0,"No Flood",IF(I642&lt;=0.5,"Low",IF(I642&lt;=2,"Moderate","High")))</f>
        <v/>
      </c>
    </row>
    <row r="643" ht="15" customHeight="1" s="12">
      <c r="A643" s="14">
        <f>'Raw Data'!A643</f>
        <v/>
      </c>
      <c r="B643" s="14">
        <f>'Raw Data'!B643</f>
        <v/>
      </c>
      <c r="C643" s="14">
        <f>'Raw Data'!C643</f>
        <v/>
      </c>
      <c r="D643" s="15">
        <f>'Raw Data'!M643</f>
        <v/>
      </c>
      <c r="E643" s="18">
        <f>'Raw Data'!M643/'Raw Data'!L643*100</f>
        <v/>
      </c>
      <c r="F643" s="14">
        <f>IF(E643&gt;15,"Wet Year",IF(E643&lt;-15,"Dry Year","Normal Year"))</f>
        <v/>
      </c>
      <c r="G643" s="16">
        <f>'Raw Data'!I643</f>
        <v/>
      </c>
      <c r="H643" s="14">
        <f>IF(G643&lt;15,"Low Variability",IF(G643&lt;=35,"Moderate Variability","High Variability"))</f>
        <v/>
      </c>
      <c r="I643" s="18">
        <f>'Raw Data'!O643</f>
        <v/>
      </c>
      <c r="J643" s="14">
        <f>IF(I643=0,"No Flood",IF(I643&lt;=0.5,"Low",IF(I643&lt;=2,"Moderate","High")))</f>
        <v/>
      </c>
    </row>
    <row r="644" ht="15" customHeight="1" s="12">
      <c r="A644" s="14">
        <f>'Raw Data'!A644</f>
        <v/>
      </c>
      <c r="B644" s="14">
        <f>'Raw Data'!B644</f>
        <v/>
      </c>
      <c r="C644" s="14">
        <f>'Raw Data'!C644</f>
        <v/>
      </c>
      <c r="D644" s="15">
        <f>'Raw Data'!M644</f>
        <v/>
      </c>
      <c r="E644" s="18">
        <f>'Raw Data'!M644/'Raw Data'!L644*100</f>
        <v/>
      </c>
      <c r="F644" s="14">
        <f>IF(E644&gt;15,"Wet Year",IF(E644&lt;-15,"Dry Year","Normal Year"))</f>
        <v/>
      </c>
      <c r="G644" s="16">
        <f>'Raw Data'!I644</f>
        <v/>
      </c>
      <c r="H644" s="14">
        <f>IF(G644&lt;15,"Low Variability",IF(G644&lt;=35,"Moderate Variability","High Variability"))</f>
        <v/>
      </c>
      <c r="I644" s="18">
        <f>'Raw Data'!O644</f>
        <v/>
      </c>
      <c r="J644" s="14">
        <f>IF(I644=0,"No Flood",IF(I644&lt;=0.5,"Low",IF(I644&lt;=2,"Moderate","High")))</f>
        <v/>
      </c>
    </row>
    <row r="645" ht="15" customHeight="1" s="12">
      <c r="A645" s="14">
        <f>'Raw Data'!A645</f>
        <v/>
      </c>
      <c r="B645" s="14">
        <f>'Raw Data'!B645</f>
        <v/>
      </c>
      <c r="C645" s="14">
        <f>'Raw Data'!C645</f>
        <v/>
      </c>
      <c r="D645" s="15">
        <f>'Raw Data'!M645</f>
        <v/>
      </c>
      <c r="E645" s="18">
        <f>'Raw Data'!M645/'Raw Data'!L645*100</f>
        <v/>
      </c>
      <c r="F645" s="14">
        <f>IF(E645&gt;15,"Wet Year",IF(E645&lt;-15,"Dry Year","Normal Year"))</f>
        <v/>
      </c>
      <c r="G645" s="16">
        <f>'Raw Data'!I645</f>
        <v/>
      </c>
      <c r="H645" s="14">
        <f>IF(G645&lt;15,"Low Variability",IF(G645&lt;=35,"Moderate Variability","High Variability"))</f>
        <v/>
      </c>
      <c r="I645" s="18">
        <f>'Raw Data'!O645</f>
        <v/>
      </c>
      <c r="J645" s="14">
        <f>IF(I645=0,"No Flood",IF(I645&lt;=0.5,"Low",IF(I645&lt;=2,"Moderate","High")))</f>
        <v/>
      </c>
    </row>
    <row r="646" ht="15" customHeight="1" s="12">
      <c r="A646" s="14">
        <f>'Raw Data'!A646</f>
        <v/>
      </c>
      <c r="B646" s="14">
        <f>'Raw Data'!B646</f>
        <v/>
      </c>
      <c r="C646" s="14">
        <f>'Raw Data'!C646</f>
        <v/>
      </c>
      <c r="D646" s="15">
        <f>'Raw Data'!M646</f>
        <v/>
      </c>
      <c r="E646" s="18">
        <f>'Raw Data'!M646/'Raw Data'!L646*100</f>
        <v/>
      </c>
      <c r="F646" s="14">
        <f>IF(E646&gt;15,"Wet Year",IF(E646&lt;-15,"Dry Year","Normal Year"))</f>
        <v/>
      </c>
      <c r="G646" s="16">
        <f>'Raw Data'!I646</f>
        <v/>
      </c>
      <c r="H646" s="14">
        <f>IF(G646&lt;15,"Low Variability",IF(G646&lt;=35,"Moderate Variability","High Variability"))</f>
        <v/>
      </c>
      <c r="I646" s="18">
        <f>'Raw Data'!O646</f>
        <v/>
      </c>
      <c r="J646" s="14">
        <f>IF(I646=0,"No Flood",IF(I646&lt;=0.5,"Low",IF(I646&lt;=2,"Moderate","High")))</f>
        <v/>
      </c>
    </row>
    <row r="647" ht="15" customHeight="1" s="12">
      <c r="A647" s="14">
        <f>'Raw Data'!A647</f>
        <v/>
      </c>
      <c r="B647" s="14">
        <f>'Raw Data'!B647</f>
        <v/>
      </c>
      <c r="C647" s="14">
        <f>'Raw Data'!C647</f>
        <v/>
      </c>
      <c r="D647" s="15">
        <f>'Raw Data'!M647</f>
        <v/>
      </c>
      <c r="E647" s="18">
        <f>'Raw Data'!M647/'Raw Data'!L647*100</f>
        <v/>
      </c>
      <c r="F647" s="14">
        <f>IF(E647&gt;15,"Wet Year",IF(E647&lt;-15,"Dry Year","Normal Year"))</f>
        <v/>
      </c>
      <c r="G647" s="16">
        <f>'Raw Data'!I647</f>
        <v/>
      </c>
      <c r="H647" s="14">
        <f>IF(G647&lt;15,"Low Variability",IF(G647&lt;=35,"Moderate Variability","High Variability"))</f>
        <v/>
      </c>
      <c r="I647" s="18">
        <f>'Raw Data'!O647</f>
        <v/>
      </c>
      <c r="J647" s="14">
        <f>IF(I647=0,"No Flood",IF(I647&lt;=0.5,"Low",IF(I647&lt;=2,"Moderate","High")))</f>
        <v/>
      </c>
    </row>
    <row r="648" ht="15" customHeight="1" s="12">
      <c r="A648" s="14">
        <f>'Raw Data'!A648</f>
        <v/>
      </c>
      <c r="B648" s="14">
        <f>'Raw Data'!B648</f>
        <v/>
      </c>
      <c r="C648" s="14">
        <f>'Raw Data'!C648</f>
        <v/>
      </c>
      <c r="D648" s="15">
        <f>'Raw Data'!M648</f>
        <v/>
      </c>
      <c r="E648" s="18">
        <f>'Raw Data'!M648/'Raw Data'!L648*100</f>
        <v/>
      </c>
      <c r="F648" s="14">
        <f>IF(E648&gt;15,"Wet Year",IF(E648&lt;-15,"Dry Year","Normal Year"))</f>
        <v/>
      </c>
      <c r="G648" s="16">
        <f>'Raw Data'!I648</f>
        <v/>
      </c>
      <c r="H648" s="14">
        <f>IF(G648&lt;15,"Low Variability",IF(G648&lt;=35,"Moderate Variability","High Variability"))</f>
        <v/>
      </c>
      <c r="I648" s="18">
        <f>'Raw Data'!O648</f>
        <v/>
      </c>
      <c r="J648" s="14">
        <f>IF(I648=0,"No Flood",IF(I648&lt;=0.5,"Low",IF(I648&lt;=2,"Moderate","High")))</f>
        <v/>
      </c>
    </row>
    <row r="649" ht="15" customHeight="1" s="12">
      <c r="A649" s="14">
        <f>'Raw Data'!A649</f>
        <v/>
      </c>
      <c r="B649" s="14">
        <f>'Raw Data'!B649</f>
        <v/>
      </c>
      <c r="C649" s="14">
        <f>'Raw Data'!C649</f>
        <v/>
      </c>
      <c r="D649" s="15">
        <f>'Raw Data'!M649</f>
        <v/>
      </c>
      <c r="E649" s="18">
        <f>'Raw Data'!M649/'Raw Data'!L649*100</f>
        <v/>
      </c>
      <c r="F649" s="14">
        <f>IF(E649&gt;15,"Wet Year",IF(E649&lt;-15,"Dry Year","Normal Year"))</f>
        <v/>
      </c>
      <c r="G649" s="16">
        <f>'Raw Data'!I649</f>
        <v/>
      </c>
      <c r="H649" s="14">
        <f>IF(G649&lt;15,"Low Variability",IF(G649&lt;=35,"Moderate Variability","High Variability"))</f>
        <v/>
      </c>
      <c r="I649" s="18">
        <f>'Raw Data'!O649</f>
        <v/>
      </c>
      <c r="J649" s="14">
        <f>IF(I649=0,"No Flood",IF(I649&lt;=0.5,"Low",IF(I649&lt;=2,"Moderate","High")))</f>
        <v/>
      </c>
    </row>
    <row r="650" ht="15" customHeight="1" s="12">
      <c r="A650" s="14">
        <f>'Raw Data'!A650</f>
        <v/>
      </c>
      <c r="B650" s="14">
        <f>'Raw Data'!B650</f>
        <v/>
      </c>
      <c r="C650" s="14">
        <f>'Raw Data'!C650</f>
        <v/>
      </c>
      <c r="D650" s="15">
        <f>'Raw Data'!M650</f>
        <v/>
      </c>
      <c r="E650" s="18">
        <f>'Raw Data'!M650/'Raw Data'!L650*100</f>
        <v/>
      </c>
      <c r="F650" s="14">
        <f>IF(E650&gt;15,"Wet Year",IF(E650&lt;-15,"Dry Year","Normal Year"))</f>
        <v/>
      </c>
      <c r="G650" s="16">
        <f>'Raw Data'!I650</f>
        <v/>
      </c>
      <c r="H650" s="14">
        <f>IF(G650&lt;15,"Low Variability",IF(G650&lt;=35,"Moderate Variability","High Variability"))</f>
        <v/>
      </c>
      <c r="I650" s="18">
        <f>'Raw Data'!O650</f>
        <v/>
      </c>
      <c r="J650" s="14">
        <f>IF(I650=0,"No Flood",IF(I650&lt;=0.5,"Low",IF(I650&lt;=2,"Moderate","High")))</f>
        <v/>
      </c>
    </row>
    <row r="651" ht="15" customHeight="1" s="12">
      <c r="A651" s="14">
        <f>'Raw Data'!A651</f>
        <v/>
      </c>
      <c r="B651" s="14">
        <f>'Raw Data'!B651</f>
        <v/>
      </c>
      <c r="C651" s="14">
        <f>'Raw Data'!C651</f>
        <v/>
      </c>
      <c r="D651" s="15">
        <f>'Raw Data'!M651</f>
        <v/>
      </c>
      <c r="E651" s="18">
        <f>'Raw Data'!M651/'Raw Data'!L651*100</f>
        <v/>
      </c>
      <c r="F651" s="14">
        <f>IF(E651&gt;15,"Wet Year",IF(E651&lt;-15,"Dry Year","Normal Year"))</f>
        <v/>
      </c>
      <c r="G651" s="16">
        <f>'Raw Data'!I651</f>
        <v/>
      </c>
      <c r="H651" s="14">
        <f>IF(G651&lt;15,"Low Variability",IF(G651&lt;=35,"Moderate Variability","High Variability"))</f>
        <v/>
      </c>
      <c r="I651" s="18">
        <f>'Raw Data'!O651</f>
        <v/>
      </c>
      <c r="J651" s="14">
        <f>IF(I651=0,"No Flood",IF(I651&lt;=0.5,"Low",IF(I651&lt;=2,"Moderate","High")))</f>
        <v/>
      </c>
    </row>
    <row r="652" ht="15" customHeight="1" s="12">
      <c r="A652" s="14">
        <f>'Raw Data'!A652</f>
        <v/>
      </c>
      <c r="B652" s="14">
        <f>'Raw Data'!B652</f>
        <v/>
      </c>
      <c r="C652" s="14">
        <f>'Raw Data'!C652</f>
        <v/>
      </c>
      <c r="D652" s="15">
        <f>'Raw Data'!M652</f>
        <v/>
      </c>
      <c r="E652" s="18">
        <f>'Raw Data'!M652/'Raw Data'!L652*100</f>
        <v/>
      </c>
      <c r="F652" s="14">
        <f>IF(E652&gt;15,"Wet Year",IF(E652&lt;-15,"Dry Year","Normal Year"))</f>
        <v/>
      </c>
      <c r="G652" s="16">
        <f>'Raw Data'!I652</f>
        <v/>
      </c>
      <c r="H652" s="14">
        <f>IF(G652&lt;15,"Low Variability",IF(G652&lt;=35,"Moderate Variability","High Variability"))</f>
        <v/>
      </c>
      <c r="I652" s="18">
        <f>'Raw Data'!O652</f>
        <v/>
      </c>
      <c r="J652" s="14">
        <f>IF(I652=0,"No Flood",IF(I652&lt;=0.5,"Low",IF(I652&lt;=2,"Moderate","High")))</f>
        <v/>
      </c>
    </row>
    <row r="653" ht="15" customHeight="1" s="12">
      <c r="A653" s="14">
        <f>'Raw Data'!A653</f>
        <v/>
      </c>
      <c r="B653" s="14">
        <f>'Raw Data'!B653</f>
        <v/>
      </c>
      <c r="C653" s="14">
        <f>'Raw Data'!C653</f>
        <v/>
      </c>
      <c r="D653" s="15">
        <f>'Raw Data'!M653</f>
        <v/>
      </c>
      <c r="E653" s="18">
        <f>'Raw Data'!M653/'Raw Data'!L653*100</f>
        <v/>
      </c>
      <c r="F653" s="14">
        <f>IF(E653&gt;15,"Wet Year",IF(E653&lt;-15,"Dry Year","Normal Year"))</f>
        <v/>
      </c>
      <c r="G653" s="16">
        <f>'Raw Data'!I653</f>
        <v/>
      </c>
      <c r="H653" s="14">
        <f>IF(G653&lt;15,"Low Variability",IF(G653&lt;=35,"Moderate Variability","High Variability"))</f>
        <v/>
      </c>
      <c r="I653" s="18">
        <f>'Raw Data'!O653</f>
        <v/>
      </c>
      <c r="J653" s="14">
        <f>IF(I653=0,"No Flood",IF(I653&lt;=0.5,"Low",IF(I653&lt;=2,"Moderate","High")))</f>
        <v/>
      </c>
    </row>
    <row r="654" ht="15" customHeight="1" s="12">
      <c r="A654" s="14">
        <f>'Raw Data'!A654</f>
        <v/>
      </c>
      <c r="B654" s="14">
        <f>'Raw Data'!B654</f>
        <v/>
      </c>
      <c r="C654" s="14">
        <f>'Raw Data'!C654</f>
        <v/>
      </c>
      <c r="D654" s="15">
        <f>'Raw Data'!M654</f>
        <v/>
      </c>
      <c r="E654" s="18">
        <f>'Raw Data'!M654/'Raw Data'!L654*100</f>
        <v/>
      </c>
      <c r="F654" s="14">
        <f>IF(E654&gt;15,"Wet Year",IF(E654&lt;-15,"Dry Year","Normal Year"))</f>
        <v/>
      </c>
      <c r="G654" s="16">
        <f>'Raw Data'!I654</f>
        <v/>
      </c>
      <c r="H654" s="14">
        <f>IF(G654&lt;15,"Low Variability",IF(G654&lt;=35,"Moderate Variability","High Variability"))</f>
        <v/>
      </c>
      <c r="I654" s="18">
        <f>'Raw Data'!O654</f>
        <v/>
      </c>
      <c r="J654" s="14">
        <f>IF(I654=0,"No Flood",IF(I654&lt;=0.5,"Low",IF(I654&lt;=2,"Moderate","High")))</f>
        <v/>
      </c>
    </row>
    <row r="655" ht="15" customHeight="1" s="12">
      <c r="A655" s="14">
        <f>'Raw Data'!A655</f>
        <v/>
      </c>
      <c r="B655" s="14">
        <f>'Raw Data'!B655</f>
        <v/>
      </c>
      <c r="C655" s="14">
        <f>'Raw Data'!C655</f>
        <v/>
      </c>
      <c r="D655" s="15">
        <f>'Raw Data'!M655</f>
        <v/>
      </c>
      <c r="E655" s="18">
        <f>'Raw Data'!M655/'Raw Data'!L655*100</f>
        <v/>
      </c>
      <c r="F655" s="14">
        <f>IF(E655&gt;15,"Wet Year",IF(E655&lt;-15,"Dry Year","Normal Year"))</f>
        <v/>
      </c>
      <c r="G655" s="16">
        <f>'Raw Data'!I655</f>
        <v/>
      </c>
      <c r="H655" s="14">
        <f>IF(G655&lt;15,"Low Variability",IF(G655&lt;=35,"Moderate Variability","High Variability"))</f>
        <v/>
      </c>
      <c r="I655" s="18">
        <f>'Raw Data'!O655</f>
        <v/>
      </c>
      <c r="J655" s="14">
        <f>IF(I655=0,"No Flood",IF(I655&lt;=0.5,"Low",IF(I655&lt;=2,"Moderate","High")))</f>
        <v/>
      </c>
    </row>
    <row r="656" ht="15" customHeight="1" s="12">
      <c r="A656" s="14">
        <f>'Raw Data'!A656</f>
        <v/>
      </c>
      <c r="B656" s="14">
        <f>'Raw Data'!B656</f>
        <v/>
      </c>
      <c r="C656" s="14">
        <f>'Raw Data'!C656</f>
        <v/>
      </c>
      <c r="D656" s="15">
        <f>'Raw Data'!M656</f>
        <v/>
      </c>
      <c r="E656" s="18">
        <f>'Raw Data'!M656/'Raw Data'!L656*100</f>
        <v/>
      </c>
      <c r="F656" s="14">
        <f>IF(E656&gt;15,"Wet Year",IF(E656&lt;-15,"Dry Year","Normal Year"))</f>
        <v/>
      </c>
      <c r="G656" s="16">
        <f>'Raw Data'!I656</f>
        <v/>
      </c>
      <c r="H656" s="14">
        <f>IF(G656&lt;15,"Low Variability",IF(G656&lt;=35,"Moderate Variability","High Variability"))</f>
        <v/>
      </c>
      <c r="I656" s="18">
        <f>'Raw Data'!O656</f>
        <v/>
      </c>
      <c r="J656" s="14">
        <f>IF(I656=0,"No Flood",IF(I656&lt;=0.5,"Low",IF(I656&lt;=2,"Moderate","High")))</f>
        <v/>
      </c>
    </row>
    <row r="657" ht="15" customHeight="1" s="12">
      <c r="A657" s="14">
        <f>'Raw Data'!A657</f>
        <v/>
      </c>
      <c r="B657" s="14">
        <f>'Raw Data'!B657</f>
        <v/>
      </c>
      <c r="C657" s="14">
        <f>'Raw Data'!C657</f>
        <v/>
      </c>
      <c r="D657" s="15">
        <f>'Raw Data'!M657</f>
        <v/>
      </c>
      <c r="E657" s="18">
        <f>'Raw Data'!M657/'Raw Data'!L657*100</f>
        <v/>
      </c>
      <c r="F657" s="14">
        <f>IF(E657&gt;15,"Wet Year",IF(E657&lt;-15,"Dry Year","Normal Year"))</f>
        <v/>
      </c>
      <c r="G657" s="16">
        <f>'Raw Data'!I657</f>
        <v/>
      </c>
      <c r="H657" s="14">
        <f>IF(G657&lt;15,"Low Variability",IF(G657&lt;=35,"Moderate Variability","High Variability"))</f>
        <v/>
      </c>
      <c r="I657" s="18">
        <f>'Raw Data'!O657</f>
        <v/>
      </c>
      <c r="J657" s="14">
        <f>IF(I657=0,"No Flood",IF(I657&lt;=0.5,"Low",IF(I657&lt;=2,"Moderate","High")))</f>
        <v/>
      </c>
    </row>
    <row r="658" ht="15" customHeight="1" s="12">
      <c r="A658" s="14">
        <f>'Raw Data'!A658</f>
        <v/>
      </c>
      <c r="B658" s="14">
        <f>'Raw Data'!B658</f>
        <v/>
      </c>
      <c r="C658" s="14">
        <f>'Raw Data'!C658</f>
        <v/>
      </c>
      <c r="D658" s="15">
        <f>'Raw Data'!M658</f>
        <v/>
      </c>
      <c r="E658" s="18">
        <f>'Raw Data'!M658/'Raw Data'!L658*100</f>
        <v/>
      </c>
      <c r="F658" s="14">
        <f>IF(E658&gt;15,"Wet Year",IF(E658&lt;-15,"Dry Year","Normal Year"))</f>
        <v/>
      </c>
      <c r="G658" s="16">
        <f>'Raw Data'!I658</f>
        <v/>
      </c>
      <c r="H658" s="14">
        <f>IF(G658&lt;15,"Low Variability",IF(G658&lt;=35,"Moderate Variability","High Variability"))</f>
        <v/>
      </c>
      <c r="I658" s="18">
        <f>'Raw Data'!O658</f>
        <v/>
      </c>
      <c r="J658" s="14">
        <f>IF(I658=0,"No Flood",IF(I658&lt;=0.5,"Low",IF(I658&lt;=2,"Moderate","High")))</f>
        <v/>
      </c>
    </row>
    <row r="659" ht="15" customHeight="1" s="12">
      <c r="A659" s="14">
        <f>'Raw Data'!A659</f>
        <v/>
      </c>
      <c r="B659" s="14">
        <f>'Raw Data'!B659</f>
        <v/>
      </c>
      <c r="C659" s="14">
        <f>'Raw Data'!C659</f>
        <v/>
      </c>
      <c r="D659" s="15">
        <f>'Raw Data'!M659</f>
        <v/>
      </c>
      <c r="E659" s="18">
        <f>'Raw Data'!M659/'Raw Data'!L659*100</f>
        <v/>
      </c>
      <c r="F659" s="14">
        <f>IF(E659&gt;15,"Wet Year",IF(E659&lt;-15,"Dry Year","Normal Year"))</f>
        <v/>
      </c>
      <c r="G659" s="16">
        <f>'Raw Data'!I659</f>
        <v/>
      </c>
      <c r="H659" s="14">
        <f>IF(G659&lt;15,"Low Variability",IF(G659&lt;=35,"Moderate Variability","High Variability"))</f>
        <v/>
      </c>
      <c r="I659" s="18">
        <f>'Raw Data'!O659</f>
        <v/>
      </c>
      <c r="J659" s="14">
        <f>IF(I659=0,"No Flood",IF(I659&lt;=0.5,"Low",IF(I659&lt;=2,"Moderate","High")))</f>
        <v/>
      </c>
    </row>
    <row r="660" ht="15" customHeight="1" s="12">
      <c r="A660" s="14">
        <f>'Raw Data'!A660</f>
        <v/>
      </c>
      <c r="B660" s="14">
        <f>'Raw Data'!B660</f>
        <v/>
      </c>
      <c r="C660" s="14">
        <f>'Raw Data'!C660</f>
        <v/>
      </c>
      <c r="D660" s="15">
        <f>'Raw Data'!M660</f>
        <v/>
      </c>
      <c r="E660" s="18">
        <f>'Raw Data'!M660/'Raw Data'!L660*100</f>
        <v/>
      </c>
      <c r="F660" s="14">
        <f>IF(E660&gt;15,"Wet Year",IF(E660&lt;-15,"Dry Year","Normal Year"))</f>
        <v/>
      </c>
      <c r="G660" s="16">
        <f>'Raw Data'!I660</f>
        <v/>
      </c>
      <c r="H660" s="14">
        <f>IF(G660&lt;15,"Low Variability",IF(G660&lt;=35,"Moderate Variability","High Variability"))</f>
        <v/>
      </c>
      <c r="I660" s="18">
        <f>'Raw Data'!O660</f>
        <v/>
      </c>
      <c r="J660" s="14">
        <f>IF(I660=0,"No Flood",IF(I660&lt;=0.5,"Low",IF(I660&lt;=2,"Moderate","High")))</f>
        <v/>
      </c>
    </row>
    <row r="661" ht="15" customHeight="1" s="12">
      <c r="A661" s="14">
        <f>'Raw Data'!A661</f>
        <v/>
      </c>
      <c r="B661" s="14">
        <f>'Raw Data'!B661</f>
        <v/>
      </c>
      <c r="C661" s="14">
        <f>'Raw Data'!C661</f>
        <v/>
      </c>
      <c r="D661" s="15">
        <f>'Raw Data'!M661</f>
        <v/>
      </c>
      <c r="E661" s="18">
        <f>'Raw Data'!M661/'Raw Data'!L661*100</f>
        <v/>
      </c>
      <c r="F661" s="14">
        <f>IF(E661&gt;15,"Wet Year",IF(E661&lt;-15,"Dry Year","Normal Year"))</f>
        <v/>
      </c>
      <c r="G661" s="16">
        <f>'Raw Data'!I661</f>
        <v/>
      </c>
      <c r="H661" s="14">
        <f>IF(G661&lt;15,"Low Variability",IF(G661&lt;=35,"Moderate Variability","High Variability"))</f>
        <v/>
      </c>
      <c r="I661" s="18">
        <f>'Raw Data'!O661</f>
        <v/>
      </c>
      <c r="J661" s="14">
        <f>IF(I661=0,"No Flood",IF(I661&lt;=0.5,"Low",IF(I661&lt;=2,"Moderate","High")))</f>
        <v/>
      </c>
    </row>
    <row r="662" ht="15" customHeight="1" s="12">
      <c r="A662" s="14">
        <f>'Raw Data'!A662</f>
        <v/>
      </c>
      <c r="B662" s="14">
        <f>'Raw Data'!B662</f>
        <v/>
      </c>
      <c r="C662" s="14">
        <f>'Raw Data'!C662</f>
        <v/>
      </c>
      <c r="D662" s="15">
        <f>'Raw Data'!M662</f>
        <v/>
      </c>
      <c r="E662" s="18">
        <f>'Raw Data'!M662/'Raw Data'!L662*100</f>
        <v/>
      </c>
      <c r="F662" s="14">
        <f>IF(E662&gt;15,"Wet Year",IF(E662&lt;-15,"Dry Year","Normal Year"))</f>
        <v/>
      </c>
      <c r="G662" s="16">
        <f>'Raw Data'!I662</f>
        <v/>
      </c>
      <c r="H662" s="14">
        <f>IF(G662&lt;15,"Low Variability",IF(G662&lt;=35,"Moderate Variability","High Variability"))</f>
        <v/>
      </c>
      <c r="I662" s="18">
        <f>'Raw Data'!O662</f>
        <v/>
      </c>
      <c r="J662" s="14">
        <f>IF(I662=0,"No Flood",IF(I662&lt;=0.5,"Low",IF(I662&lt;=2,"Moderate","High")))</f>
        <v/>
      </c>
    </row>
    <row r="663" ht="15" customHeight="1" s="12">
      <c r="A663" s="14">
        <f>'Raw Data'!A663</f>
        <v/>
      </c>
      <c r="B663" s="14">
        <f>'Raw Data'!B663</f>
        <v/>
      </c>
      <c r="C663" s="14">
        <f>'Raw Data'!C663</f>
        <v/>
      </c>
      <c r="D663" s="15">
        <f>'Raw Data'!M663</f>
        <v/>
      </c>
      <c r="E663" s="18">
        <f>'Raw Data'!M663/'Raw Data'!L663*100</f>
        <v/>
      </c>
      <c r="F663" s="14">
        <f>IF(E663&gt;15,"Wet Year",IF(E663&lt;-15,"Dry Year","Normal Year"))</f>
        <v/>
      </c>
      <c r="G663" s="16">
        <f>'Raw Data'!I663</f>
        <v/>
      </c>
      <c r="H663" s="14">
        <f>IF(G663&lt;15,"Low Variability",IF(G663&lt;=35,"Moderate Variability","High Variability"))</f>
        <v/>
      </c>
      <c r="I663" s="18">
        <f>'Raw Data'!O663</f>
        <v/>
      </c>
      <c r="J663" s="14">
        <f>IF(I663=0,"No Flood",IF(I663&lt;=0.5,"Low",IF(I663&lt;=2,"Moderate","High")))</f>
        <v/>
      </c>
    </row>
    <row r="664" ht="15" customHeight="1" s="12">
      <c r="A664" s="14">
        <f>'Raw Data'!A664</f>
        <v/>
      </c>
      <c r="B664" s="14">
        <f>'Raw Data'!B664</f>
        <v/>
      </c>
      <c r="C664" s="14">
        <f>'Raw Data'!C664</f>
        <v/>
      </c>
      <c r="D664" s="15">
        <f>'Raw Data'!M664</f>
        <v/>
      </c>
      <c r="E664" s="18">
        <f>'Raw Data'!M664/'Raw Data'!L664*100</f>
        <v/>
      </c>
      <c r="F664" s="14">
        <f>IF(E664&gt;15,"Wet Year",IF(E664&lt;-15,"Dry Year","Normal Year"))</f>
        <v/>
      </c>
      <c r="G664" s="16">
        <f>'Raw Data'!I664</f>
        <v/>
      </c>
      <c r="H664" s="14">
        <f>IF(G664&lt;15,"Low Variability",IF(G664&lt;=35,"Moderate Variability","High Variability"))</f>
        <v/>
      </c>
      <c r="I664" s="18">
        <f>'Raw Data'!O664</f>
        <v/>
      </c>
      <c r="J664" s="14">
        <f>IF(I664=0,"No Flood",IF(I664&lt;=0.5,"Low",IF(I664&lt;=2,"Moderate","High")))</f>
        <v/>
      </c>
    </row>
    <row r="665" ht="15" customHeight="1" s="12">
      <c r="A665" s="14">
        <f>'Raw Data'!A665</f>
        <v/>
      </c>
      <c r="B665" s="14">
        <f>'Raw Data'!B665</f>
        <v/>
      </c>
      <c r="C665" s="14">
        <f>'Raw Data'!C665</f>
        <v/>
      </c>
      <c r="D665" s="15">
        <f>'Raw Data'!M665</f>
        <v/>
      </c>
      <c r="E665" s="18">
        <f>'Raw Data'!M665/'Raw Data'!L665*100</f>
        <v/>
      </c>
      <c r="F665" s="14">
        <f>IF(E665&gt;15,"Wet Year",IF(E665&lt;-15,"Dry Year","Normal Year"))</f>
        <v/>
      </c>
      <c r="G665" s="16">
        <f>'Raw Data'!I665</f>
        <v/>
      </c>
      <c r="H665" s="14">
        <f>IF(G665&lt;15,"Low Variability",IF(G665&lt;=35,"Moderate Variability","High Variability"))</f>
        <v/>
      </c>
      <c r="I665" s="18">
        <f>'Raw Data'!O665</f>
        <v/>
      </c>
      <c r="J665" s="14">
        <f>IF(I665=0,"No Flood",IF(I665&lt;=0.5,"Low",IF(I665&lt;=2,"Moderate","High")))</f>
        <v/>
      </c>
    </row>
    <row r="666" ht="15" customHeight="1" s="12">
      <c r="A666" s="14">
        <f>'Raw Data'!A666</f>
        <v/>
      </c>
      <c r="B666" s="14">
        <f>'Raw Data'!B666</f>
        <v/>
      </c>
      <c r="C666" s="14">
        <f>'Raw Data'!C666</f>
        <v/>
      </c>
      <c r="D666" s="15">
        <f>'Raw Data'!M666</f>
        <v/>
      </c>
      <c r="E666" s="18">
        <f>'Raw Data'!M666/'Raw Data'!L666*100</f>
        <v/>
      </c>
      <c r="F666" s="14">
        <f>IF(E666&gt;15,"Wet Year",IF(E666&lt;-15,"Dry Year","Normal Year"))</f>
        <v/>
      </c>
      <c r="G666" s="16">
        <f>'Raw Data'!I666</f>
        <v/>
      </c>
      <c r="H666" s="14">
        <f>IF(G666&lt;15,"Low Variability",IF(G666&lt;=35,"Moderate Variability","High Variability"))</f>
        <v/>
      </c>
      <c r="I666" s="18">
        <f>'Raw Data'!O666</f>
        <v/>
      </c>
      <c r="J666" s="14">
        <f>IF(I666=0,"No Flood",IF(I666&lt;=0.5,"Low",IF(I666&lt;=2,"Moderate","High")))</f>
        <v/>
      </c>
    </row>
    <row r="667" ht="15" customHeight="1" s="12">
      <c r="A667" s="14">
        <f>'Raw Data'!A667</f>
        <v/>
      </c>
      <c r="B667" s="14">
        <f>'Raw Data'!B667</f>
        <v/>
      </c>
      <c r="C667" s="14">
        <f>'Raw Data'!C667</f>
        <v/>
      </c>
      <c r="D667" s="15">
        <f>'Raw Data'!M667</f>
        <v/>
      </c>
      <c r="E667" s="18">
        <f>'Raw Data'!M667/'Raw Data'!L667*100</f>
        <v/>
      </c>
      <c r="F667" s="14">
        <f>IF(E667&gt;15,"Wet Year",IF(E667&lt;-15,"Dry Year","Normal Year"))</f>
        <v/>
      </c>
      <c r="G667" s="16">
        <f>'Raw Data'!I667</f>
        <v/>
      </c>
      <c r="H667" s="14">
        <f>IF(G667&lt;15,"Low Variability",IF(G667&lt;=35,"Moderate Variability","High Variability"))</f>
        <v/>
      </c>
      <c r="I667" s="18">
        <f>'Raw Data'!O667</f>
        <v/>
      </c>
      <c r="J667" s="14">
        <f>IF(I667=0,"No Flood",IF(I667&lt;=0.5,"Low",IF(I667&lt;=2,"Moderate","High")))</f>
        <v/>
      </c>
    </row>
    <row r="668" ht="15" customHeight="1" s="12">
      <c r="A668" s="14">
        <f>'Raw Data'!A668</f>
        <v/>
      </c>
      <c r="B668" s="14">
        <f>'Raw Data'!B668</f>
        <v/>
      </c>
      <c r="C668" s="14">
        <f>'Raw Data'!C668</f>
        <v/>
      </c>
      <c r="D668" s="15">
        <f>'Raw Data'!M668</f>
        <v/>
      </c>
      <c r="E668" s="18">
        <f>'Raw Data'!M668/'Raw Data'!L668*100</f>
        <v/>
      </c>
      <c r="F668" s="14">
        <f>IF(E668&gt;15,"Wet Year",IF(E668&lt;-15,"Dry Year","Normal Year"))</f>
        <v/>
      </c>
      <c r="G668" s="16">
        <f>'Raw Data'!I668</f>
        <v/>
      </c>
      <c r="H668" s="14">
        <f>IF(G668&lt;15,"Low Variability",IF(G668&lt;=35,"Moderate Variability","High Variability"))</f>
        <v/>
      </c>
      <c r="I668" s="18">
        <f>'Raw Data'!O668</f>
        <v/>
      </c>
      <c r="J668" s="14">
        <f>IF(I668=0,"No Flood",IF(I668&lt;=0.5,"Low",IF(I668&lt;=2,"Moderate","High")))</f>
        <v/>
      </c>
    </row>
    <row r="669" ht="15" customHeight="1" s="12">
      <c r="A669" s="14">
        <f>'Raw Data'!A669</f>
        <v/>
      </c>
      <c r="B669" s="14">
        <f>'Raw Data'!B669</f>
        <v/>
      </c>
      <c r="C669" s="14">
        <f>'Raw Data'!C669</f>
        <v/>
      </c>
      <c r="D669" s="15">
        <f>'Raw Data'!M669</f>
        <v/>
      </c>
      <c r="E669" s="18">
        <f>'Raw Data'!M669/'Raw Data'!L669*100</f>
        <v/>
      </c>
      <c r="F669" s="14">
        <f>IF(E669&gt;15,"Wet Year",IF(E669&lt;-15,"Dry Year","Normal Year"))</f>
        <v/>
      </c>
      <c r="G669" s="16">
        <f>'Raw Data'!I669</f>
        <v/>
      </c>
      <c r="H669" s="14">
        <f>IF(G669&lt;15,"Low Variability",IF(G669&lt;=35,"Moderate Variability","High Variability"))</f>
        <v/>
      </c>
      <c r="I669" s="18">
        <f>'Raw Data'!O669</f>
        <v/>
      </c>
      <c r="J669" s="14">
        <f>IF(I669=0,"No Flood",IF(I669&lt;=0.5,"Low",IF(I669&lt;=2,"Moderate","High")))</f>
        <v/>
      </c>
    </row>
    <row r="670" ht="15" customHeight="1" s="12">
      <c r="A670" s="14">
        <f>'Raw Data'!A670</f>
        <v/>
      </c>
      <c r="B670" s="14">
        <f>'Raw Data'!B670</f>
        <v/>
      </c>
      <c r="C670" s="14">
        <f>'Raw Data'!C670</f>
        <v/>
      </c>
      <c r="D670" s="15">
        <f>'Raw Data'!M670</f>
        <v/>
      </c>
      <c r="E670" s="18">
        <f>'Raw Data'!M670/'Raw Data'!L670*100</f>
        <v/>
      </c>
      <c r="F670" s="14">
        <f>IF(E670&gt;15,"Wet Year",IF(E670&lt;-15,"Dry Year","Normal Year"))</f>
        <v/>
      </c>
      <c r="G670" s="16">
        <f>'Raw Data'!I670</f>
        <v/>
      </c>
      <c r="H670" s="14">
        <f>IF(G670&lt;15,"Low Variability",IF(G670&lt;=35,"Moderate Variability","High Variability"))</f>
        <v/>
      </c>
      <c r="I670" s="18">
        <f>'Raw Data'!O670</f>
        <v/>
      </c>
      <c r="J670" s="14">
        <f>IF(I670=0,"No Flood",IF(I670&lt;=0.5,"Low",IF(I670&lt;=2,"Moderate","High")))</f>
        <v/>
      </c>
    </row>
    <row r="671" ht="15" customHeight="1" s="12">
      <c r="A671" s="14">
        <f>'Raw Data'!A671</f>
        <v/>
      </c>
      <c r="B671" s="14">
        <f>'Raw Data'!B671</f>
        <v/>
      </c>
      <c r="C671" s="14">
        <f>'Raw Data'!C671</f>
        <v/>
      </c>
      <c r="D671" s="15">
        <f>'Raw Data'!M671</f>
        <v/>
      </c>
      <c r="E671" s="18">
        <f>'Raw Data'!M671/'Raw Data'!L671*100</f>
        <v/>
      </c>
      <c r="F671" s="14">
        <f>IF(E671&gt;15,"Wet Year",IF(E671&lt;-15,"Dry Year","Normal Year"))</f>
        <v/>
      </c>
      <c r="G671" s="16">
        <f>'Raw Data'!I671</f>
        <v/>
      </c>
      <c r="H671" s="14">
        <f>IF(G671&lt;15,"Low Variability",IF(G671&lt;=35,"Moderate Variability","High Variability"))</f>
        <v/>
      </c>
      <c r="I671" s="18">
        <f>'Raw Data'!O671</f>
        <v/>
      </c>
      <c r="J671" s="14">
        <f>IF(I671=0,"No Flood",IF(I671&lt;=0.5,"Low",IF(I671&lt;=2,"Moderate","High")))</f>
        <v/>
      </c>
    </row>
    <row r="672" ht="15" customHeight="1" s="12">
      <c r="A672" s="14">
        <f>'Raw Data'!A672</f>
        <v/>
      </c>
      <c r="B672" s="14">
        <f>'Raw Data'!B672</f>
        <v/>
      </c>
      <c r="C672" s="14">
        <f>'Raw Data'!C672</f>
        <v/>
      </c>
      <c r="D672" s="15">
        <f>'Raw Data'!M672</f>
        <v/>
      </c>
      <c r="E672" s="18">
        <f>'Raw Data'!M672/'Raw Data'!L672*100</f>
        <v/>
      </c>
      <c r="F672" s="14">
        <f>IF(E672&gt;15,"Wet Year",IF(E672&lt;-15,"Dry Year","Normal Year"))</f>
        <v/>
      </c>
      <c r="G672" s="16">
        <f>'Raw Data'!I672</f>
        <v/>
      </c>
      <c r="H672" s="14">
        <f>IF(G672&lt;15,"Low Variability",IF(G672&lt;=35,"Moderate Variability","High Variability"))</f>
        <v/>
      </c>
      <c r="I672" s="18">
        <f>'Raw Data'!O672</f>
        <v/>
      </c>
      <c r="J672" s="14">
        <f>IF(I672=0,"No Flood",IF(I672&lt;=0.5,"Low",IF(I672&lt;=2,"Moderate","High")))</f>
        <v/>
      </c>
    </row>
    <row r="673" ht="15" customHeight="1" s="12">
      <c r="A673" s="14">
        <f>'Raw Data'!A673</f>
        <v/>
      </c>
      <c r="B673" s="14">
        <f>'Raw Data'!B673</f>
        <v/>
      </c>
      <c r="C673" s="14">
        <f>'Raw Data'!C673</f>
        <v/>
      </c>
      <c r="D673" s="15">
        <f>'Raw Data'!M673</f>
        <v/>
      </c>
      <c r="E673" s="18">
        <f>'Raw Data'!M673/'Raw Data'!L673*100</f>
        <v/>
      </c>
      <c r="F673" s="14">
        <f>IF(E673&gt;15,"Wet Year",IF(E673&lt;-15,"Dry Year","Normal Year"))</f>
        <v/>
      </c>
      <c r="G673" s="16">
        <f>'Raw Data'!I673</f>
        <v/>
      </c>
      <c r="H673" s="14">
        <f>IF(G673&lt;15,"Low Variability",IF(G673&lt;=35,"Moderate Variability","High Variability"))</f>
        <v/>
      </c>
      <c r="I673" s="18">
        <f>'Raw Data'!O673</f>
        <v/>
      </c>
      <c r="J673" s="14">
        <f>IF(I673=0,"No Flood",IF(I673&lt;=0.5,"Low",IF(I673&lt;=2,"Moderate","High")))</f>
        <v/>
      </c>
    </row>
    <row r="674" ht="15" customHeight="1" s="12">
      <c r="A674" s="14">
        <f>'Raw Data'!A674</f>
        <v/>
      </c>
      <c r="B674" s="14">
        <f>'Raw Data'!B674</f>
        <v/>
      </c>
      <c r="C674" s="14">
        <f>'Raw Data'!C674</f>
        <v/>
      </c>
      <c r="D674" s="15">
        <f>'Raw Data'!M674</f>
        <v/>
      </c>
      <c r="E674" s="18">
        <f>'Raw Data'!M674/'Raw Data'!L674*100</f>
        <v/>
      </c>
      <c r="F674" s="14">
        <f>IF(E674&gt;15,"Wet Year",IF(E674&lt;-15,"Dry Year","Normal Year"))</f>
        <v/>
      </c>
      <c r="G674" s="16">
        <f>'Raw Data'!I674</f>
        <v/>
      </c>
      <c r="H674" s="14">
        <f>IF(G674&lt;15,"Low Variability",IF(G674&lt;=35,"Moderate Variability","High Variability"))</f>
        <v/>
      </c>
      <c r="I674" s="18">
        <f>'Raw Data'!O674</f>
        <v/>
      </c>
      <c r="J674" s="14">
        <f>IF(I674=0,"No Flood",IF(I674&lt;=0.5,"Low",IF(I674&lt;=2,"Moderate","High")))</f>
        <v/>
      </c>
    </row>
    <row r="675" ht="15" customHeight="1" s="12">
      <c r="A675" s="14">
        <f>'Raw Data'!A675</f>
        <v/>
      </c>
      <c r="B675" s="14">
        <f>'Raw Data'!B675</f>
        <v/>
      </c>
      <c r="C675" s="14">
        <f>'Raw Data'!C675</f>
        <v/>
      </c>
      <c r="D675" s="15">
        <f>'Raw Data'!M675</f>
        <v/>
      </c>
      <c r="E675" s="18">
        <f>'Raw Data'!M675/'Raw Data'!L675*100</f>
        <v/>
      </c>
      <c r="F675" s="14">
        <f>IF(E675&gt;15,"Wet Year",IF(E675&lt;-15,"Dry Year","Normal Year"))</f>
        <v/>
      </c>
      <c r="G675" s="16">
        <f>'Raw Data'!I675</f>
        <v/>
      </c>
      <c r="H675" s="14">
        <f>IF(G675&lt;15,"Low Variability",IF(G675&lt;=35,"Moderate Variability","High Variability"))</f>
        <v/>
      </c>
      <c r="I675" s="18">
        <f>'Raw Data'!O675</f>
        <v/>
      </c>
      <c r="J675" s="14">
        <f>IF(I675=0,"No Flood",IF(I675&lt;=0.5,"Low",IF(I675&lt;=2,"Moderate","High")))</f>
        <v/>
      </c>
    </row>
    <row r="676" ht="15" customHeight="1" s="12">
      <c r="A676" s="14">
        <f>'Raw Data'!A676</f>
        <v/>
      </c>
      <c r="B676" s="14">
        <f>'Raw Data'!B676</f>
        <v/>
      </c>
      <c r="C676" s="14">
        <f>'Raw Data'!C676</f>
        <v/>
      </c>
      <c r="D676" s="15">
        <f>'Raw Data'!M676</f>
        <v/>
      </c>
      <c r="E676" s="18">
        <f>'Raw Data'!M676/'Raw Data'!L676*100</f>
        <v/>
      </c>
      <c r="F676" s="14">
        <f>IF(E676&gt;15,"Wet Year",IF(E676&lt;-15,"Dry Year","Normal Year"))</f>
        <v/>
      </c>
      <c r="G676" s="16">
        <f>'Raw Data'!I676</f>
        <v/>
      </c>
      <c r="H676" s="14">
        <f>IF(G676&lt;15,"Low Variability",IF(G676&lt;=35,"Moderate Variability","High Variability"))</f>
        <v/>
      </c>
      <c r="I676" s="18">
        <f>'Raw Data'!O676</f>
        <v/>
      </c>
      <c r="J676" s="14">
        <f>IF(I676=0,"No Flood",IF(I676&lt;=0.5,"Low",IF(I676&lt;=2,"Moderate","High")))</f>
        <v/>
      </c>
    </row>
    <row r="677" ht="15" customHeight="1" s="12">
      <c r="A677" s="14">
        <f>'Raw Data'!A677</f>
        <v/>
      </c>
      <c r="B677" s="14">
        <f>'Raw Data'!B677</f>
        <v/>
      </c>
      <c r="C677" s="14">
        <f>'Raw Data'!C677</f>
        <v/>
      </c>
      <c r="D677" s="15">
        <f>'Raw Data'!M677</f>
        <v/>
      </c>
      <c r="E677" s="18">
        <f>'Raw Data'!M677/'Raw Data'!L677*100</f>
        <v/>
      </c>
      <c r="F677" s="14">
        <f>IF(E677&gt;15,"Wet Year",IF(E677&lt;-15,"Dry Year","Normal Year"))</f>
        <v/>
      </c>
      <c r="G677" s="16">
        <f>'Raw Data'!I677</f>
        <v/>
      </c>
      <c r="H677" s="14">
        <f>IF(G677&lt;15,"Low Variability",IF(G677&lt;=35,"Moderate Variability","High Variability"))</f>
        <v/>
      </c>
      <c r="I677" s="18">
        <f>'Raw Data'!O677</f>
        <v/>
      </c>
      <c r="J677" s="14">
        <f>IF(I677=0,"No Flood",IF(I677&lt;=0.5,"Low",IF(I677&lt;=2,"Moderate","High")))</f>
        <v/>
      </c>
    </row>
    <row r="678" ht="15" customHeight="1" s="12">
      <c r="A678" s="14">
        <f>'Raw Data'!A678</f>
        <v/>
      </c>
      <c r="B678" s="14">
        <f>'Raw Data'!B678</f>
        <v/>
      </c>
      <c r="C678" s="14">
        <f>'Raw Data'!C678</f>
        <v/>
      </c>
      <c r="D678" s="15">
        <f>'Raw Data'!M678</f>
        <v/>
      </c>
      <c r="E678" s="18">
        <f>'Raw Data'!M678/'Raw Data'!L678*100</f>
        <v/>
      </c>
      <c r="F678" s="14">
        <f>IF(E678&gt;15,"Wet Year",IF(E678&lt;-15,"Dry Year","Normal Year"))</f>
        <v/>
      </c>
      <c r="G678" s="16">
        <f>'Raw Data'!I678</f>
        <v/>
      </c>
      <c r="H678" s="14">
        <f>IF(G678&lt;15,"Low Variability",IF(G678&lt;=35,"Moderate Variability","High Variability"))</f>
        <v/>
      </c>
      <c r="I678" s="18">
        <f>'Raw Data'!O678</f>
        <v/>
      </c>
      <c r="J678" s="14">
        <f>IF(I678=0,"No Flood",IF(I678&lt;=0.5,"Low",IF(I678&lt;=2,"Moderate","High")))</f>
        <v/>
      </c>
    </row>
    <row r="679" ht="15" customHeight="1" s="12">
      <c r="A679" s="14">
        <f>'Raw Data'!A679</f>
        <v/>
      </c>
      <c r="B679" s="14">
        <f>'Raw Data'!B679</f>
        <v/>
      </c>
      <c r="C679" s="14">
        <f>'Raw Data'!C679</f>
        <v/>
      </c>
      <c r="D679" s="15">
        <f>'Raw Data'!M679</f>
        <v/>
      </c>
      <c r="E679" s="18">
        <f>'Raw Data'!M679/'Raw Data'!L679*100</f>
        <v/>
      </c>
      <c r="F679" s="14">
        <f>IF(E679&gt;15,"Wet Year",IF(E679&lt;-15,"Dry Year","Normal Year"))</f>
        <v/>
      </c>
      <c r="G679" s="16">
        <f>'Raw Data'!I679</f>
        <v/>
      </c>
      <c r="H679" s="14">
        <f>IF(G679&lt;15,"Low Variability",IF(G679&lt;=35,"Moderate Variability","High Variability"))</f>
        <v/>
      </c>
      <c r="I679" s="18">
        <f>'Raw Data'!O679</f>
        <v/>
      </c>
      <c r="J679" s="14">
        <f>IF(I679=0,"No Flood",IF(I679&lt;=0.5,"Low",IF(I679&lt;=2,"Moderate","High")))</f>
        <v/>
      </c>
    </row>
    <row r="680" ht="15" customHeight="1" s="12">
      <c r="A680" s="14">
        <f>'Raw Data'!A680</f>
        <v/>
      </c>
      <c r="B680" s="14">
        <f>'Raw Data'!B680</f>
        <v/>
      </c>
      <c r="C680" s="14">
        <f>'Raw Data'!C680</f>
        <v/>
      </c>
      <c r="D680" s="15">
        <f>'Raw Data'!M680</f>
        <v/>
      </c>
      <c r="E680" s="18">
        <f>'Raw Data'!M680/'Raw Data'!L680*100</f>
        <v/>
      </c>
      <c r="F680" s="14">
        <f>IF(E680&gt;15,"Wet Year",IF(E680&lt;-15,"Dry Year","Normal Year"))</f>
        <v/>
      </c>
      <c r="G680" s="16">
        <f>'Raw Data'!I680</f>
        <v/>
      </c>
      <c r="H680" s="14">
        <f>IF(G680&lt;15,"Low Variability",IF(G680&lt;=35,"Moderate Variability","High Variability"))</f>
        <v/>
      </c>
      <c r="I680" s="18">
        <f>'Raw Data'!O680</f>
        <v/>
      </c>
      <c r="J680" s="14">
        <f>IF(I680=0,"No Flood",IF(I680&lt;=0.5,"Low",IF(I680&lt;=2,"Moderate","High")))</f>
        <v/>
      </c>
    </row>
    <row r="681" ht="15" customHeight="1" s="12">
      <c r="A681" s="14">
        <f>'Raw Data'!A681</f>
        <v/>
      </c>
      <c r="B681" s="14">
        <f>'Raw Data'!B681</f>
        <v/>
      </c>
      <c r="C681" s="14">
        <f>'Raw Data'!C681</f>
        <v/>
      </c>
      <c r="D681" s="15">
        <f>'Raw Data'!M681</f>
        <v/>
      </c>
      <c r="E681" s="18">
        <f>'Raw Data'!M681/'Raw Data'!L681*100</f>
        <v/>
      </c>
      <c r="F681" s="14">
        <f>IF(E681&gt;15,"Wet Year",IF(E681&lt;-15,"Dry Year","Normal Year"))</f>
        <v/>
      </c>
      <c r="G681" s="16">
        <f>'Raw Data'!I681</f>
        <v/>
      </c>
      <c r="H681" s="14">
        <f>IF(G681&lt;15,"Low Variability",IF(G681&lt;=35,"Moderate Variability","High Variability"))</f>
        <v/>
      </c>
      <c r="I681" s="18">
        <f>'Raw Data'!O681</f>
        <v/>
      </c>
      <c r="J681" s="14">
        <f>IF(I681=0,"No Flood",IF(I681&lt;=0.5,"Low",IF(I681&lt;=2,"Moderate","High")))</f>
        <v/>
      </c>
    </row>
    <row r="682" ht="15" customHeight="1" s="12">
      <c r="A682" s="14">
        <f>'Raw Data'!A682</f>
        <v/>
      </c>
      <c r="B682" s="14">
        <f>'Raw Data'!B682</f>
        <v/>
      </c>
      <c r="C682" s="14">
        <f>'Raw Data'!C682</f>
        <v/>
      </c>
      <c r="D682" s="15">
        <f>'Raw Data'!M682</f>
        <v/>
      </c>
      <c r="E682" s="18">
        <f>'Raw Data'!M682/'Raw Data'!L682*100</f>
        <v/>
      </c>
      <c r="F682" s="14">
        <f>IF(E682&gt;15,"Wet Year",IF(E682&lt;-15,"Dry Year","Normal Year"))</f>
        <v/>
      </c>
      <c r="G682" s="16">
        <f>'Raw Data'!I682</f>
        <v/>
      </c>
      <c r="H682" s="14">
        <f>IF(G682&lt;15,"Low Variability",IF(G682&lt;=35,"Moderate Variability","High Variability"))</f>
        <v/>
      </c>
      <c r="I682" s="18">
        <f>'Raw Data'!O682</f>
        <v/>
      </c>
      <c r="J682" s="14">
        <f>IF(I682=0,"No Flood",IF(I682&lt;=0.5,"Low",IF(I682&lt;=2,"Moderate","High")))</f>
        <v/>
      </c>
    </row>
    <row r="683" ht="15" customHeight="1" s="12">
      <c r="A683" s="14">
        <f>'Raw Data'!A683</f>
        <v/>
      </c>
      <c r="B683" s="14">
        <f>'Raw Data'!B683</f>
        <v/>
      </c>
      <c r="C683" s="14">
        <f>'Raw Data'!C683</f>
        <v/>
      </c>
      <c r="D683" s="15">
        <f>'Raw Data'!M683</f>
        <v/>
      </c>
      <c r="E683" s="18">
        <f>'Raw Data'!M683/'Raw Data'!L683*100</f>
        <v/>
      </c>
      <c r="F683" s="14">
        <f>IF(E683&gt;15,"Wet Year",IF(E683&lt;-15,"Dry Year","Normal Year"))</f>
        <v/>
      </c>
      <c r="G683" s="16">
        <f>'Raw Data'!I683</f>
        <v/>
      </c>
      <c r="H683" s="14">
        <f>IF(G683&lt;15,"Low Variability",IF(G683&lt;=35,"Moderate Variability","High Variability"))</f>
        <v/>
      </c>
      <c r="I683" s="18">
        <f>'Raw Data'!O683</f>
        <v/>
      </c>
      <c r="J683" s="14">
        <f>IF(I683=0,"No Flood",IF(I683&lt;=0.5,"Low",IF(I683&lt;=2,"Moderate","High")))</f>
        <v/>
      </c>
    </row>
    <row r="684" ht="15" customHeight="1" s="12">
      <c r="A684" s="14">
        <f>'Raw Data'!A684</f>
        <v/>
      </c>
      <c r="B684" s="14">
        <f>'Raw Data'!B684</f>
        <v/>
      </c>
      <c r="C684" s="14">
        <f>'Raw Data'!C684</f>
        <v/>
      </c>
      <c r="D684" s="15">
        <f>'Raw Data'!M684</f>
        <v/>
      </c>
      <c r="E684" s="18">
        <f>'Raw Data'!M684/'Raw Data'!L684*100</f>
        <v/>
      </c>
      <c r="F684" s="14">
        <f>IF(E684&gt;15,"Wet Year",IF(E684&lt;-15,"Dry Year","Normal Year"))</f>
        <v/>
      </c>
      <c r="G684" s="16">
        <f>'Raw Data'!I684</f>
        <v/>
      </c>
      <c r="H684" s="14">
        <f>IF(G684&lt;15,"Low Variability",IF(G684&lt;=35,"Moderate Variability","High Variability"))</f>
        <v/>
      </c>
      <c r="I684" s="18">
        <f>'Raw Data'!O684</f>
        <v/>
      </c>
      <c r="J684" s="14">
        <f>IF(I684=0,"No Flood",IF(I684&lt;=0.5,"Low",IF(I684&lt;=2,"Moderate","High")))</f>
        <v/>
      </c>
    </row>
    <row r="685" ht="15" customHeight="1" s="12">
      <c r="A685" s="14">
        <f>'Raw Data'!A685</f>
        <v/>
      </c>
      <c r="B685" s="14">
        <f>'Raw Data'!B685</f>
        <v/>
      </c>
      <c r="C685" s="14">
        <f>'Raw Data'!C685</f>
        <v/>
      </c>
      <c r="D685" s="15">
        <f>'Raw Data'!M685</f>
        <v/>
      </c>
      <c r="E685" s="18">
        <f>'Raw Data'!M685/'Raw Data'!L685*100</f>
        <v/>
      </c>
      <c r="F685" s="14">
        <f>IF(E685&gt;15,"Wet Year",IF(E685&lt;-15,"Dry Year","Normal Year"))</f>
        <v/>
      </c>
      <c r="G685" s="16">
        <f>'Raw Data'!I685</f>
        <v/>
      </c>
      <c r="H685" s="14">
        <f>IF(G685&lt;15,"Low Variability",IF(G685&lt;=35,"Moderate Variability","High Variability"))</f>
        <v/>
      </c>
      <c r="I685" s="18">
        <f>'Raw Data'!O685</f>
        <v/>
      </c>
      <c r="J685" s="14">
        <f>IF(I685=0,"No Flood",IF(I685&lt;=0.5,"Low",IF(I685&lt;=2,"Moderate","High")))</f>
        <v/>
      </c>
    </row>
    <row r="686" ht="15" customHeight="1" s="12">
      <c r="A686" s="14">
        <f>'Raw Data'!A686</f>
        <v/>
      </c>
      <c r="B686" s="14">
        <f>'Raw Data'!B686</f>
        <v/>
      </c>
      <c r="C686" s="14">
        <f>'Raw Data'!C686</f>
        <v/>
      </c>
      <c r="D686" s="15">
        <f>'Raw Data'!M686</f>
        <v/>
      </c>
      <c r="E686" s="18">
        <f>'Raw Data'!M686/'Raw Data'!L686*100</f>
        <v/>
      </c>
      <c r="F686" s="14">
        <f>IF(E686&gt;15,"Wet Year",IF(E686&lt;-15,"Dry Year","Normal Year"))</f>
        <v/>
      </c>
      <c r="G686" s="16">
        <f>'Raw Data'!I686</f>
        <v/>
      </c>
      <c r="H686" s="14">
        <f>IF(G686&lt;15,"Low Variability",IF(G686&lt;=35,"Moderate Variability","High Variability"))</f>
        <v/>
      </c>
      <c r="I686" s="18">
        <f>'Raw Data'!O686</f>
        <v/>
      </c>
      <c r="J686" s="14">
        <f>IF(I686=0,"No Flood",IF(I686&lt;=0.5,"Low",IF(I686&lt;=2,"Moderate","High")))</f>
        <v/>
      </c>
    </row>
    <row r="687" ht="15" customHeight="1" s="12">
      <c r="A687" s="14">
        <f>'Raw Data'!A687</f>
        <v/>
      </c>
      <c r="B687" s="14">
        <f>'Raw Data'!B687</f>
        <v/>
      </c>
      <c r="C687" s="14">
        <f>'Raw Data'!C687</f>
        <v/>
      </c>
      <c r="D687" s="15">
        <f>'Raw Data'!M687</f>
        <v/>
      </c>
      <c r="E687" s="18">
        <f>'Raw Data'!M687/'Raw Data'!L687*100</f>
        <v/>
      </c>
      <c r="F687" s="14">
        <f>IF(E687&gt;15,"Wet Year",IF(E687&lt;-15,"Dry Year","Normal Year"))</f>
        <v/>
      </c>
      <c r="G687" s="16">
        <f>'Raw Data'!I687</f>
        <v/>
      </c>
      <c r="H687" s="14">
        <f>IF(G687&lt;15,"Low Variability",IF(G687&lt;=35,"Moderate Variability","High Variability"))</f>
        <v/>
      </c>
      <c r="I687" s="18">
        <f>'Raw Data'!O687</f>
        <v/>
      </c>
      <c r="J687" s="14">
        <f>IF(I687=0,"No Flood",IF(I687&lt;=0.5,"Low",IF(I687&lt;=2,"Moderate","High")))</f>
        <v/>
      </c>
    </row>
    <row r="688" ht="15" customHeight="1" s="12">
      <c r="A688" s="14">
        <f>'Raw Data'!A688</f>
        <v/>
      </c>
      <c r="B688" s="14">
        <f>'Raw Data'!B688</f>
        <v/>
      </c>
      <c r="C688" s="14">
        <f>'Raw Data'!C688</f>
        <v/>
      </c>
      <c r="D688" s="15">
        <f>'Raw Data'!M688</f>
        <v/>
      </c>
      <c r="E688" s="18">
        <f>'Raw Data'!M688/'Raw Data'!L688*100</f>
        <v/>
      </c>
      <c r="F688" s="14">
        <f>IF(E688&gt;15,"Wet Year",IF(E688&lt;-15,"Dry Year","Normal Year"))</f>
        <v/>
      </c>
      <c r="G688" s="16">
        <f>'Raw Data'!I688</f>
        <v/>
      </c>
      <c r="H688" s="14">
        <f>IF(G688&lt;15,"Low Variability",IF(G688&lt;=35,"Moderate Variability","High Variability"))</f>
        <v/>
      </c>
      <c r="I688" s="18">
        <f>'Raw Data'!O688</f>
        <v/>
      </c>
      <c r="J688" s="14">
        <f>IF(I688=0,"No Flood",IF(I688&lt;=0.5,"Low",IF(I688&lt;=2,"Moderate","High")))</f>
        <v/>
      </c>
    </row>
    <row r="689" ht="15" customHeight="1" s="12">
      <c r="A689" s="14">
        <f>'Raw Data'!A689</f>
        <v/>
      </c>
      <c r="B689" s="14">
        <f>'Raw Data'!B689</f>
        <v/>
      </c>
      <c r="C689" s="14">
        <f>'Raw Data'!C689</f>
        <v/>
      </c>
      <c r="D689" s="15">
        <f>'Raw Data'!M689</f>
        <v/>
      </c>
      <c r="E689" s="18">
        <f>'Raw Data'!M689/'Raw Data'!L689*100</f>
        <v/>
      </c>
      <c r="F689" s="14">
        <f>IF(E689&gt;15,"Wet Year",IF(E689&lt;-15,"Dry Year","Normal Year"))</f>
        <v/>
      </c>
      <c r="G689" s="16">
        <f>'Raw Data'!I689</f>
        <v/>
      </c>
      <c r="H689" s="14">
        <f>IF(G689&lt;15,"Low Variability",IF(G689&lt;=35,"Moderate Variability","High Variability"))</f>
        <v/>
      </c>
      <c r="I689" s="18">
        <f>'Raw Data'!O689</f>
        <v/>
      </c>
      <c r="J689" s="14">
        <f>IF(I689=0,"No Flood",IF(I689&lt;=0.5,"Low",IF(I689&lt;=2,"Moderate","High")))</f>
        <v/>
      </c>
    </row>
    <row r="690" ht="15" customHeight="1" s="12">
      <c r="A690" s="14">
        <f>'Raw Data'!A690</f>
        <v/>
      </c>
      <c r="B690" s="14">
        <f>'Raw Data'!B690</f>
        <v/>
      </c>
      <c r="C690" s="14">
        <f>'Raw Data'!C690</f>
        <v/>
      </c>
      <c r="D690" s="15">
        <f>'Raw Data'!M690</f>
        <v/>
      </c>
      <c r="E690" s="18">
        <f>'Raw Data'!M690/'Raw Data'!L690*100</f>
        <v/>
      </c>
      <c r="F690" s="14">
        <f>IF(E690&gt;15,"Wet Year",IF(E690&lt;-15,"Dry Year","Normal Year"))</f>
        <v/>
      </c>
      <c r="G690" s="16">
        <f>'Raw Data'!I690</f>
        <v/>
      </c>
      <c r="H690" s="14">
        <f>IF(G690&lt;15,"Low Variability",IF(G690&lt;=35,"Moderate Variability","High Variability"))</f>
        <v/>
      </c>
      <c r="I690" s="18">
        <f>'Raw Data'!O690</f>
        <v/>
      </c>
      <c r="J690" s="14">
        <f>IF(I690=0,"No Flood",IF(I690&lt;=0.5,"Low",IF(I690&lt;=2,"Moderate","High")))</f>
        <v/>
      </c>
    </row>
    <row r="691" ht="15" customHeight="1" s="12">
      <c r="A691" s="14">
        <f>'Raw Data'!A691</f>
        <v/>
      </c>
      <c r="B691" s="14">
        <f>'Raw Data'!B691</f>
        <v/>
      </c>
      <c r="C691" s="14">
        <f>'Raw Data'!C691</f>
        <v/>
      </c>
      <c r="D691" s="15">
        <f>'Raw Data'!M691</f>
        <v/>
      </c>
      <c r="E691" s="18">
        <f>'Raw Data'!M691/'Raw Data'!L691*100</f>
        <v/>
      </c>
      <c r="F691" s="14">
        <f>IF(E691&gt;15,"Wet Year",IF(E691&lt;-15,"Dry Year","Normal Year"))</f>
        <v/>
      </c>
      <c r="G691" s="16">
        <f>'Raw Data'!I691</f>
        <v/>
      </c>
      <c r="H691" s="14">
        <f>IF(G691&lt;15,"Low Variability",IF(G691&lt;=35,"Moderate Variability","High Variability"))</f>
        <v/>
      </c>
      <c r="I691" s="18">
        <f>'Raw Data'!O691</f>
        <v/>
      </c>
      <c r="J691" s="14">
        <f>IF(I691=0,"No Flood",IF(I691&lt;=0.5,"Low",IF(I691&lt;=2,"Moderate","High")))</f>
        <v/>
      </c>
    </row>
    <row r="692" ht="15" customHeight="1" s="12">
      <c r="A692" s="14">
        <f>'Raw Data'!A692</f>
        <v/>
      </c>
      <c r="B692" s="14">
        <f>'Raw Data'!B692</f>
        <v/>
      </c>
      <c r="C692" s="14">
        <f>'Raw Data'!C692</f>
        <v/>
      </c>
      <c r="D692" s="15">
        <f>'Raw Data'!M692</f>
        <v/>
      </c>
      <c r="E692" s="18">
        <f>'Raw Data'!M692/'Raw Data'!L692*100</f>
        <v/>
      </c>
      <c r="F692" s="14">
        <f>IF(E692&gt;15,"Wet Year",IF(E692&lt;-15,"Dry Year","Normal Year"))</f>
        <v/>
      </c>
      <c r="G692" s="16">
        <f>'Raw Data'!I692</f>
        <v/>
      </c>
      <c r="H692" s="14">
        <f>IF(G692&lt;15,"Low Variability",IF(G692&lt;=35,"Moderate Variability","High Variability"))</f>
        <v/>
      </c>
      <c r="I692" s="18">
        <f>'Raw Data'!O692</f>
        <v/>
      </c>
      <c r="J692" s="14">
        <f>IF(I692=0,"No Flood",IF(I692&lt;=0.5,"Low",IF(I692&lt;=2,"Moderate","High")))</f>
        <v/>
      </c>
    </row>
    <row r="693" ht="15" customHeight="1" s="12">
      <c r="A693" s="14">
        <f>'Raw Data'!A693</f>
        <v/>
      </c>
      <c r="B693" s="14">
        <f>'Raw Data'!B693</f>
        <v/>
      </c>
      <c r="C693" s="14">
        <f>'Raw Data'!C693</f>
        <v/>
      </c>
      <c r="D693" s="15">
        <f>'Raw Data'!M693</f>
        <v/>
      </c>
      <c r="E693" s="18">
        <f>'Raw Data'!M693/'Raw Data'!L693*100</f>
        <v/>
      </c>
      <c r="F693" s="14">
        <f>IF(E693&gt;15,"Wet Year",IF(E693&lt;-15,"Dry Year","Normal Year"))</f>
        <v/>
      </c>
      <c r="G693" s="16">
        <f>'Raw Data'!I693</f>
        <v/>
      </c>
      <c r="H693" s="14">
        <f>IF(G693&lt;15,"Low Variability",IF(G693&lt;=35,"Moderate Variability","High Variability"))</f>
        <v/>
      </c>
      <c r="I693" s="18">
        <f>'Raw Data'!O693</f>
        <v/>
      </c>
      <c r="J693" s="14">
        <f>IF(I693=0,"No Flood",IF(I693&lt;=0.5,"Low",IF(I693&lt;=2,"Moderate","High")))</f>
        <v/>
      </c>
    </row>
    <row r="694" ht="15" customHeight="1" s="12">
      <c r="A694" s="14">
        <f>'Raw Data'!A694</f>
        <v/>
      </c>
      <c r="B694" s="14">
        <f>'Raw Data'!B694</f>
        <v/>
      </c>
      <c r="C694" s="14">
        <f>'Raw Data'!C694</f>
        <v/>
      </c>
      <c r="D694" s="15">
        <f>'Raw Data'!M694</f>
        <v/>
      </c>
      <c r="E694" s="18">
        <f>'Raw Data'!M694/'Raw Data'!L694*100</f>
        <v/>
      </c>
      <c r="F694" s="14">
        <f>IF(E694&gt;15,"Wet Year",IF(E694&lt;-15,"Dry Year","Normal Year"))</f>
        <v/>
      </c>
      <c r="G694" s="16">
        <f>'Raw Data'!I694</f>
        <v/>
      </c>
      <c r="H694" s="14">
        <f>IF(G694&lt;15,"Low Variability",IF(G694&lt;=35,"Moderate Variability","High Variability"))</f>
        <v/>
      </c>
      <c r="I694" s="18">
        <f>'Raw Data'!O694</f>
        <v/>
      </c>
      <c r="J694" s="14">
        <f>IF(I694=0,"No Flood",IF(I694&lt;=0.5,"Low",IF(I694&lt;=2,"Moderate","High")))</f>
        <v/>
      </c>
    </row>
    <row r="695" ht="15" customHeight="1" s="12">
      <c r="A695" s="14">
        <f>'Raw Data'!A695</f>
        <v/>
      </c>
      <c r="B695" s="14">
        <f>'Raw Data'!B695</f>
        <v/>
      </c>
      <c r="C695" s="14">
        <f>'Raw Data'!C695</f>
        <v/>
      </c>
      <c r="D695" s="15">
        <f>'Raw Data'!M695</f>
        <v/>
      </c>
      <c r="E695" s="18">
        <f>'Raw Data'!M695/'Raw Data'!L695*100</f>
        <v/>
      </c>
      <c r="F695" s="14">
        <f>IF(E695&gt;15,"Wet Year",IF(E695&lt;-15,"Dry Year","Normal Year"))</f>
        <v/>
      </c>
      <c r="G695" s="16">
        <f>'Raw Data'!I695</f>
        <v/>
      </c>
      <c r="H695" s="14">
        <f>IF(G695&lt;15,"Low Variability",IF(G695&lt;=35,"Moderate Variability","High Variability"))</f>
        <v/>
      </c>
      <c r="I695" s="18">
        <f>'Raw Data'!O695</f>
        <v/>
      </c>
      <c r="J695" s="14">
        <f>IF(I695=0,"No Flood",IF(I695&lt;=0.5,"Low",IF(I695&lt;=2,"Moderate","High")))</f>
        <v/>
      </c>
    </row>
    <row r="696" ht="15" customHeight="1" s="12">
      <c r="A696" s="14">
        <f>'Raw Data'!A696</f>
        <v/>
      </c>
      <c r="B696" s="14">
        <f>'Raw Data'!B696</f>
        <v/>
      </c>
      <c r="C696" s="14">
        <f>'Raw Data'!C696</f>
        <v/>
      </c>
      <c r="D696" s="15">
        <f>'Raw Data'!M696</f>
        <v/>
      </c>
      <c r="E696" s="18">
        <f>'Raw Data'!M696/'Raw Data'!L696*100</f>
        <v/>
      </c>
      <c r="F696" s="14">
        <f>IF(E696&gt;15,"Wet Year",IF(E696&lt;-15,"Dry Year","Normal Year"))</f>
        <v/>
      </c>
      <c r="G696" s="16">
        <f>'Raw Data'!I696</f>
        <v/>
      </c>
      <c r="H696" s="14">
        <f>IF(G696&lt;15,"Low Variability",IF(G696&lt;=35,"Moderate Variability","High Variability"))</f>
        <v/>
      </c>
      <c r="I696" s="18">
        <f>'Raw Data'!O696</f>
        <v/>
      </c>
      <c r="J696" s="14">
        <f>IF(I696=0,"No Flood",IF(I696&lt;=0.5,"Low",IF(I696&lt;=2,"Moderate","High")))</f>
        <v/>
      </c>
    </row>
    <row r="697" ht="15" customHeight="1" s="12">
      <c r="A697" s="14">
        <f>'Raw Data'!A697</f>
        <v/>
      </c>
      <c r="B697" s="14">
        <f>'Raw Data'!B697</f>
        <v/>
      </c>
      <c r="C697" s="14">
        <f>'Raw Data'!C697</f>
        <v/>
      </c>
      <c r="D697" s="15">
        <f>'Raw Data'!M697</f>
        <v/>
      </c>
      <c r="E697" s="18">
        <f>'Raw Data'!M697/'Raw Data'!L697*100</f>
        <v/>
      </c>
      <c r="F697" s="14">
        <f>IF(E697&gt;15,"Wet Year",IF(E697&lt;-15,"Dry Year","Normal Year"))</f>
        <v/>
      </c>
      <c r="G697" s="16">
        <f>'Raw Data'!I697</f>
        <v/>
      </c>
      <c r="H697" s="14">
        <f>IF(G697&lt;15,"Low Variability",IF(G697&lt;=35,"Moderate Variability","High Variability"))</f>
        <v/>
      </c>
      <c r="I697" s="18">
        <f>'Raw Data'!O697</f>
        <v/>
      </c>
      <c r="J697" s="14">
        <f>IF(I697=0,"No Flood",IF(I697&lt;=0.5,"Low",IF(I697&lt;=2,"Moderate","High")))</f>
        <v/>
      </c>
    </row>
    <row r="698" ht="15" customHeight="1" s="12">
      <c r="A698" s="14">
        <f>'Raw Data'!A698</f>
        <v/>
      </c>
      <c r="B698" s="14">
        <f>'Raw Data'!B698</f>
        <v/>
      </c>
      <c r="C698" s="14">
        <f>'Raw Data'!C698</f>
        <v/>
      </c>
      <c r="D698" s="15">
        <f>'Raw Data'!M698</f>
        <v/>
      </c>
      <c r="E698" s="18">
        <f>'Raw Data'!M698/'Raw Data'!L698*100</f>
        <v/>
      </c>
      <c r="F698" s="14">
        <f>IF(E698&gt;15,"Wet Year",IF(E698&lt;-15,"Dry Year","Normal Year"))</f>
        <v/>
      </c>
      <c r="G698" s="16">
        <f>'Raw Data'!I698</f>
        <v/>
      </c>
      <c r="H698" s="14">
        <f>IF(G698&lt;15,"Low Variability",IF(G698&lt;=35,"Moderate Variability","High Variability"))</f>
        <v/>
      </c>
      <c r="I698" s="18">
        <f>'Raw Data'!O698</f>
        <v/>
      </c>
      <c r="J698" s="14">
        <f>IF(I698=0,"No Flood",IF(I698&lt;=0.5,"Low",IF(I698&lt;=2,"Moderate","High")))</f>
        <v/>
      </c>
    </row>
    <row r="699" ht="15" customHeight="1" s="12">
      <c r="A699" s="14">
        <f>'Raw Data'!A699</f>
        <v/>
      </c>
      <c r="B699" s="14">
        <f>'Raw Data'!B699</f>
        <v/>
      </c>
      <c r="C699" s="14">
        <f>'Raw Data'!C699</f>
        <v/>
      </c>
      <c r="D699" s="15">
        <f>'Raw Data'!M699</f>
        <v/>
      </c>
      <c r="E699" s="18">
        <f>'Raw Data'!M699/'Raw Data'!L699*100</f>
        <v/>
      </c>
      <c r="F699" s="14">
        <f>IF(E699&gt;15,"Wet Year",IF(E699&lt;-15,"Dry Year","Normal Year"))</f>
        <v/>
      </c>
      <c r="G699" s="16">
        <f>'Raw Data'!I699</f>
        <v/>
      </c>
      <c r="H699" s="14">
        <f>IF(G699&lt;15,"Low Variability",IF(G699&lt;=35,"Moderate Variability","High Variability"))</f>
        <v/>
      </c>
      <c r="I699" s="18">
        <f>'Raw Data'!O699</f>
        <v/>
      </c>
      <c r="J699" s="14">
        <f>IF(I699=0,"No Flood",IF(I699&lt;=0.5,"Low",IF(I699&lt;=2,"Moderate","High")))</f>
        <v/>
      </c>
    </row>
    <row r="700" ht="15" customHeight="1" s="12">
      <c r="A700" s="14">
        <f>'Raw Data'!A700</f>
        <v/>
      </c>
      <c r="B700" s="14">
        <f>'Raw Data'!B700</f>
        <v/>
      </c>
      <c r="C700" s="14">
        <f>'Raw Data'!C700</f>
        <v/>
      </c>
      <c r="D700" s="15">
        <f>'Raw Data'!M700</f>
        <v/>
      </c>
      <c r="E700" s="18">
        <f>'Raw Data'!M700/'Raw Data'!L700*100</f>
        <v/>
      </c>
      <c r="F700" s="14">
        <f>IF(E700&gt;15,"Wet Year",IF(E700&lt;-15,"Dry Year","Normal Year"))</f>
        <v/>
      </c>
      <c r="G700" s="16">
        <f>'Raw Data'!I700</f>
        <v/>
      </c>
      <c r="H700" s="14">
        <f>IF(G700&lt;15,"Low Variability",IF(G700&lt;=35,"Moderate Variability","High Variability"))</f>
        <v/>
      </c>
      <c r="I700" s="18">
        <f>'Raw Data'!O700</f>
        <v/>
      </c>
      <c r="J700" s="14">
        <f>IF(I700=0,"No Flood",IF(I700&lt;=0.5,"Low",IF(I700&lt;=2,"Moderate","High")))</f>
        <v/>
      </c>
    </row>
    <row r="701" ht="15" customHeight="1" s="12">
      <c r="A701" s="14">
        <f>'Raw Data'!A701</f>
        <v/>
      </c>
      <c r="B701" s="14">
        <f>'Raw Data'!B701</f>
        <v/>
      </c>
      <c r="C701" s="14">
        <f>'Raw Data'!C701</f>
        <v/>
      </c>
      <c r="D701" s="15">
        <f>'Raw Data'!M701</f>
        <v/>
      </c>
      <c r="E701" s="18">
        <f>'Raw Data'!M701/'Raw Data'!L701*100</f>
        <v/>
      </c>
      <c r="F701" s="14">
        <f>IF(E701&gt;15,"Wet Year",IF(E701&lt;-15,"Dry Year","Normal Year"))</f>
        <v/>
      </c>
      <c r="G701" s="16">
        <f>'Raw Data'!I701</f>
        <v/>
      </c>
      <c r="H701" s="14">
        <f>IF(G701&lt;15,"Low Variability",IF(G701&lt;=35,"Moderate Variability","High Variability"))</f>
        <v/>
      </c>
      <c r="I701" s="18">
        <f>'Raw Data'!O701</f>
        <v/>
      </c>
      <c r="J701" s="14">
        <f>IF(I701=0,"No Flood",IF(I701&lt;=0.5,"Low",IF(I701&lt;=2,"Moderate","High")))</f>
        <v/>
      </c>
    </row>
    <row r="702" ht="15" customHeight="1" s="12">
      <c r="A702" s="14">
        <f>'Raw Data'!A702</f>
        <v/>
      </c>
      <c r="B702" s="14">
        <f>'Raw Data'!B702</f>
        <v/>
      </c>
      <c r="C702" s="14">
        <f>'Raw Data'!C702</f>
        <v/>
      </c>
      <c r="D702" s="15">
        <f>'Raw Data'!M702</f>
        <v/>
      </c>
      <c r="E702" s="18">
        <f>'Raw Data'!M702/'Raw Data'!L702*100</f>
        <v/>
      </c>
      <c r="F702" s="14">
        <f>IF(E702&gt;15,"Wet Year",IF(E702&lt;-15,"Dry Year","Normal Year"))</f>
        <v/>
      </c>
      <c r="G702" s="16">
        <f>'Raw Data'!I702</f>
        <v/>
      </c>
      <c r="H702" s="14">
        <f>IF(G702&lt;15,"Low Variability",IF(G702&lt;=35,"Moderate Variability","High Variability"))</f>
        <v/>
      </c>
      <c r="I702" s="18">
        <f>'Raw Data'!O702</f>
        <v/>
      </c>
      <c r="J702" s="14">
        <f>IF(I702=0,"No Flood",IF(I702&lt;=0.5,"Low",IF(I702&lt;=2,"Moderate","High")))</f>
        <v/>
      </c>
    </row>
    <row r="703" ht="15" customHeight="1" s="12">
      <c r="A703" s="14">
        <f>'Raw Data'!A703</f>
        <v/>
      </c>
      <c r="B703" s="14">
        <f>'Raw Data'!B703</f>
        <v/>
      </c>
      <c r="C703" s="14">
        <f>'Raw Data'!C703</f>
        <v/>
      </c>
      <c r="D703" s="15">
        <f>'Raw Data'!M703</f>
        <v/>
      </c>
      <c r="E703" s="18">
        <f>'Raw Data'!M703/'Raw Data'!L703*100</f>
        <v/>
      </c>
      <c r="F703" s="14">
        <f>IF(E703&gt;15,"Wet Year",IF(E703&lt;-15,"Dry Year","Normal Year"))</f>
        <v/>
      </c>
      <c r="G703" s="16">
        <f>'Raw Data'!I703</f>
        <v/>
      </c>
      <c r="H703" s="14">
        <f>IF(G703&lt;15,"Low Variability",IF(G703&lt;=35,"Moderate Variability","High Variability"))</f>
        <v/>
      </c>
      <c r="I703" s="18">
        <f>'Raw Data'!O703</f>
        <v/>
      </c>
      <c r="J703" s="14">
        <f>IF(I703=0,"No Flood",IF(I703&lt;=0.5,"Low",IF(I703&lt;=2,"Moderate","High")))</f>
        <v/>
      </c>
    </row>
    <row r="704" ht="15" customHeight="1" s="12">
      <c r="A704" s="14">
        <f>'Raw Data'!A704</f>
        <v/>
      </c>
      <c r="B704" s="14">
        <f>'Raw Data'!B704</f>
        <v/>
      </c>
      <c r="C704" s="14">
        <f>'Raw Data'!C704</f>
        <v/>
      </c>
      <c r="D704" s="15">
        <f>'Raw Data'!M704</f>
        <v/>
      </c>
      <c r="E704" s="18">
        <f>'Raw Data'!M704/'Raw Data'!L704*100</f>
        <v/>
      </c>
      <c r="F704" s="14">
        <f>IF(E704&gt;15,"Wet Year",IF(E704&lt;-15,"Dry Year","Normal Year"))</f>
        <v/>
      </c>
      <c r="G704" s="16">
        <f>'Raw Data'!I704</f>
        <v/>
      </c>
      <c r="H704" s="14">
        <f>IF(G704&lt;15,"Low Variability",IF(G704&lt;=35,"Moderate Variability","High Variability"))</f>
        <v/>
      </c>
      <c r="I704" s="18">
        <f>'Raw Data'!O704</f>
        <v/>
      </c>
      <c r="J704" s="14">
        <f>IF(I704=0,"No Flood",IF(I704&lt;=0.5,"Low",IF(I704&lt;=2,"Moderate","High")))</f>
        <v/>
      </c>
    </row>
    <row r="705" ht="15" customHeight="1" s="12">
      <c r="A705" s="14">
        <f>'Raw Data'!A705</f>
        <v/>
      </c>
      <c r="B705" s="14">
        <f>'Raw Data'!B705</f>
        <v/>
      </c>
      <c r="C705" s="14">
        <f>'Raw Data'!C705</f>
        <v/>
      </c>
      <c r="D705" s="15">
        <f>'Raw Data'!M705</f>
        <v/>
      </c>
      <c r="E705" s="18">
        <f>'Raw Data'!M705/'Raw Data'!L705*100</f>
        <v/>
      </c>
      <c r="F705" s="14">
        <f>IF(E705&gt;15,"Wet Year",IF(E705&lt;-15,"Dry Year","Normal Year"))</f>
        <v/>
      </c>
      <c r="G705" s="16">
        <f>'Raw Data'!I705</f>
        <v/>
      </c>
      <c r="H705" s="14">
        <f>IF(G705&lt;15,"Low Variability",IF(G705&lt;=35,"Moderate Variability","High Variability"))</f>
        <v/>
      </c>
      <c r="I705" s="18">
        <f>'Raw Data'!O705</f>
        <v/>
      </c>
      <c r="J705" s="14">
        <f>IF(I705=0,"No Flood",IF(I705&lt;=0.5,"Low",IF(I705&lt;=2,"Moderate","High")))</f>
        <v/>
      </c>
    </row>
    <row r="706" ht="15" customHeight="1" s="12">
      <c r="A706" s="14">
        <f>'Raw Data'!A706</f>
        <v/>
      </c>
      <c r="B706" s="14">
        <f>'Raw Data'!B706</f>
        <v/>
      </c>
      <c r="C706" s="14">
        <f>'Raw Data'!C706</f>
        <v/>
      </c>
      <c r="D706" s="15">
        <f>'Raw Data'!M706</f>
        <v/>
      </c>
      <c r="E706" s="18">
        <f>'Raw Data'!M706/'Raw Data'!L706*100</f>
        <v/>
      </c>
      <c r="F706" s="14">
        <f>IF(E706&gt;15,"Wet Year",IF(E706&lt;-15,"Dry Year","Normal Year"))</f>
        <v/>
      </c>
      <c r="G706" s="16">
        <f>'Raw Data'!I706</f>
        <v/>
      </c>
      <c r="H706" s="14">
        <f>IF(G706&lt;15,"Low Variability",IF(G706&lt;=35,"Moderate Variability","High Variability"))</f>
        <v/>
      </c>
      <c r="I706" s="18">
        <f>'Raw Data'!O706</f>
        <v/>
      </c>
      <c r="J706" s="14">
        <f>IF(I706=0,"No Flood",IF(I706&lt;=0.5,"Low",IF(I706&lt;=2,"Moderate","High")))</f>
        <v/>
      </c>
    </row>
    <row r="707" ht="15" customHeight="1" s="12">
      <c r="A707" s="14">
        <f>'Raw Data'!A707</f>
        <v/>
      </c>
      <c r="B707" s="14">
        <f>'Raw Data'!B707</f>
        <v/>
      </c>
      <c r="C707" s="14">
        <f>'Raw Data'!C707</f>
        <v/>
      </c>
      <c r="D707" s="15">
        <f>'Raw Data'!M707</f>
        <v/>
      </c>
      <c r="E707" s="18">
        <f>'Raw Data'!M707/'Raw Data'!L707*100</f>
        <v/>
      </c>
      <c r="F707" s="14">
        <f>IF(E707&gt;15,"Wet Year",IF(E707&lt;-15,"Dry Year","Normal Year"))</f>
        <v/>
      </c>
      <c r="G707" s="16">
        <f>'Raw Data'!I707</f>
        <v/>
      </c>
      <c r="H707" s="14">
        <f>IF(G707&lt;15,"Low Variability",IF(G707&lt;=35,"Moderate Variability","High Variability"))</f>
        <v/>
      </c>
      <c r="I707" s="18">
        <f>'Raw Data'!O707</f>
        <v/>
      </c>
      <c r="J707" s="14">
        <f>IF(I707=0,"No Flood",IF(I707&lt;=0.5,"Low",IF(I707&lt;=2,"Moderate","High")))</f>
        <v/>
      </c>
    </row>
    <row r="708" ht="15" customHeight="1" s="12">
      <c r="A708" s="14">
        <f>'Raw Data'!A708</f>
        <v/>
      </c>
      <c r="B708" s="14">
        <f>'Raw Data'!B708</f>
        <v/>
      </c>
      <c r="C708" s="14">
        <f>'Raw Data'!C708</f>
        <v/>
      </c>
      <c r="D708" s="15">
        <f>'Raw Data'!M708</f>
        <v/>
      </c>
      <c r="E708" s="18">
        <f>'Raw Data'!M708/'Raw Data'!L708*100</f>
        <v/>
      </c>
      <c r="F708" s="14">
        <f>IF(E708&gt;15,"Wet Year",IF(E708&lt;-15,"Dry Year","Normal Year"))</f>
        <v/>
      </c>
      <c r="G708" s="16">
        <f>'Raw Data'!I708</f>
        <v/>
      </c>
      <c r="H708" s="14">
        <f>IF(G708&lt;15,"Low Variability",IF(G708&lt;=35,"Moderate Variability","High Variability"))</f>
        <v/>
      </c>
      <c r="I708" s="18">
        <f>'Raw Data'!O708</f>
        <v/>
      </c>
      <c r="J708" s="14">
        <f>IF(I708=0,"No Flood",IF(I708&lt;=0.5,"Low",IF(I708&lt;=2,"Moderate","High")))</f>
        <v/>
      </c>
    </row>
    <row r="709" ht="15" customHeight="1" s="12">
      <c r="A709" s="14">
        <f>'Raw Data'!A709</f>
        <v/>
      </c>
      <c r="B709" s="14">
        <f>'Raw Data'!B709</f>
        <v/>
      </c>
      <c r="C709" s="14">
        <f>'Raw Data'!C709</f>
        <v/>
      </c>
      <c r="D709" s="15">
        <f>'Raw Data'!M709</f>
        <v/>
      </c>
      <c r="E709" s="18">
        <f>'Raw Data'!M709/'Raw Data'!L709*100</f>
        <v/>
      </c>
      <c r="F709" s="14">
        <f>IF(E709&gt;15,"Wet Year",IF(E709&lt;-15,"Dry Year","Normal Year"))</f>
        <v/>
      </c>
      <c r="G709" s="16">
        <f>'Raw Data'!I709</f>
        <v/>
      </c>
      <c r="H709" s="14">
        <f>IF(G709&lt;15,"Low Variability",IF(G709&lt;=35,"Moderate Variability","High Variability"))</f>
        <v/>
      </c>
      <c r="I709" s="18">
        <f>'Raw Data'!O709</f>
        <v/>
      </c>
      <c r="J709" s="14">
        <f>IF(I709=0,"No Flood",IF(I709&lt;=0.5,"Low",IF(I709&lt;=2,"Moderate","High")))</f>
        <v/>
      </c>
    </row>
    <row r="710" ht="15" customHeight="1" s="12">
      <c r="A710" s="14">
        <f>'Raw Data'!A710</f>
        <v/>
      </c>
      <c r="B710" s="14">
        <f>'Raw Data'!B710</f>
        <v/>
      </c>
      <c r="C710" s="14">
        <f>'Raw Data'!C710</f>
        <v/>
      </c>
      <c r="D710" s="15">
        <f>'Raw Data'!M710</f>
        <v/>
      </c>
      <c r="E710" s="18">
        <f>'Raw Data'!M710/'Raw Data'!L710*100</f>
        <v/>
      </c>
      <c r="F710" s="14">
        <f>IF(E710&gt;15,"Wet Year",IF(E710&lt;-15,"Dry Year","Normal Year"))</f>
        <v/>
      </c>
      <c r="G710" s="16">
        <f>'Raw Data'!I710</f>
        <v/>
      </c>
      <c r="H710" s="14">
        <f>IF(G710&lt;15,"Low Variability",IF(G710&lt;=35,"Moderate Variability","High Variability"))</f>
        <v/>
      </c>
      <c r="I710" s="18">
        <f>'Raw Data'!O710</f>
        <v/>
      </c>
      <c r="J710" s="14">
        <f>IF(I710=0,"No Flood",IF(I710&lt;=0.5,"Low",IF(I710&lt;=2,"Moderate","High")))</f>
        <v/>
      </c>
    </row>
    <row r="711" ht="15" customHeight="1" s="12">
      <c r="A711" s="14">
        <f>'Raw Data'!A711</f>
        <v/>
      </c>
      <c r="B711" s="14">
        <f>'Raw Data'!B711</f>
        <v/>
      </c>
      <c r="C711" s="14">
        <f>'Raw Data'!C711</f>
        <v/>
      </c>
      <c r="D711" s="15">
        <f>'Raw Data'!M711</f>
        <v/>
      </c>
      <c r="E711" s="18">
        <f>'Raw Data'!M711/'Raw Data'!L711*100</f>
        <v/>
      </c>
      <c r="F711" s="14">
        <f>IF(E711&gt;15,"Wet Year",IF(E711&lt;-15,"Dry Year","Normal Year"))</f>
        <v/>
      </c>
      <c r="G711" s="16">
        <f>'Raw Data'!I711</f>
        <v/>
      </c>
      <c r="H711" s="14">
        <f>IF(G711&lt;15,"Low Variability",IF(G711&lt;=35,"Moderate Variability","High Variability"))</f>
        <v/>
      </c>
      <c r="I711" s="18">
        <f>'Raw Data'!O711</f>
        <v/>
      </c>
      <c r="J711" s="14">
        <f>IF(I711=0,"No Flood",IF(I711&lt;=0.5,"Low",IF(I711&lt;=2,"Moderate","High")))</f>
        <v/>
      </c>
    </row>
    <row r="712" ht="15" customHeight="1" s="12">
      <c r="A712" s="14">
        <f>'Raw Data'!A712</f>
        <v/>
      </c>
      <c r="B712" s="14">
        <f>'Raw Data'!B712</f>
        <v/>
      </c>
      <c r="C712" s="14">
        <f>'Raw Data'!C712</f>
        <v/>
      </c>
      <c r="D712" s="15">
        <f>'Raw Data'!M712</f>
        <v/>
      </c>
      <c r="E712" s="18">
        <f>'Raw Data'!M712/'Raw Data'!L712*100</f>
        <v/>
      </c>
      <c r="F712" s="14">
        <f>IF(E712&gt;15,"Wet Year",IF(E712&lt;-15,"Dry Year","Normal Year"))</f>
        <v/>
      </c>
      <c r="G712" s="16">
        <f>'Raw Data'!I712</f>
        <v/>
      </c>
      <c r="H712" s="14">
        <f>IF(G712&lt;15,"Low Variability",IF(G712&lt;=35,"Moderate Variability","High Variability"))</f>
        <v/>
      </c>
      <c r="I712" s="18">
        <f>'Raw Data'!O712</f>
        <v/>
      </c>
      <c r="J712" s="14">
        <f>IF(I712=0,"No Flood",IF(I712&lt;=0.5,"Low",IF(I712&lt;=2,"Moderate","High")))</f>
        <v/>
      </c>
    </row>
    <row r="713" ht="15" customHeight="1" s="12">
      <c r="A713" s="14">
        <f>'Raw Data'!A713</f>
        <v/>
      </c>
      <c r="B713" s="14">
        <f>'Raw Data'!B713</f>
        <v/>
      </c>
      <c r="C713" s="14">
        <f>'Raw Data'!C713</f>
        <v/>
      </c>
      <c r="D713" s="15">
        <f>'Raw Data'!M713</f>
        <v/>
      </c>
      <c r="E713" s="18">
        <f>'Raw Data'!M713/'Raw Data'!L713*100</f>
        <v/>
      </c>
      <c r="F713" s="14">
        <f>IF(E713&gt;15,"Wet Year",IF(E713&lt;-15,"Dry Year","Normal Year"))</f>
        <v/>
      </c>
      <c r="G713" s="16">
        <f>'Raw Data'!I713</f>
        <v/>
      </c>
      <c r="H713" s="14">
        <f>IF(G713&lt;15,"Low Variability",IF(G713&lt;=35,"Moderate Variability","High Variability"))</f>
        <v/>
      </c>
      <c r="I713" s="18">
        <f>'Raw Data'!O713</f>
        <v/>
      </c>
      <c r="J713" s="14">
        <f>IF(I713=0,"No Flood",IF(I713&lt;=0.5,"Low",IF(I713&lt;=2,"Moderate","High")))</f>
        <v/>
      </c>
    </row>
    <row r="714" ht="15" customHeight="1" s="12">
      <c r="A714" s="14">
        <f>'Raw Data'!A714</f>
        <v/>
      </c>
      <c r="B714" s="14">
        <f>'Raw Data'!B714</f>
        <v/>
      </c>
      <c r="C714" s="14">
        <f>'Raw Data'!C714</f>
        <v/>
      </c>
      <c r="D714" s="15">
        <f>'Raw Data'!M714</f>
        <v/>
      </c>
      <c r="E714" s="18">
        <f>'Raw Data'!M714/'Raw Data'!L714*100</f>
        <v/>
      </c>
      <c r="F714" s="14">
        <f>IF(E714&gt;15,"Wet Year",IF(E714&lt;-15,"Dry Year","Normal Year"))</f>
        <v/>
      </c>
      <c r="G714" s="16">
        <f>'Raw Data'!I714</f>
        <v/>
      </c>
      <c r="H714" s="14">
        <f>IF(G714&lt;15,"Low Variability",IF(G714&lt;=35,"Moderate Variability","High Variability"))</f>
        <v/>
      </c>
      <c r="I714" s="18">
        <f>'Raw Data'!O714</f>
        <v/>
      </c>
      <c r="J714" s="14">
        <f>IF(I714=0,"No Flood",IF(I714&lt;=0.5,"Low",IF(I714&lt;=2,"Moderate","High")))</f>
        <v/>
      </c>
    </row>
    <row r="715" ht="15" customHeight="1" s="12">
      <c r="A715" s="14">
        <f>'Raw Data'!A715</f>
        <v/>
      </c>
      <c r="B715" s="14">
        <f>'Raw Data'!B715</f>
        <v/>
      </c>
      <c r="C715" s="14">
        <f>'Raw Data'!C715</f>
        <v/>
      </c>
      <c r="D715" s="15">
        <f>'Raw Data'!M715</f>
        <v/>
      </c>
      <c r="E715" s="18">
        <f>'Raw Data'!M715/'Raw Data'!L715*100</f>
        <v/>
      </c>
      <c r="F715" s="14">
        <f>IF(E715&gt;15,"Wet Year",IF(E715&lt;-15,"Dry Year","Normal Year"))</f>
        <v/>
      </c>
      <c r="G715" s="16">
        <f>'Raw Data'!I715</f>
        <v/>
      </c>
      <c r="H715" s="14">
        <f>IF(G715&lt;15,"Low Variability",IF(G715&lt;=35,"Moderate Variability","High Variability"))</f>
        <v/>
      </c>
      <c r="I715" s="18">
        <f>'Raw Data'!O715</f>
        <v/>
      </c>
      <c r="J715" s="14">
        <f>IF(I715=0,"No Flood",IF(I715&lt;=0.5,"Low",IF(I715&lt;=2,"Moderate","High")))</f>
        <v/>
      </c>
    </row>
    <row r="716" ht="15" customHeight="1" s="12">
      <c r="A716" s="14">
        <f>'Raw Data'!A716</f>
        <v/>
      </c>
      <c r="B716" s="14">
        <f>'Raw Data'!B716</f>
        <v/>
      </c>
      <c r="C716" s="14">
        <f>'Raw Data'!C716</f>
        <v/>
      </c>
      <c r="D716" s="15">
        <f>'Raw Data'!M716</f>
        <v/>
      </c>
      <c r="E716" s="18">
        <f>'Raw Data'!M716/'Raw Data'!L716*100</f>
        <v/>
      </c>
      <c r="F716" s="14">
        <f>IF(E716&gt;15,"Wet Year",IF(E716&lt;-15,"Dry Year","Normal Year"))</f>
        <v/>
      </c>
      <c r="G716" s="16">
        <f>'Raw Data'!I716</f>
        <v/>
      </c>
      <c r="H716" s="14">
        <f>IF(G716&lt;15,"Low Variability",IF(G716&lt;=35,"Moderate Variability","High Variability"))</f>
        <v/>
      </c>
      <c r="I716" s="18">
        <f>'Raw Data'!O716</f>
        <v/>
      </c>
      <c r="J716" s="14">
        <f>IF(I716=0,"No Flood",IF(I716&lt;=0.5,"Low",IF(I716&lt;=2,"Moderate","High")))</f>
        <v/>
      </c>
    </row>
    <row r="717" ht="15" customHeight="1" s="12">
      <c r="A717" s="14">
        <f>'Raw Data'!A717</f>
        <v/>
      </c>
      <c r="B717" s="14">
        <f>'Raw Data'!B717</f>
        <v/>
      </c>
      <c r="C717" s="14">
        <f>'Raw Data'!C717</f>
        <v/>
      </c>
      <c r="D717" s="15">
        <f>'Raw Data'!M717</f>
        <v/>
      </c>
      <c r="E717" s="18">
        <f>'Raw Data'!M717/'Raw Data'!L717*100</f>
        <v/>
      </c>
      <c r="F717" s="14">
        <f>IF(E717&gt;15,"Wet Year",IF(E717&lt;-15,"Dry Year","Normal Year"))</f>
        <v/>
      </c>
      <c r="G717" s="16">
        <f>'Raw Data'!I717</f>
        <v/>
      </c>
      <c r="H717" s="14">
        <f>IF(G717&lt;15,"Low Variability",IF(G717&lt;=35,"Moderate Variability","High Variability"))</f>
        <v/>
      </c>
      <c r="I717" s="18">
        <f>'Raw Data'!O717</f>
        <v/>
      </c>
      <c r="J717" s="14">
        <f>IF(I717=0,"No Flood",IF(I717&lt;=0.5,"Low",IF(I717&lt;=2,"Moderate","High")))</f>
        <v/>
      </c>
    </row>
    <row r="718" ht="15" customHeight="1" s="12">
      <c r="A718" s="14">
        <f>'Raw Data'!A718</f>
        <v/>
      </c>
      <c r="B718" s="14">
        <f>'Raw Data'!B718</f>
        <v/>
      </c>
      <c r="C718" s="14">
        <f>'Raw Data'!C718</f>
        <v/>
      </c>
      <c r="D718" s="15">
        <f>'Raw Data'!M718</f>
        <v/>
      </c>
      <c r="E718" s="18">
        <f>'Raw Data'!M718/'Raw Data'!L718*100</f>
        <v/>
      </c>
      <c r="F718" s="14">
        <f>IF(E718&gt;15,"Wet Year",IF(E718&lt;-15,"Dry Year","Normal Year"))</f>
        <v/>
      </c>
      <c r="G718" s="16">
        <f>'Raw Data'!I718</f>
        <v/>
      </c>
      <c r="H718" s="14">
        <f>IF(G718&lt;15,"Low Variability",IF(G718&lt;=35,"Moderate Variability","High Variability"))</f>
        <v/>
      </c>
      <c r="I718" s="18">
        <f>'Raw Data'!O718</f>
        <v/>
      </c>
      <c r="J718" s="14">
        <f>IF(I718=0,"No Flood",IF(I718&lt;=0.5,"Low",IF(I718&lt;=2,"Moderate","High")))</f>
        <v/>
      </c>
    </row>
    <row r="719" ht="15" customHeight="1" s="12">
      <c r="A719" s="14">
        <f>'Raw Data'!A719</f>
        <v/>
      </c>
      <c r="B719" s="14">
        <f>'Raw Data'!B719</f>
        <v/>
      </c>
      <c r="C719" s="14">
        <f>'Raw Data'!C719</f>
        <v/>
      </c>
      <c r="D719" s="15">
        <f>'Raw Data'!M719</f>
        <v/>
      </c>
      <c r="E719" s="18">
        <f>'Raw Data'!M719/'Raw Data'!L719*100</f>
        <v/>
      </c>
      <c r="F719" s="14">
        <f>IF(E719&gt;15,"Wet Year",IF(E719&lt;-15,"Dry Year","Normal Year"))</f>
        <v/>
      </c>
      <c r="G719" s="16">
        <f>'Raw Data'!I719</f>
        <v/>
      </c>
      <c r="H719" s="14">
        <f>IF(G719&lt;15,"Low Variability",IF(G719&lt;=35,"Moderate Variability","High Variability"))</f>
        <v/>
      </c>
      <c r="I719" s="18">
        <f>'Raw Data'!O719</f>
        <v/>
      </c>
      <c r="J719" s="14">
        <f>IF(I719=0,"No Flood",IF(I719&lt;=0.5,"Low",IF(I719&lt;=2,"Moderate","High")))</f>
        <v/>
      </c>
    </row>
    <row r="720" ht="15" customHeight="1" s="12">
      <c r="A720" s="14">
        <f>'Raw Data'!A720</f>
        <v/>
      </c>
      <c r="B720" s="14">
        <f>'Raw Data'!B720</f>
        <v/>
      </c>
      <c r="C720" s="14">
        <f>'Raw Data'!C720</f>
        <v/>
      </c>
      <c r="D720" s="15">
        <f>'Raw Data'!M720</f>
        <v/>
      </c>
      <c r="E720" s="18">
        <f>'Raw Data'!M720/'Raw Data'!L720*100</f>
        <v/>
      </c>
      <c r="F720" s="14">
        <f>IF(E720&gt;15,"Wet Year",IF(E720&lt;-15,"Dry Year","Normal Year"))</f>
        <v/>
      </c>
      <c r="G720" s="16">
        <f>'Raw Data'!I720</f>
        <v/>
      </c>
      <c r="H720" s="14">
        <f>IF(G720&lt;15,"Low Variability",IF(G720&lt;=35,"Moderate Variability","High Variability"))</f>
        <v/>
      </c>
      <c r="I720" s="18">
        <f>'Raw Data'!O720</f>
        <v/>
      </c>
      <c r="J720" s="14">
        <f>IF(I720=0,"No Flood",IF(I720&lt;=0.5,"Low",IF(I720&lt;=2,"Moderate","High")))</f>
        <v/>
      </c>
    </row>
    <row r="721" ht="15" customHeight="1" s="12">
      <c r="A721" s="14">
        <f>'Raw Data'!A721</f>
        <v/>
      </c>
      <c r="B721" s="14">
        <f>'Raw Data'!B721</f>
        <v/>
      </c>
      <c r="C721" s="14">
        <f>'Raw Data'!C721</f>
        <v/>
      </c>
      <c r="D721" s="15">
        <f>'Raw Data'!M721</f>
        <v/>
      </c>
      <c r="E721" s="18">
        <f>'Raw Data'!M721/'Raw Data'!L721*100</f>
        <v/>
      </c>
      <c r="F721" s="14">
        <f>IF(E721&gt;15,"Wet Year",IF(E721&lt;-15,"Dry Year","Normal Year"))</f>
        <v/>
      </c>
      <c r="G721" s="16">
        <f>'Raw Data'!I721</f>
        <v/>
      </c>
      <c r="H721" s="14">
        <f>IF(G721&lt;15,"Low Variability",IF(G721&lt;=35,"Moderate Variability","High Variability"))</f>
        <v/>
      </c>
      <c r="I721" s="18">
        <f>'Raw Data'!O721</f>
        <v/>
      </c>
      <c r="J721" s="14">
        <f>IF(I721=0,"No Flood",IF(I721&lt;=0.5,"Low",IF(I721&lt;=2,"Moderate","High")))</f>
        <v/>
      </c>
    </row>
    <row r="722" ht="15" customHeight="1" s="12">
      <c r="A722" s="14">
        <f>'Raw Data'!A722</f>
        <v/>
      </c>
      <c r="B722" s="14">
        <f>'Raw Data'!B722</f>
        <v/>
      </c>
      <c r="C722" s="14">
        <f>'Raw Data'!C722</f>
        <v/>
      </c>
      <c r="D722" s="15">
        <f>'Raw Data'!M722</f>
        <v/>
      </c>
      <c r="E722" s="18">
        <f>'Raw Data'!M722/'Raw Data'!L722*100</f>
        <v/>
      </c>
      <c r="F722" s="14">
        <f>IF(E722&gt;15,"Wet Year",IF(E722&lt;-15,"Dry Year","Normal Year"))</f>
        <v/>
      </c>
      <c r="G722" s="16">
        <f>'Raw Data'!I722</f>
        <v/>
      </c>
      <c r="H722" s="14">
        <f>IF(G722&lt;15,"Low Variability",IF(G722&lt;=35,"Moderate Variability","High Variability"))</f>
        <v/>
      </c>
      <c r="I722" s="18">
        <f>'Raw Data'!O722</f>
        <v/>
      </c>
      <c r="J722" s="14">
        <f>IF(I722=0,"No Flood",IF(I722&lt;=0.5,"Low",IF(I722&lt;=2,"Moderate","High")))</f>
        <v/>
      </c>
    </row>
    <row r="723" ht="15" customHeight="1" s="12">
      <c r="A723" s="14">
        <f>'Raw Data'!A723</f>
        <v/>
      </c>
      <c r="B723" s="14">
        <f>'Raw Data'!B723</f>
        <v/>
      </c>
      <c r="C723" s="14">
        <f>'Raw Data'!C723</f>
        <v/>
      </c>
      <c r="D723" s="15">
        <f>'Raw Data'!M723</f>
        <v/>
      </c>
      <c r="E723" s="18">
        <f>'Raw Data'!M723/'Raw Data'!L723*100</f>
        <v/>
      </c>
      <c r="F723" s="14">
        <f>IF(E723&gt;15,"Wet Year",IF(E723&lt;-15,"Dry Year","Normal Year"))</f>
        <v/>
      </c>
      <c r="G723" s="16">
        <f>'Raw Data'!I723</f>
        <v/>
      </c>
      <c r="H723" s="14">
        <f>IF(G723&lt;15,"Low Variability",IF(G723&lt;=35,"Moderate Variability","High Variability"))</f>
        <v/>
      </c>
      <c r="I723" s="18">
        <f>'Raw Data'!O723</f>
        <v/>
      </c>
      <c r="J723" s="14">
        <f>IF(I723=0,"No Flood",IF(I723&lt;=0.5,"Low",IF(I723&lt;=2,"Moderate","High")))</f>
        <v/>
      </c>
    </row>
    <row r="724" ht="15" customHeight="1" s="12">
      <c r="A724" s="14">
        <f>'Raw Data'!A724</f>
        <v/>
      </c>
      <c r="B724" s="14">
        <f>'Raw Data'!B724</f>
        <v/>
      </c>
      <c r="C724" s="14">
        <f>'Raw Data'!C724</f>
        <v/>
      </c>
      <c r="D724" s="15">
        <f>'Raw Data'!M724</f>
        <v/>
      </c>
      <c r="E724" s="18">
        <f>'Raw Data'!M724/'Raw Data'!L724*100</f>
        <v/>
      </c>
      <c r="F724" s="14">
        <f>IF(E724&gt;15,"Wet Year",IF(E724&lt;-15,"Dry Year","Normal Year"))</f>
        <v/>
      </c>
      <c r="G724" s="16">
        <f>'Raw Data'!I724</f>
        <v/>
      </c>
      <c r="H724" s="14">
        <f>IF(G724&lt;15,"Low Variability",IF(G724&lt;=35,"Moderate Variability","High Variability"))</f>
        <v/>
      </c>
      <c r="I724" s="18">
        <f>'Raw Data'!O724</f>
        <v/>
      </c>
      <c r="J724" s="14">
        <f>IF(I724=0,"No Flood",IF(I724&lt;=0.5,"Low",IF(I724&lt;=2,"Moderate","High")))</f>
        <v/>
      </c>
    </row>
    <row r="725" ht="15" customHeight="1" s="12">
      <c r="A725" s="14">
        <f>'Raw Data'!A725</f>
        <v/>
      </c>
      <c r="B725" s="14">
        <f>'Raw Data'!B725</f>
        <v/>
      </c>
      <c r="C725" s="14">
        <f>'Raw Data'!C725</f>
        <v/>
      </c>
      <c r="D725" s="15">
        <f>'Raw Data'!M725</f>
        <v/>
      </c>
      <c r="E725" s="18">
        <f>'Raw Data'!M725/'Raw Data'!L725*100</f>
        <v/>
      </c>
      <c r="F725" s="14">
        <f>IF(E725&gt;15,"Wet Year",IF(E725&lt;-15,"Dry Year","Normal Year"))</f>
        <v/>
      </c>
      <c r="G725" s="16">
        <f>'Raw Data'!I725</f>
        <v/>
      </c>
      <c r="H725" s="14">
        <f>IF(G725&lt;15,"Low Variability",IF(G725&lt;=35,"Moderate Variability","High Variability"))</f>
        <v/>
      </c>
      <c r="I725" s="18">
        <f>'Raw Data'!O725</f>
        <v/>
      </c>
      <c r="J725" s="14">
        <f>IF(I725=0,"No Flood",IF(I725&lt;=0.5,"Low",IF(I725&lt;=2,"Moderate","High")))</f>
        <v/>
      </c>
    </row>
    <row r="726" ht="15" customHeight="1" s="12">
      <c r="A726" s="14">
        <f>'Raw Data'!A726</f>
        <v/>
      </c>
      <c r="B726" s="14">
        <f>'Raw Data'!B726</f>
        <v/>
      </c>
      <c r="C726" s="14">
        <f>'Raw Data'!C726</f>
        <v/>
      </c>
      <c r="D726" s="15">
        <f>'Raw Data'!M726</f>
        <v/>
      </c>
      <c r="E726" s="18">
        <f>'Raw Data'!M726/'Raw Data'!L726*100</f>
        <v/>
      </c>
      <c r="F726" s="14">
        <f>IF(E726&gt;15,"Wet Year",IF(E726&lt;-15,"Dry Year","Normal Year"))</f>
        <v/>
      </c>
      <c r="G726" s="16">
        <f>'Raw Data'!I726</f>
        <v/>
      </c>
      <c r="H726" s="14">
        <f>IF(G726&lt;15,"Low Variability",IF(G726&lt;=35,"Moderate Variability","High Variability"))</f>
        <v/>
      </c>
      <c r="I726" s="18">
        <f>'Raw Data'!O726</f>
        <v/>
      </c>
      <c r="J726" s="14">
        <f>IF(I726=0,"No Flood",IF(I726&lt;=0.5,"Low",IF(I726&lt;=2,"Moderate","High")))</f>
        <v/>
      </c>
    </row>
    <row r="727" ht="15" customHeight="1" s="12">
      <c r="A727" s="14">
        <f>'Raw Data'!A727</f>
        <v/>
      </c>
      <c r="B727" s="14">
        <f>'Raw Data'!B727</f>
        <v/>
      </c>
      <c r="C727" s="14">
        <f>'Raw Data'!C727</f>
        <v/>
      </c>
      <c r="D727" s="15">
        <f>'Raw Data'!M727</f>
        <v/>
      </c>
      <c r="E727" s="18">
        <f>'Raw Data'!M727/'Raw Data'!L727*100</f>
        <v/>
      </c>
      <c r="F727" s="14">
        <f>IF(E727&gt;15,"Wet Year",IF(E727&lt;-15,"Dry Year","Normal Year"))</f>
        <v/>
      </c>
      <c r="G727" s="16">
        <f>'Raw Data'!I727</f>
        <v/>
      </c>
      <c r="H727" s="14">
        <f>IF(G727&lt;15,"Low Variability",IF(G727&lt;=35,"Moderate Variability","High Variability"))</f>
        <v/>
      </c>
      <c r="I727" s="18">
        <f>'Raw Data'!O727</f>
        <v/>
      </c>
      <c r="J727" s="14">
        <f>IF(I727=0,"No Flood",IF(I727&lt;=0.5,"Low",IF(I727&lt;=2,"Moderate","High")))</f>
        <v/>
      </c>
    </row>
    <row r="728" ht="15" customHeight="1" s="12">
      <c r="A728" s="14">
        <f>'Raw Data'!A728</f>
        <v/>
      </c>
      <c r="B728" s="14">
        <f>'Raw Data'!B728</f>
        <v/>
      </c>
      <c r="C728" s="14">
        <f>'Raw Data'!C728</f>
        <v/>
      </c>
      <c r="D728" s="15">
        <f>'Raw Data'!M728</f>
        <v/>
      </c>
      <c r="E728" s="18">
        <f>'Raw Data'!M728/'Raw Data'!L728*100</f>
        <v/>
      </c>
      <c r="F728" s="14">
        <f>IF(E728&gt;15,"Wet Year",IF(E728&lt;-15,"Dry Year","Normal Year"))</f>
        <v/>
      </c>
      <c r="G728" s="16">
        <f>'Raw Data'!I728</f>
        <v/>
      </c>
      <c r="H728" s="14">
        <f>IF(G728&lt;15,"Low Variability",IF(G728&lt;=35,"Moderate Variability","High Variability"))</f>
        <v/>
      </c>
      <c r="I728" s="18">
        <f>'Raw Data'!O728</f>
        <v/>
      </c>
      <c r="J728" s="14">
        <f>IF(I728=0,"No Flood",IF(I728&lt;=0.5,"Low",IF(I728&lt;=2,"Moderate","High")))</f>
        <v/>
      </c>
    </row>
    <row r="729" ht="15" customHeight="1" s="12">
      <c r="A729" s="14">
        <f>'Raw Data'!A729</f>
        <v/>
      </c>
      <c r="B729" s="14">
        <f>'Raw Data'!B729</f>
        <v/>
      </c>
      <c r="C729" s="14">
        <f>'Raw Data'!C729</f>
        <v/>
      </c>
      <c r="D729" s="15">
        <f>'Raw Data'!M729</f>
        <v/>
      </c>
      <c r="E729" s="18">
        <f>'Raw Data'!M729/'Raw Data'!L729*100</f>
        <v/>
      </c>
      <c r="F729" s="14">
        <f>IF(E729&gt;15,"Wet Year",IF(E729&lt;-15,"Dry Year","Normal Year"))</f>
        <v/>
      </c>
      <c r="G729" s="16">
        <f>'Raw Data'!I729</f>
        <v/>
      </c>
      <c r="H729" s="14">
        <f>IF(G729&lt;15,"Low Variability",IF(G729&lt;=35,"Moderate Variability","High Variability"))</f>
        <v/>
      </c>
      <c r="I729" s="18">
        <f>'Raw Data'!O729</f>
        <v/>
      </c>
      <c r="J729" s="14">
        <f>IF(I729=0,"No Flood",IF(I729&lt;=0.5,"Low",IF(I729&lt;=2,"Moderate","High")))</f>
        <v/>
      </c>
    </row>
    <row r="730" ht="15" customHeight="1" s="12">
      <c r="A730" s="14">
        <f>'Raw Data'!A730</f>
        <v/>
      </c>
      <c r="B730" s="14">
        <f>'Raw Data'!B730</f>
        <v/>
      </c>
      <c r="C730" s="14">
        <f>'Raw Data'!C730</f>
        <v/>
      </c>
      <c r="D730" s="15">
        <f>'Raw Data'!M730</f>
        <v/>
      </c>
      <c r="E730" s="18">
        <f>'Raw Data'!M730/'Raw Data'!L730*100</f>
        <v/>
      </c>
      <c r="F730" s="14">
        <f>IF(E730&gt;15,"Wet Year",IF(E730&lt;-15,"Dry Year","Normal Year"))</f>
        <v/>
      </c>
      <c r="G730" s="16">
        <f>'Raw Data'!I730</f>
        <v/>
      </c>
      <c r="H730" s="14">
        <f>IF(G730&lt;15,"Low Variability",IF(G730&lt;=35,"Moderate Variability","High Variability"))</f>
        <v/>
      </c>
      <c r="I730" s="18">
        <f>'Raw Data'!O730</f>
        <v/>
      </c>
      <c r="J730" s="14">
        <f>IF(I730=0,"No Flood",IF(I730&lt;=0.5,"Low",IF(I730&lt;=2,"Moderate","High")))</f>
        <v/>
      </c>
    </row>
    <row r="731" ht="15" customHeight="1" s="12">
      <c r="A731" s="14">
        <f>'Raw Data'!A731</f>
        <v/>
      </c>
      <c r="B731" s="14">
        <f>'Raw Data'!B731</f>
        <v/>
      </c>
      <c r="C731" s="14">
        <f>'Raw Data'!C731</f>
        <v/>
      </c>
      <c r="D731" s="15">
        <f>'Raw Data'!M731</f>
        <v/>
      </c>
      <c r="E731" s="18">
        <f>'Raw Data'!M731/'Raw Data'!L731*100</f>
        <v/>
      </c>
      <c r="F731" s="14">
        <f>IF(E731&gt;15,"Wet Year",IF(E731&lt;-15,"Dry Year","Normal Year"))</f>
        <v/>
      </c>
      <c r="G731" s="16">
        <f>'Raw Data'!I731</f>
        <v/>
      </c>
      <c r="H731" s="14">
        <f>IF(G731&lt;15,"Low Variability",IF(G731&lt;=35,"Moderate Variability","High Variability"))</f>
        <v/>
      </c>
      <c r="I731" s="18">
        <f>'Raw Data'!O731</f>
        <v/>
      </c>
      <c r="J731" s="14">
        <f>IF(I731=0,"No Flood",IF(I731&lt;=0.5,"Low",IF(I731&lt;=2,"Moderate","High")))</f>
        <v/>
      </c>
    </row>
    <row r="732" ht="15" customHeight="1" s="12">
      <c r="A732" s="14">
        <f>'Raw Data'!A732</f>
        <v/>
      </c>
      <c r="B732" s="14">
        <f>'Raw Data'!B732</f>
        <v/>
      </c>
      <c r="C732" s="14">
        <f>'Raw Data'!C732</f>
        <v/>
      </c>
      <c r="D732" s="15">
        <f>'Raw Data'!M732</f>
        <v/>
      </c>
      <c r="E732" s="18">
        <f>'Raw Data'!M732/'Raw Data'!L732*100</f>
        <v/>
      </c>
      <c r="F732" s="14">
        <f>IF(E732&gt;15,"Wet Year",IF(E732&lt;-15,"Dry Year","Normal Year"))</f>
        <v/>
      </c>
      <c r="G732" s="16">
        <f>'Raw Data'!I732</f>
        <v/>
      </c>
      <c r="H732" s="14">
        <f>IF(G732&lt;15,"Low Variability",IF(G732&lt;=35,"Moderate Variability","High Variability"))</f>
        <v/>
      </c>
      <c r="I732" s="18">
        <f>'Raw Data'!O732</f>
        <v/>
      </c>
      <c r="J732" s="14">
        <f>IF(I732=0,"No Flood",IF(I732&lt;=0.5,"Low",IF(I732&lt;=2,"Moderate","High")))</f>
        <v/>
      </c>
    </row>
    <row r="733" ht="15" customHeight="1" s="12">
      <c r="A733" s="14">
        <f>'Raw Data'!A733</f>
        <v/>
      </c>
      <c r="B733" s="14">
        <f>'Raw Data'!B733</f>
        <v/>
      </c>
      <c r="C733" s="14">
        <f>'Raw Data'!C733</f>
        <v/>
      </c>
      <c r="D733" s="15">
        <f>'Raw Data'!M733</f>
        <v/>
      </c>
      <c r="E733" s="18">
        <f>'Raw Data'!M733/'Raw Data'!L733*100</f>
        <v/>
      </c>
      <c r="F733" s="14">
        <f>IF(E733&gt;15,"Wet Year",IF(E733&lt;-15,"Dry Year","Normal Year"))</f>
        <v/>
      </c>
      <c r="G733" s="16">
        <f>'Raw Data'!I733</f>
        <v/>
      </c>
      <c r="H733" s="14">
        <f>IF(G733&lt;15,"Low Variability",IF(G733&lt;=35,"Moderate Variability","High Variability"))</f>
        <v/>
      </c>
      <c r="I733" s="18">
        <f>'Raw Data'!O733</f>
        <v/>
      </c>
      <c r="J733" s="14">
        <f>IF(I733=0,"No Flood",IF(I733&lt;=0.5,"Low",IF(I733&lt;=2,"Moderate","High")))</f>
        <v/>
      </c>
    </row>
    <row r="734" ht="15" customHeight="1" s="12">
      <c r="A734" s="14">
        <f>'Raw Data'!A734</f>
        <v/>
      </c>
      <c r="B734" s="14">
        <f>'Raw Data'!B734</f>
        <v/>
      </c>
      <c r="C734" s="14">
        <f>'Raw Data'!C734</f>
        <v/>
      </c>
      <c r="D734" s="15">
        <f>'Raw Data'!M734</f>
        <v/>
      </c>
      <c r="E734" s="18">
        <f>'Raw Data'!M734/'Raw Data'!L734*100</f>
        <v/>
      </c>
      <c r="F734" s="14">
        <f>IF(E734&gt;15,"Wet Year",IF(E734&lt;-15,"Dry Year","Normal Year"))</f>
        <v/>
      </c>
      <c r="G734" s="16">
        <f>'Raw Data'!I734</f>
        <v/>
      </c>
      <c r="H734" s="14">
        <f>IF(G734&lt;15,"Low Variability",IF(G734&lt;=35,"Moderate Variability","High Variability"))</f>
        <v/>
      </c>
      <c r="I734" s="18">
        <f>'Raw Data'!O734</f>
        <v/>
      </c>
      <c r="J734" s="14">
        <f>IF(I734=0,"No Flood",IF(I734&lt;=0.5,"Low",IF(I734&lt;=2,"Moderate","High")))</f>
        <v/>
      </c>
    </row>
    <row r="735" ht="15" customHeight="1" s="12">
      <c r="A735" s="14">
        <f>'Raw Data'!A735</f>
        <v/>
      </c>
      <c r="B735" s="14">
        <f>'Raw Data'!B735</f>
        <v/>
      </c>
      <c r="C735" s="14">
        <f>'Raw Data'!C735</f>
        <v/>
      </c>
      <c r="D735" s="15">
        <f>'Raw Data'!M735</f>
        <v/>
      </c>
      <c r="E735" s="18">
        <f>'Raw Data'!M735/'Raw Data'!L735*100</f>
        <v/>
      </c>
      <c r="F735" s="14">
        <f>IF(E735&gt;15,"Wet Year",IF(E735&lt;-15,"Dry Year","Normal Year"))</f>
        <v/>
      </c>
      <c r="G735" s="16">
        <f>'Raw Data'!I735</f>
        <v/>
      </c>
      <c r="H735" s="14">
        <f>IF(G735&lt;15,"Low Variability",IF(G735&lt;=35,"Moderate Variability","High Variability"))</f>
        <v/>
      </c>
      <c r="I735" s="18">
        <f>'Raw Data'!O735</f>
        <v/>
      </c>
      <c r="J735" s="14">
        <f>IF(I735=0,"No Flood",IF(I735&lt;=0.5,"Low",IF(I735&lt;=2,"Moderate","High")))</f>
        <v/>
      </c>
    </row>
    <row r="736" ht="15" customHeight="1" s="12">
      <c r="A736" s="14">
        <f>'Raw Data'!A736</f>
        <v/>
      </c>
      <c r="B736" s="14">
        <f>'Raw Data'!B736</f>
        <v/>
      </c>
      <c r="C736" s="14">
        <f>'Raw Data'!C736</f>
        <v/>
      </c>
      <c r="D736" s="15">
        <f>'Raw Data'!M736</f>
        <v/>
      </c>
      <c r="E736" s="18">
        <f>'Raw Data'!M736/'Raw Data'!L736*100</f>
        <v/>
      </c>
      <c r="F736" s="14">
        <f>IF(E736&gt;15,"Wet Year",IF(E736&lt;-15,"Dry Year","Normal Year"))</f>
        <v/>
      </c>
      <c r="G736" s="16">
        <f>'Raw Data'!I736</f>
        <v/>
      </c>
      <c r="H736" s="14">
        <f>IF(G736&lt;15,"Low Variability",IF(G736&lt;=35,"Moderate Variability","High Variability"))</f>
        <v/>
      </c>
      <c r="I736" s="18">
        <f>'Raw Data'!O736</f>
        <v/>
      </c>
      <c r="J736" s="14">
        <f>IF(I736=0,"No Flood",IF(I736&lt;=0.5,"Low",IF(I736&lt;=2,"Moderate","High")))</f>
        <v/>
      </c>
    </row>
    <row r="737" ht="15" customHeight="1" s="12">
      <c r="A737" s="14">
        <f>'Raw Data'!A737</f>
        <v/>
      </c>
      <c r="B737" s="14">
        <f>'Raw Data'!B737</f>
        <v/>
      </c>
      <c r="C737" s="14">
        <f>'Raw Data'!C737</f>
        <v/>
      </c>
      <c r="D737" s="15">
        <f>'Raw Data'!M737</f>
        <v/>
      </c>
      <c r="E737" s="18">
        <f>'Raw Data'!M737/'Raw Data'!L737*100</f>
        <v/>
      </c>
      <c r="F737" s="14">
        <f>IF(E737&gt;15,"Wet Year",IF(E737&lt;-15,"Dry Year","Normal Year"))</f>
        <v/>
      </c>
      <c r="G737" s="16">
        <f>'Raw Data'!I737</f>
        <v/>
      </c>
      <c r="H737" s="14">
        <f>IF(G737&lt;15,"Low Variability",IF(G737&lt;=35,"Moderate Variability","High Variability"))</f>
        <v/>
      </c>
      <c r="I737" s="18">
        <f>'Raw Data'!O737</f>
        <v/>
      </c>
      <c r="J737" s="14">
        <f>IF(I737=0,"No Flood",IF(I737&lt;=0.5,"Low",IF(I737&lt;=2,"Moderate","High")))</f>
        <v/>
      </c>
    </row>
    <row r="738" ht="15" customHeight="1" s="12">
      <c r="A738" s="14">
        <f>'Raw Data'!A738</f>
        <v/>
      </c>
      <c r="B738" s="14">
        <f>'Raw Data'!B738</f>
        <v/>
      </c>
      <c r="C738" s="14">
        <f>'Raw Data'!C738</f>
        <v/>
      </c>
      <c r="D738" s="15">
        <f>'Raw Data'!M738</f>
        <v/>
      </c>
      <c r="E738" s="18">
        <f>'Raw Data'!M738/'Raw Data'!L738*100</f>
        <v/>
      </c>
      <c r="F738" s="14">
        <f>IF(E738&gt;15,"Wet Year",IF(E738&lt;-15,"Dry Year","Normal Year"))</f>
        <v/>
      </c>
      <c r="G738" s="16">
        <f>'Raw Data'!I738</f>
        <v/>
      </c>
      <c r="H738" s="14">
        <f>IF(G738&lt;15,"Low Variability",IF(G738&lt;=35,"Moderate Variability","High Variability"))</f>
        <v/>
      </c>
      <c r="I738" s="18">
        <f>'Raw Data'!O738</f>
        <v/>
      </c>
      <c r="J738" s="14">
        <f>IF(I738=0,"No Flood",IF(I738&lt;=0.5,"Low",IF(I738&lt;=2,"Moderate","High")))</f>
        <v/>
      </c>
    </row>
    <row r="739" ht="15" customHeight="1" s="12">
      <c r="A739" s="14">
        <f>'Raw Data'!A739</f>
        <v/>
      </c>
      <c r="B739" s="14">
        <f>'Raw Data'!B739</f>
        <v/>
      </c>
      <c r="C739" s="14">
        <f>'Raw Data'!C739</f>
        <v/>
      </c>
      <c r="D739" s="15">
        <f>'Raw Data'!M739</f>
        <v/>
      </c>
      <c r="E739" s="18">
        <f>'Raw Data'!M739/'Raw Data'!L739*100</f>
        <v/>
      </c>
      <c r="F739" s="14">
        <f>IF(E739&gt;15,"Wet Year",IF(E739&lt;-15,"Dry Year","Normal Year"))</f>
        <v/>
      </c>
      <c r="G739" s="16">
        <f>'Raw Data'!I739</f>
        <v/>
      </c>
      <c r="H739" s="14">
        <f>IF(G739&lt;15,"Low Variability",IF(G739&lt;=35,"Moderate Variability","High Variability"))</f>
        <v/>
      </c>
      <c r="I739" s="18">
        <f>'Raw Data'!O739</f>
        <v/>
      </c>
      <c r="J739" s="14">
        <f>IF(I739=0,"No Flood",IF(I739&lt;=0.5,"Low",IF(I739&lt;=2,"Moderate","High")))</f>
        <v/>
      </c>
    </row>
    <row r="740" ht="15" customHeight="1" s="12">
      <c r="A740" s="14">
        <f>'Raw Data'!A740</f>
        <v/>
      </c>
      <c r="B740" s="14">
        <f>'Raw Data'!B740</f>
        <v/>
      </c>
      <c r="C740" s="14">
        <f>'Raw Data'!C740</f>
        <v/>
      </c>
      <c r="D740" s="15">
        <f>'Raw Data'!M740</f>
        <v/>
      </c>
      <c r="E740" s="18">
        <f>'Raw Data'!M740/'Raw Data'!L740*100</f>
        <v/>
      </c>
      <c r="F740" s="14">
        <f>IF(E740&gt;15,"Wet Year",IF(E740&lt;-15,"Dry Year","Normal Year"))</f>
        <v/>
      </c>
      <c r="G740" s="16">
        <f>'Raw Data'!I740</f>
        <v/>
      </c>
      <c r="H740" s="14">
        <f>IF(G740&lt;15,"Low Variability",IF(G740&lt;=35,"Moderate Variability","High Variability"))</f>
        <v/>
      </c>
      <c r="I740" s="18">
        <f>'Raw Data'!O740</f>
        <v/>
      </c>
      <c r="J740" s="14">
        <f>IF(I740=0,"No Flood",IF(I740&lt;=0.5,"Low",IF(I740&lt;=2,"Moderate","High")))</f>
        <v/>
      </c>
    </row>
    <row r="741" ht="15" customHeight="1" s="12">
      <c r="A741" s="14">
        <f>'Raw Data'!A741</f>
        <v/>
      </c>
      <c r="B741" s="14">
        <f>'Raw Data'!B741</f>
        <v/>
      </c>
      <c r="C741" s="14">
        <f>'Raw Data'!C741</f>
        <v/>
      </c>
      <c r="D741" s="15">
        <f>'Raw Data'!M741</f>
        <v/>
      </c>
      <c r="E741" s="18">
        <f>'Raw Data'!M741/'Raw Data'!L741*100</f>
        <v/>
      </c>
      <c r="F741" s="14">
        <f>IF(E741&gt;15,"Wet Year",IF(E741&lt;-15,"Dry Year","Normal Year"))</f>
        <v/>
      </c>
      <c r="G741" s="16">
        <f>'Raw Data'!I741</f>
        <v/>
      </c>
      <c r="H741" s="14">
        <f>IF(G741&lt;15,"Low Variability",IF(G741&lt;=35,"Moderate Variability","High Variability"))</f>
        <v/>
      </c>
      <c r="I741" s="18">
        <f>'Raw Data'!O741</f>
        <v/>
      </c>
      <c r="J741" s="14">
        <f>IF(I741=0,"No Flood",IF(I741&lt;=0.5,"Low",IF(I741&lt;=2,"Moderate","High")))</f>
        <v/>
      </c>
    </row>
    <row r="742" ht="15" customHeight="1" s="12">
      <c r="A742" s="14">
        <f>'Raw Data'!A742</f>
        <v/>
      </c>
      <c r="B742" s="14">
        <f>'Raw Data'!B742</f>
        <v/>
      </c>
      <c r="C742" s="14">
        <f>'Raw Data'!C742</f>
        <v/>
      </c>
      <c r="D742" s="15">
        <f>'Raw Data'!M742</f>
        <v/>
      </c>
      <c r="E742" s="18">
        <f>'Raw Data'!M742/'Raw Data'!L742*100</f>
        <v/>
      </c>
      <c r="F742" s="14">
        <f>IF(E742&gt;15,"Wet Year",IF(E742&lt;-15,"Dry Year","Normal Year"))</f>
        <v/>
      </c>
      <c r="G742" s="16">
        <f>'Raw Data'!I742</f>
        <v/>
      </c>
      <c r="H742" s="14">
        <f>IF(G742&lt;15,"Low Variability",IF(G742&lt;=35,"Moderate Variability","High Variability"))</f>
        <v/>
      </c>
      <c r="I742" s="18">
        <f>'Raw Data'!O742</f>
        <v/>
      </c>
      <c r="J742" s="14">
        <f>IF(I742=0,"No Flood",IF(I742&lt;=0.5,"Low",IF(I742&lt;=2,"Moderate","High")))</f>
        <v/>
      </c>
    </row>
    <row r="743" ht="15" customHeight="1" s="12">
      <c r="A743" s="14">
        <f>'Raw Data'!A743</f>
        <v/>
      </c>
      <c r="B743" s="14">
        <f>'Raw Data'!B743</f>
        <v/>
      </c>
      <c r="C743" s="14">
        <f>'Raw Data'!C743</f>
        <v/>
      </c>
      <c r="D743" s="15">
        <f>'Raw Data'!M743</f>
        <v/>
      </c>
      <c r="E743" s="18">
        <f>'Raw Data'!M743/'Raw Data'!L743*100</f>
        <v/>
      </c>
      <c r="F743" s="14">
        <f>IF(E743&gt;15,"Wet Year",IF(E743&lt;-15,"Dry Year","Normal Year"))</f>
        <v/>
      </c>
      <c r="G743" s="16">
        <f>'Raw Data'!I743</f>
        <v/>
      </c>
      <c r="H743" s="14">
        <f>IF(G743&lt;15,"Low Variability",IF(G743&lt;=35,"Moderate Variability","High Variability"))</f>
        <v/>
      </c>
      <c r="I743" s="18">
        <f>'Raw Data'!O743</f>
        <v/>
      </c>
      <c r="J743" s="14">
        <f>IF(I743=0,"No Flood",IF(I743&lt;=0.5,"Low",IF(I743&lt;=2,"Moderate","High")))</f>
        <v/>
      </c>
    </row>
    <row r="744" ht="15" customHeight="1" s="12">
      <c r="A744" s="14">
        <f>'Raw Data'!A744</f>
        <v/>
      </c>
      <c r="B744" s="14">
        <f>'Raw Data'!B744</f>
        <v/>
      </c>
      <c r="C744" s="14">
        <f>'Raw Data'!C744</f>
        <v/>
      </c>
      <c r="D744" s="15">
        <f>'Raw Data'!M744</f>
        <v/>
      </c>
      <c r="E744" s="18">
        <f>'Raw Data'!M744/'Raw Data'!L744*100</f>
        <v/>
      </c>
      <c r="F744" s="14">
        <f>IF(E744&gt;15,"Wet Year",IF(E744&lt;-15,"Dry Year","Normal Year"))</f>
        <v/>
      </c>
      <c r="G744" s="16">
        <f>'Raw Data'!I744</f>
        <v/>
      </c>
      <c r="H744" s="14">
        <f>IF(G744&lt;15,"Low Variability",IF(G744&lt;=35,"Moderate Variability","High Variability"))</f>
        <v/>
      </c>
      <c r="I744" s="18">
        <f>'Raw Data'!O744</f>
        <v/>
      </c>
      <c r="J744" s="14">
        <f>IF(I744=0,"No Flood",IF(I744&lt;=0.5,"Low",IF(I744&lt;=2,"Moderate","High")))</f>
        <v/>
      </c>
    </row>
    <row r="745" ht="15" customHeight="1" s="12">
      <c r="A745" s="14">
        <f>'Raw Data'!A745</f>
        <v/>
      </c>
      <c r="B745" s="14">
        <f>'Raw Data'!B745</f>
        <v/>
      </c>
      <c r="C745" s="14">
        <f>'Raw Data'!C745</f>
        <v/>
      </c>
      <c r="D745" s="15">
        <f>'Raw Data'!M745</f>
        <v/>
      </c>
      <c r="E745" s="18">
        <f>'Raw Data'!M745/'Raw Data'!L745*100</f>
        <v/>
      </c>
      <c r="F745" s="14">
        <f>IF(E745&gt;15,"Wet Year",IF(E745&lt;-15,"Dry Year","Normal Year"))</f>
        <v/>
      </c>
      <c r="G745" s="16">
        <f>'Raw Data'!I745</f>
        <v/>
      </c>
      <c r="H745" s="14">
        <f>IF(G745&lt;15,"Low Variability",IF(G745&lt;=35,"Moderate Variability","High Variability"))</f>
        <v/>
      </c>
      <c r="I745" s="18">
        <f>'Raw Data'!O745</f>
        <v/>
      </c>
      <c r="J745" s="14">
        <f>IF(I745=0,"No Flood",IF(I745&lt;=0.5,"Low",IF(I745&lt;=2,"Moderate","High")))</f>
        <v/>
      </c>
    </row>
    <row r="746" ht="15" customHeight="1" s="12">
      <c r="A746" s="14">
        <f>'Raw Data'!A746</f>
        <v/>
      </c>
      <c r="B746" s="14">
        <f>'Raw Data'!B746</f>
        <v/>
      </c>
      <c r="C746" s="14">
        <f>'Raw Data'!C746</f>
        <v/>
      </c>
      <c r="D746" s="15">
        <f>'Raw Data'!M746</f>
        <v/>
      </c>
      <c r="E746" s="18">
        <f>'Raw Data'!M746/'Raw Data'!L746*100</f>
        <v/>
      </c>
      <c r="F746" s="14">
        <f>IF(E746&gt;15,"Wet Year",IF(E746&lt;-15,"Dry Year","Normal Year"))</f>
        <v/>
      </c>
      <c r="G746" s="16">
        <f>'Raw Data'!I746</f>
        <v/>
      </c>
      <c r="H746" s="14">
        <f>IF(G746&lt;15,"Low Variability",IF(G746&lt;=35,"Moderate Variability","High Variability"))</f>
        <v/>
      </c>
      <c r="I746" s="18">
        <f>'Raw Data'!O746</f>
        <v/>
      </c>
      <c r="J746" s="14">
        <f>IF(I746=0,"No Flood",IF(I746&lt;=0.5,"Low",IF(I746&lt;=2,"Moderate","High")))</f>
        <v/>
      </c>
    </row>
    <row r="747" ht="15" customHeight="1" s="12">
      <c r="A747" s="14">
        <f>'Raw Data'!A747</f>
        <v/>
      </c>
      <c r="B747" s="14">
        <f>'Raw Data'!B747</f>
        <v/>
      </c>
      <c r="C747" s="14">
        <f>'Raw Data'!C747</f>
        <v/>
      </c>
      <c r="D747" s="15">
        <f>'Raw Data'!M747</f>
        <v/>
      </c>
      <c r="E747" s="18">
        <f>'Raw Data'!M747/'Raw Data'!L747*100</f>
        <v/>
      </c>
      <c r="F747" s="14">
        <f>IF(E747&gt;15,"Wet Year",IF(E747&lt;-15,"Dry Year","Normal Year"))</f>
        <v/>
      </c>
      <c r="G747" s="16">
        <f>'Raw Data'!I747</f>
        <v/>
      </c>
      <c r="H747" s="14">
        <f>IF(G747&lt;15,"Low Variability",IF(G747&lt;=35,"Moderate Variability","High Variability"))</f>
        <v/>
      </c>
      <c r="I747" s="18">
        <f>'Raw Data'!O747</f>
        <v/>
      </c>
      <c r="J747" s="14">
        <f>IF(I747=0,"No Flood",IF(I747&lt;=0.5,"Low",IF(I747&lt;=2,"Moderate","High")))</f>
        <v/>
      </c>
    </row>
    <row r="748" ht="15" customHeight="1" s="12">
      <c r="A748" s="14">
        <f>'Raw Data'!A748</f>
        <v/>
      </c>
      <c r="B748" s="14">
        <f>'Raw Data'!B748</f>
        <v/>
      </c>
      <c r="C748" s="14">
        <f>'Raw Data'!C748</f>
        <v/>
      </c>
      <c r="D748" s="15">
        <f>'Raw Data'!M748</f>
        <v/>
      </c>
      <c r="E748" s="18">
        <f>'Raw Data'!M748/'Raw Data'!L748*100</f>
        <v/>
      </c>
      <c r="F748" s="14">
        <f>IF(E748&gt;15,"Wet Year",IF(E748&lt;-15,"Dry Year","Normal Year"))</f>
        <v/>
      </c>
      <c r="G748" s="16">
        <f>'Raw Data'!I748</f>
        <v/>
      </c>
      <c r="H748" s="14">
        <f>IF(G748&lt;15,"Low Variability",IF(G748&lt;=35,"Moderate Variability","High Variability"))</f>
        <v/>
      </c>
      <c r="I748" s="18">
        <f>'Raw Data'!O748</f>
        <v/>
      </c>
      <c r="J748" s="14">
        <f>IF(I748=0,"No Flood",IF(I748&lt;=0.5,"Low",IF(I748&lt;=2,"Moderate","High")))</f>
        <v/>
      </c>
    </row>
    <row r="749" ht="15" customHeight="1" s="12">
      <c r="A749" s="14">
        <f>'Raw Data'!A749</f>
        <v/>
      </c>
      <c r="B749" s="14">
        <f>'Raw Data'!B749</f>
        <v/>
      </c>
      <c r="C749" s="14">
        <f>'Raw Data'!C749</f>
        <v/>
      </c>
      <c r="D749" s="15">
        <f>'Raw Data'!M749</f>
        <v/>
      </c>
      <c r="E749" s="18">
        <f>'Raw Data'!M749/'Raw Data'!L749*100</f>
        <v/>
      </c>
      <c r="F749" s="14">
        <f>IF(E749&gt;15,"Wet Year",IF(E749&lt;-15,"Dry Year","Normal Year"))</f>
        <v/>
      </c>
      <c r="G749" s="16">
        <f>'Raw Data'!I749</f>
        <v/>
      </c>
      <c r="H749" s="14">
        <f>IF(G749&lt;15,"Low Variability",IF(G749&lt;=35,"Moderate Variability","High Variability"))</f>
        <v/>
      </c>
      <c r="I749" s="18">
        <f>'Raw Data'!O749</f>
        <v/>
      </c>
      <c r="J749" s="14">
        <f>IF(I749=0,"No Flood",IF(I749&lt;=0.5,"Low",IF(I749&lt;=2,"Moderate","High")))</f>
        <v/>
      </c>
    </row>
    <row r="750" ht="15" customHeight="1" s="12">
      <c r="A750" s="14">
        <f>'Raw Data'!A750</f>
        <v/>
      </c>
      <c r="B750" s="14">
        <f>'Raw Data'!B750</f>
        <v/>
      </c>
      <c r="C750" s="14">
        <f>'Raw Data'!C750</f>
        <v/>
      </c>
      <c r="D750" s="15">
        <f>'Raw Data'!M750</f>
        <v/>
      </c>
      <c r="E750" s="18">
        <f>'Raw Data'!M750/'Raw Data'!L750*100</f>
        <v/>
      </c>
      <c r="F750" s="14">
        <f>IF(E750&gt;15,"Wet Year",IF(E750&lt;-15,"Dry Year","Normal Year"))</f>
        <v/>
      </c>
      <c r="G750" s="16">
        <f>'Raw Data'!I750</f>
        <v/>
      </c>
      <c r="H750" s="14">
        <f>IF(G750&lt;15,"Low Variability",IF(G750&lt;=35,"Moderate Variability","High Variability"))</f>
        <v/>
      </c>
      <c r="I750" s="18">
        <f>'Raw Data'!O750</f>
        <v/>
      </c>
      <c r="J750" s="14">
        <f>IF(I750=0,"No Flood",IF(I750&lt;=0.5,"Low",IF(I750&lt;=2,"Moderate","High")))</f>
        <v/>
      </c>
    </row>
    <row r="751" ht="15" customHeight="1" s="12">
      <c r="A751" s="14">
        <f>'Raw Data'!A751</f>
        <v/>
      </c>
      <c r="B751" s="14">
        <f>'Raw Data'!B751</f>
        <v/>
      </c>
      <c r="C751" s="14">
        <f>'Raw Data'!C751</f>
        <v/>
      </c>
      <c r="D751" s="15">
        <f>'Raw Data'!M751</f>
        <v/>
      </c>
      <c r="E751" s="18">
        <f>'Raw Data'!M751/'Raw Data'!L751*100</f>
        <v/>
      </c>
      <c r="F751" s="14">
        <f>IF(E751&gt;15,"Wet Year",IF(E751&lt;-15,"Dry Year","Normal Year"))</f>
        <v/>
      </c>
      <c r="G751" s="16">
        <f>'Raw Data'!I751</f>
        <v/>
      </c>
      <c r="H751" s="14">
        <f>IF(G751&lt;15,"Low Variability",IF(G751&lt;=35,"Moderate Variability","High Variability"))</f>
        <v/>
      </c>
      <c r="I751" s="18">
        <f>'Raw Data'!O751</f>
        <v/>
      </c>
      <c r="J751" s="14">
        <f>IF(I751=0,"No Flood",IF(I751&lt;=0.5,"Low",IF(I751&lt;=2,"Moderate","High")))</f>
        <v/>
      </c>
    </row>
    <row r="752" ht="15" customHeight="1" s="12">
      <c r="A752" s="14">
        <f>'Raw Data'!A752</f>
        <v/>
      </c>
      <c r="B752" s="14">
        <f>'Raw Data'!B752</f>
        <v/>
      </c>
      <c r="C752" s="14">
        <f>'Raw Data'!C752</f>
        <v/>
      </c>
      <c r="D752" s="15">
        <f>'Raw Data'!M752</f>
        <v/>
      </c>
      <c r="E752" s="18">
        <f>'Raw Data'!M752/'Raw Data'!L752*100</f>
        <v/>
      </c>
      <c r="F752" s="14">
        <f>IF(E752&gt;15,"Wet Year",IF(E752&lt;-15,"Dry Year","Normal Year"))</f>
        <v/>
      </c>
      <c r="G752" s="16">
        <f>'Raw Data'!I752</f>
        <v/>
      </c>
      <c r="H752" s="14">
        <f>IF(G752&lt;15,"Low Variability",IF(G752&lt;=35,"Moderate Variability","High Variability"))</f>
        <v/>
      </c>
      <c r="I752" s="18">
        <f>'Raw Data'!O752</f>
        <v/>
      </c>
      <c r="J752" s="14">
        <f>IF(I752=0,"No Flood",IF(I752&lt;=0.5,"Low",IF(I752&lt;=2,"Moderate","High")))</f>
        <v/>
      </c>
    </row>
    <row r="753" ht="15" customHeight="1" s="12">
      <c r="A753" s="14">
        <f>'Raw Data'!A753</f>
        <v/>
      </c>
      <c r="B753" s="14">
        <f>'Raw Data'!B753</f>
        <v/>
      </c>
      <c r="C753" s="14">
        <f>'Raw Data'!C753</f>
        <v/>
      </c>
      <c r="D753" s="15">
        <f>'Raw Data'!M753</f>
        <v/>
      </c>
      <c r="E753" s="18">
        <f>'Raw Data'!M753/'Raw Data'!L753*100</f>
        <v/>
      </c>
      <c r="F753" s="14">
        <f>IF(E753&gt;15,"Wet Year",IF(E753&lt;-15,"Dry Year","Normal Year"))</f>
        <v/>
      </c>
      <c r="G753" s="16">
        <f>'Raw Data'!I753</f>
        <v/>
      </c>
      <c r="H753" s="14">
        <f>IF(G753&lt;15,"Low Variability",IF(G753&lt;=35,"Moderate Variability","High Variability"))</f>
        <v/>
      </c>
      <c r="I753" s="18">
        <f>'Raw Data'!O753</f>
        <v/>
      </c>
      <c r="J753" s="14">
        <f>IF(I753=0,"No Flood",IF(I753&lt;=0.5,"Low",IF(I753&lt;=2,"Moderate","High")))</f>
        <v/>
      </c>
    </row>
    <row r="754" ht="15" customHeight="1" s="12">
      <c r="A754" s="14">
        <f>'Raw Data'!A754</f>
        <v/>
      </c>
      <c r="B754" s="14">
        <f>'Raw Data'!B754</f>
        <v/>
      </c>
      <c r="C754" s="14">
        <f>'Raw Data'!C754</f>
        <v/>
      </c>
      <c r="D754" s="15">
        <f>'Raw Data'!M754</f>
        <v/>
      </c>
      <c r="E754" s="18">
        <f>'Raw Data'!M754/'Raw Data'!L754*100</f>
        <v/>
      </c>
      <c r="F754" s="14">
        <f>IF(E754&gt;15,"Wet Year",IF(E754&lt;-15,"Dry Year","Normal Year"))</f>
        <v/>
      </c>
      <c r="G754" s="16">
        <f>'Raw Data'!I754</f>
        <v/>
      </c>
      <c r="H754" s="14">
        <f>IF(G754&lt;15,"Low Variability",IF(G754&lt;=35,"Moderate Variability","High Variability"))</f>
        <v/>
      </c>
      <c r="I754" s="18">
        <f>'Raw Data'!O754</f>
        <v/>
      </c>
      <c r="J754" s="14">
        <f>IF(I754=0,"No Flood",IF(I754&lt;=0.5,"Low",IF(I754&lt;=2,"Moderate","High")))</f>
        <v/>
      </c>
    </row>
    <row r="755" ht="15" customHeight="1" s="12">
      <c r="A755" s="14">
        <f>'Raw Data'!A755</f>
        <v/>
      </c>
      <c r="B755" s="14">
        <f>'Raw Data'!B755</f>
        <v/>
      </c>
      <c r="C755" s="14">
        <f>'Raw Data'!C755</f>
        <v/>
      </c>
      <c r="D755" s="15">
        <f>'Raw Data'!M755</f>
        <v/>
      </c>
      <c r="E755" s="18">
        <f>'Raw Data'!M755/'Raw Data'!L755*100</f>
        <v/>
      </c>
      <c r="F755" s="14">
        <f>IF(E755&gt;15,"Wet Year",IF(E755&lt;-15,"Dry Year","Normal Year"))</f>
        <v/>
      </c>
      <c r="G755" s="16">
        <f>'Raw Data'!I755</f>
        <v/>
      </c>
      <c r="H755" s="14">
        <f>IF(G755&lt;15,"Low Variability",IF(G755&lt;=35,"Moderate Variability","High Variability"))</f>
        <v/>
      </c>
      <c r="I755" s="18">
        <f>'Raw Data'!O755</f>
        <v/>
      </c>
      <c r="J755" s="14">
        <f>IF(I755=0,"No Flood",IF(I755&lt;=0.5,"Low",IF(I755&lt;=2,"Moderate","High")))</f>
        <v/>
      </c>
    </row>
    <row r="756" ht="15" customHeight="1" s="12">
      <c r="A756" s="14">
        <f>'Raw Data'!A756</f>
        <v/>
      </c>
      <c r="B756" s="14">
        <f>'Raw Data'!B756</f>
        <v/>
      </c>
      <c r="C756" s="14">
        <f>'Raw Data'!C756</f>
        <v/>
      </c>
      <c r="D756" s="15">
        <f>'Raw Data'!M756</f>
        <v/>
      </c>
      <c r="E756" s="18">
        <f>'Raw Data'!M756/'Raw Data'!L756*100</f>
        <v/>
      </c>
      <c r="F756" s="14">
        <f>IF(E756&gt;15,"Wet Year",IF(E756&lt;-15,"Dry Year","Normal Year"))</f>
        <v/>
      </c>
      <c r="G756" s="16">
        <f>'Raw Data'!I756</f>
        <v/>
      </c>
      <c r="H756" s="14">
        <f>IF(G756&lt;15,"Low Variability",IF(G756&lt;=35,"Moderate Variability","High Variability"))</f>
        <v/>
      </c>
      <c r="I756" s="18">
        <f>'Raw Data'!O756</f>
        <v/>
      </c>
      <c r="J756" s="14">
        <f>IF(I756=0,"No Flood",IF(I756&lt;=0.5,"Low",IF(I756&lt;=2,"Moderate","High")))</f>
        <v/>
      </c>
    </row>
    <row r="757" ht="15" customHeight="1" s="12">
      <c r="A757" s="14">
        <f>'Raw Data'!A757</f>
        <v/>
      </c>
      <c r="B757" s="14">
        <f>'Raw Data'!B757</f>
        <v/>
      </c>
      <c r="C757" s="14">
        <f>'Raw Data'!C757</f>
        <v/>
      </c>
      <c r="D757" s="15">
        <f>'Raw Data'!M757</f>
        <v/>
      </c>
      <c r="E757" s="18">
        <f>'Raw Data'!M757/'Raw Data'!L757*100</f>
        <v/>
      </c>
      <c r="F757" s="14">
        <f>IF(E757&gt;15,"Wet Year",IF(E757&lt;-15,"Dry Year","Normal Year"))</f>
        <v/>
      </c>
      <c r="G757" s="16">
        <f>'Raw Data'!I757</f>
        <v/>
      </c>
      <c r="H757" s="14">
        <f>IF(G757&lt;15,"Low Variability",IF(G757&lt;=35,"Moderate Variability","High Variability"))</f>
        <v/>
      </c>
      <c r="I757" s="18">
        <f>'Raw Data'!O757</f>
        <v/>
      </c>
      <c r="J757" s="14">
        <f>IF(I757=0,"No Flood",IF(I757&lt;=0.5,"Low",IF(I757&lt;=2,"Moderate","High")))</f>
        <v/>
      </c>
    </row>
    <row r="758" ht="15" customHeight="1" s="12">
      <c r="A758" s="14">
        <f>'Raw Data'!A758</f>
        <v/>
      </c>
      <c r="B758" s="14">
        <f>'Raw Data'!B758</f>
        <v/>
      </c>
      <c r="C758" s="14">
        <f>'Raw Data'!C758</f>
        <v/>
      </c>
      <c r="D758" s="15">
        <f>'Raw Data'!M758</f>
        <v/>
      </c>
      <c r="E758" s="18">
        <f>'Raw Data'!M758/'Raw Data'!L758*100</f>
        <v/>
      </c>
      <c r="F758" s="14">
        <f>IF(E758&gt;15,"Wet Year",IF(E758&lt;-15,"Dry Year","Normal Year"))</f>
        <v/>
      </c>
      <c r="G758" s="16">
        <f>'Raw Data'!I758</f>
        <v/>
      </c>
      <c r="H758" s="14">
        <f>IF(G758&lt;15,"Low Variability",IF(G758&lt;=35,"Moderate Variability","High Variability"))</f>
        <v/>
      </c>
      <c r="I758" s="18">
        <f>'Raw Data'!O758</f>
        <v/>
      </c>
      <c r="J758" s="14">
        <f>IF(I758=0,"No Flood",IF(I758&lt;=0.5,"Low",IF(I758&lt;=2,"Moderate","High")))</f>
        <v/>
      </c>
    </row>
    <row r="759" ht="15" customHeight="1" s="12">
      <c r="A759" s="14">
        <f>'Raw Data'!A759</f>
        <v/>
      </c>
      <c r="B759" s="14">
        <f>'Raw Data'!B759</f>
        <v/>
      </c>
      <c r="C759" s="14">
        <f>'Raw Data'!C759</f>
        <v/>
      </c>
      <c r="D759" s="15">
        <f>'Raw Data'!M759</f>
        <v/>
      </c>
      <c r="E759" s="18">
        <f>'Raw Data'!M759/'Raw Data'!L759*100</f>
        <v/>
      </c>
      <c r="F759" s="14">
        <f>IF(E759&gt;15,"Wet Year",IF(E759&lt;-15,"Dry Year","Normal Year"))</f>
        <v/>
      </c>
      <c r="G759" s="16">
        <f>'Raw Data'!I759</f>
        <v/>
      </c>
      <c r="H759" s="14">
        <f>IF(G759&lt;15,"Low Variability",IF(G759&lt;=35,"Moderate Variability","High Variability"))</f>
        <v/>
      </c>
      <c r="I759" s="18">
        <f>'Raw Data'!O759</f>
        <v/>
      </c>
      <c r="J759" s="14">
        <f>IF(I759=0,"No Flood",IF(I759&lt;=0.5,"Low",IF(I759&lt;=2,"Moderate","High")))</f>
        <v/>
      </c>
    </row>
    <row r="760" ht="15" customHeight="1" s="12">
      <c r="A760" s="14">
        <f>'Raw Data'!A760</f>
        <v/>
      </c>
      <c r="B760" s="14">
        <f>'Raw Data'!B760</f>
        <v/>
      </c>
      <c r="C760" s="14">
        <f>'Raw Data'!C760</f>
        <v/>
      </c>
      <c r="D760" s="15">
        <f>'Raw Data'!M760</f>
        <v/>
      </c>
      <c r="E760" s="18">
        <f>'Raw Data'!M760/'Raw Data'!L760*100</f>
        <v/>
      </c>
      <c r="F760" s="14">
        <f>IF(E760&gt;15,"Wet Year",IF(E760&lt;-15,"Dry Year","Normal Year"))</f>
        <v/>
      </c>
      <c r="G760" s="16">
        <f>'Raw Data'!I760</f>
        <v/>
      </c>
      <c r="H760" s="14">
        <f>IF(G760&lt;15,"Low Variability",IF(G760&lt;=35,"Moderate Variability","High Variability"))</f>
        <v/>
      </c>
      <c r="I760" s="18">
        <f>'Raw Data'!O760</f>
        <v/>
      </c>
      <c r="J760" s="14">
        <f>IF(I760=0,"No Flood",IF(I760&lt;=0.5,"Low",IF(I760&lt;=2,"Moderate","High")))</f>
        <v/>
      </c>
    </row>
    <row r="761" ht="15" customHeight="1" s="12">
      <c r="A761" s="14">
        <f>'Raw Data'!A761</f>
        <v/>
      </c>
      <c r="B761" s="14">
        <f>'Raw Data'!B761</f>
        <v/>
      </c>
      <c r="C761" s="14">
        <f>'Raw Data'!C761</f>
        <v/>
      </c>
      <c r="D761" s="15">
        <f>'Raw Data'!M761</f>
        <v/>
      </c>
      <c r="E761" s="18">
        <f>'Raw Data'!M761/'Raw Data'!L761*100</f>
        <v/>
      </c>
      <c r="F761" s="14">
        <f>IF(E761&gt;15,"Wet Year",IF(E761&lt;-15,"Dry Year","Normal Year"))</f>
        <v/>
      </c>
      <c r="G761" s="16">
        <f>'Raw Data'!I761</f>
        <v/>
      </c>
      <c r="H761" s="14">
        <f>IF(G761&lt;15,"Low Variability",IF(G761&lt;=35,"Moderate Variability","High Variability"))</f>
        <v/>
      </c>
      <c r="I761" s="18">
        <f>'Raw Data'!O761</f>
        <v/>
      </c>
      <c r="J761" s="14">
        <f>IF(I761=0,"No Flood",IF(I761&lt;=0.5,"Low",IF(I761&lt;=2,"Moderate","High")))</f>
        <v/>
      </c>
    </row>
    <row r="762" ht="15" customHeight="1" s="12">
      <c r="A762" s="14">
        <f>'Raw Data'!A762</f>
        <v/>
      </c>
      <c r="B762" s="14">
        <f>'Raw Data'!B762</f>
        <v/>
      </c>
      <c r="C762" s="14">
        <f>'Raw Data'!C762</f>
        <v/>
      </c>
      <c r="D762" s="15">
        <f>'Raw Data'!M762</f>
        <v/>
      </c>
      <c r="E762" s="18">
        <f>'Raw Data'!M762/'Raw Data'!L762*100</f>
        <v/>
      </c>
      <c r="F762" s="14">
        <f>IF(E762&gt;15,"Wet Year",IF(E762&lt;-15,"Dry Year","Normal Year"))</f>
        <v/>
      </c>
      <c r="G762" s="16">
        <f>'Raw Data'!I762</f>
        <v/>
      </c>
      <c r="H762" s="14">
        <f>IF(G762&lt;15,"Low Variability",IF(G762&lt;=35,"Moderate Variability","High Variability"))</f>
        <v/>
      </c>
      <c r="I762" s="18">
        <f>'Raw Data'!O762</f>
        <v/>
      </c>
      <c r="J762" s="14">
        <f>IF(I762=0,"No Flood",IF(I762&lt;=0.5,"Low",IF(I762&lt;=2,"Moderate","High")))</f>
        <v/>
      </c>
    </row>
    <row r="763" ht="15" customHeight="1" s="12">
      <c r="A763" s="14">
        <f>'Raw Data'!A763</f>
        <v/>
      </c>
      <c r="B763" s="14">
        <f>'Raw Data'!B763</f>
        <v/>
      </c>
      <c r="C763" s="14">
        <f>'Raw Data'!C763</f>
        <v/>
      </c>
      <c r="D763" s="15">
        <f>'Raw Data'!M763</f>
        <v/>
      </c>
      <c r="E763" s="18">
        <f>'Raw Data'!M763/'Raw Data'!L763*100</f>
        <v/>
      </c>
      <c r="F763" s="14">
        <f>IF(E763&gt;15,"Wet Year",IF(E763&lt;-15,"Dry Year","Normal Year"))</f>
        <v/>
      </c>
      <c r="G763" s="16">
        <f>'Raw Data'!I763</f>
        <v/>
      </c>
      <c r="H763" s="14">
        <f>IF(G763&lt;15,"Low Variability",IF(G763&lt;=35,"Moderate Variability","High Variability"))</f>
        <v/>
      </c>
      <c r="I763" s="18">
        <f>'Raw Data'!O763</f>
        <v/>
      </c>
      <c r="J763" s="14">
        <f>IF(I763=0,"No Flood",IF(I763&lt;=0.5,"Low",IF(I763&lt;=2,"Moderate","High")))</f>
        <v/>
      </c>
    </row>
    <row r="764" ht="15" customHeight="1" s="12">
      <c r="A764" s="14">
        <f>'Raw Data'!A764</f>
        <v/>
      </c>
      <c r="B764" s="14">
        <f>'Raw Data'!B764</f>
        <v/>
      </c>
      <c r="C764" s="14">
        <f>'Raw Data'!C764</f>
        <v/>
      </c>
      <c r="D764" s="15">
        <f>'Raw Data'!M764</f>
        <v/>
      </c>
      <c r="E764" s="18">
        <f>'Raw Data'!M764/'Raw Data'!L764*100</f>
        <v/>
      </c>
      <c r="F764" s="14">
        <f>IF(E764&gt;15,"Wet Year",IF(E764&lt;-15,"Dry Year","Normal Year"))</f>
        <v/>
      </c>
      <c r="G764" s="16">
        <f>'Raw Data'!I764</f>
        <v/>
      </c>
      <c r="H764" s="14">
        <f>IF(G764&lt;15,"Low Variability",IF(G764&lt;=35,"Moderate Variability","High Variability"))</f>
        <v/>
      </c>
      <c r="I764" s="18">
        <f>'Raw Data'!O764</f>
        <v/>
      </c>
      <c r="J764" s="14">
        <f>IF(I764=0,"No Flood",IF(I764&lt;=0.5,"Low",IF(I764&lt;=2,"Moderate","High")))</f>
        <v/>
      </c>
    </row>
    <row r="765" ht="15" customHeight="1" s="12">
      <c r="A765" s="14">
        <f>'Raw Data'!A765</f>
        <v/>
      </c>
      <c r="B765" s="14">
        <f>'Raw Data'!B765</f>
        <v/>
      </c>
      <c r="C765" s="14">
        <f>'Raw Data'!C765</f>
        <v/>
      </c>
      <c r="D765" s="15">
        <f>'Raw Data'!M765</f>
        <v/>
      </c>
      <c r="E765" s="18">
        <f>'Raw Data'!M765/'Raw Data'!L765*100</f>
        <v/>
      </c>
      <c r="F765" s="14">
        <f>IF(E765&gt;15,"Wet Year",IF(E765&lt;-15,"Dry Year","Normal Year"))</f>
        <v/>
      </c>
      <c r="G765" s="16">
        <f>'Raw Data'!I765</f>
        <v/>
      </c>
      <c r="H765" s="14">
        <f>IF(G765&lt;15,"Low Variability",IF(G765&lt;=35,"Moderate Variability","High Variability"))</f>
        <v/>
      </c>
      <c r="I765" s="18">
        <f>'Raw Data'!O765</f>
        <v/>
      </c>
      <c r="J765" s="14">
        <f>IF(I765=0,"No Flood",IF(I765&lt;=0.5,"Low",IF(I765&lt;=2,"Moderate","High")))</f>
        <v/>
      </c>
    </row>
    <row r="766" ht="15" customHeight="1" s="12">
      <c r="A766" s="14">
        <f>'Raw Data'!A766</f>
        <v/>
      </c>
      <c r="B766" s="14">
        <f>'Raw Data'!B766</f>
        <v/>
      </c>
      <c r="C766" s="14">
        <f>'Raw Data'!C766</f>
        <v/>
      </c>
      <c r="D766" s="15">
        <f>'Raw Data'!M766</f>
        <v/>
      </c>
      <c r="E766" s="18">
        <f>'Raw Data'!M766/'Raw Data'!L766*100</f>
        <v/>
      </c>
      <c r="F766" s="14">
        <f>IF(E766&gt;15,"Wet Year",IF(E766&lt;-15,"Dry Year","Normal Year"))</f>
        <v/>
      </c>
      <c r="G766" s="16">
        <f>'Raw Data'!I766</f>
        <v/>
      </c>
      <c r="H766" s="14">
        <f>IF(G766&lt;15,"Low Variability",IF(G766&lt;=35,"Moderate Variability","High Variability"))</f>
        <v/>
      </c>
      <c r="I766" s="18">
        <f>'Raw Data'!O766</f>
        <v/>
      </c>
      <c r="J766" s="14">
        <f>IF(I766=0,"No Flood",IF(I766&lt;=0.5,"Low",IF(I766&lt;=2,"Moderate","High")))</f>
        <v/>
      </c>
    </row>
    <row r="767" ht="15" customHeight="1" s="12">
      <c r="A767" s="14">
        <f>'Raw Data'!A767</f>
        <v/>
      </c>
      <c r="B767" s="14">
        <f>'Raw Data'!B767</f>
        <v/>
      </c>
      <c r="C767" s="14">
        <f>'Raw Data'!C767</f>
        <v/>
      </c>
      <c r="D767" s="15">
        <f>'Raw Data'!M767</f>
        <v/>
      </c>
      <c r="E767" s="18">
        <f>'Raw Data'!M767/'Raw Data'!L767*100</f>
        <v/>
      </c>
      <c r="F767" s="14">
        <f>IF(E767&gt;15,"Wet Year",IF(E767&lt;-15,"Dry Year","Normal Year"))</f>
        <v/>
      </c>
      <c r="G767" s="16">
        <f>'Raw Data'!I767</f>
        <v/>
      </c>
      <c r="H767" s="14">
        <f>IF(G767&lt;15,"Low Variability",IF(G767&lt;=35,"Moderate Variability","High Variability"))</f>
        <v/>
      </c>
      <c r="I767" s="18">
        <f>'Raw Data'!O767</f>
        <v/>
      </c>
      <c r="J767" s="14">
        <f>IF(I767=0,"No Flood",IF(I767&lt;=0.5,"Low",IF(I767&lt;=2,"Moderate","High")))</f>
        <v/>
      </c>
    </row>
    <row r="768" ht="15" customHeight="1" s="12">
      <c r="A768" s="14">
        <f>'Raw Data'!A768</f>
        <v/>
      </c>
      <c r="B768" s="14">
        <f>'Raw Data'!B768</f>
        <v/>
      </c>
      <c r="C768" s="14">
        <f>'Raw Data'!C768</f>
        <v/>
      </c>
      <c r="D768" s="15">
        <f>'Raw Data'!M768</f>
        <v/>
      </c>
      <c r="E768" s="18">
        <f>'Raw Data'!M768/'Raw Data'!L768*100</f>
        <v/>
      </c>
      <c r="F768" s="14">
        <f>IF(E768&gt;15,"Wet Year",IF(E768&lt;-15,"Dry Year","Normal Year"))</f>
        <v/>
      </c>
      <c r="G768" s="16">
        <f>'Raw Data'!I768</f>
        <v/>
      </c>
      <c r="H768" s="14">
        <f>IF(G768&lt;15,"Low Variability",IF(G768&lt;=35,"Moderate Variability","High Variability"))</f>
        <v/>
      </c>
      <c r="I768" s="18">
        <f>'Raw Data'!O768</f>
        <v/>
      </c>
      <c r="J768" s="14">
        <f>IF(I768=0,"No Flood",IF(I768&lt;=0.5,"Low",IF(I768&lt;=2,"Moderate","High")))</f>
        <v/>
      </c>
    </row>
    <row r="769" ht="15" customHeight="1" s="12">
      <c r="A769" s="14">
        <f>'Raw Data'!A769</f>
        <v/>
      </c>
      <c r="B769" s="14">
        <f>'Raw Data'!B769</f>
        <v/>
      </c>
      <c r="C769" s="14">
        <f>'Raw Data'!C769</f>
        <v/>
      </c>
      <c r="D769" s="15">
        <f>'Raw Data'!M769</f>
        <v/>
      </c>
      <c r="E769" s="18">
        <f>'Raw Data'!M769/'Raw Data'!L769*100</f>
        <v/>
      </c>
      <c r="F769" s="14">
        <f>IF(E769&gt;15,"Wet Year",IF(E769&lt;-15,"Dry Year","Normal Year"))</f>
        <v/>
      </c>
      <c r="G769" s="16">
        <f>'Raw Data'!I769</f>
        <v/>
      </c>
      <c r="H769" s="14">
        <f>IF(G769&lt;15,"Low Variability",IF(G769&lt;=35,"Moderate Variability","High Variability"))</f>
        <v/>
      </c>
      <c r="I769" s="18">
        <f>'Raw Data'!O769</f>
        <v/>
      </c>
      <c r="J769" s="14">
        <f>IF(I769=0,"No Flood",IF(I769&lt;=0.5,"Low",IF(I769&lt;=2,"Moderate","High")))</f>
        <v/>
      </c>
    </row>
    <row r="770" ht="15" customHeight="1" s="12">
      <c r="A770" s="14">
        <f>'Raw Data'!A770</f>
        <v/>
      </c>
      <c r="B770" s="14">
        <f>'Raw Data'!B770</f>
        <v/>
      </c>
      <c r="C770" s="14">
        <f>'Raw Data'!C770</f>
        <v/>
      </c>
      <c r="D770" s="15">
        <f>'Raw Data'!M770</f>
        <v/>
      </c>
      <c r="E770" s="18">
        <f>'Raw Data'!M770/'Raw Data'!L770*100</f>
        <v/>
      </c>
      <c r="F770" s="14">
        <f>IF(E770&gt;15,"Wet Year",IF(E770&lt;-15,"Dry Year","Normal Year"))</f>
        <v/>
      </c>
      <c r="G770" s="16">
        <f>'Raw Data'!I770</f>
        <v/>
      </c>
      <c r="H770" s="14">
        <f>IF(G770&lt;15,"Low Variability",IF(G770&lt;=35,"Moderate Variability","High Variability"))</f>
        <v/>
      </c>
      <c r="I770" s="18">
        <f>'Raw Data'!O770</f>
        <v/>
      </c>
      <c r="J770" s="14">
        <f>IF(I770=0,"No Flood",IF(I770&lt;=0.5,"Low",IF(I770&lt;=2,"Moderate","High")))</f>
        <v/>
      </c>
    </row>
    <row r="771" ht="15" customHeight="1" s="12">
      <c r="A771" s="14">
        <f>'Raw Data'!A771</f>
        <v/>
      </c>
      <c r="B771" s="14">
        <f>'Raw Data'!B771</f>
        <v/>
      </c>
      <c r="C771" s="14">
        <f>'Raw Data'!C771</f>
        <v/>
      </c>
      <c r="D771" s="15">
        <f>'Raw Data'!M771</f>
        <v/>
      </c>
      <c r="E771" s="18">
        <f>'Raw Data'!M771/'Raw Data'!L771*100</f>
        <v/>
      </c>
      <c r="F771" s="14">
        <f>IF(E771&gt;15,"Wet Year",IF(E771&lt;-15,"Dry Year","Normal Year"))</f>
        <v/>
      </c>
      <c r="G771" s="16">
        <f>'Raw Data'!I771</f>
        <v/>
      </c>
      <c r="H771" s="14">
        <f>IF(G771&lt;15,"Low Variability",IF(G771&lt;=35,"Moderate Variability","High Variability"))</f>
        <v/>
      </c>
      <c r="I771" s="18">
        <f>'Raw Data'!O771</f>
        <v/>
      </c>
      <c r="J771" s="14">
        <f>IF(I771=0,"No Flood",IF(I771&lt;=0.5,"Low",IF(I771&lt;=2,"Moderate","High")))</f>
        <v/>
      </c>
    </row>
    <row r="772" ht="15" customHeight="1" s="12">
      <c r="A772" s="14">
        <f>'Raw Data'!A772</f>
        <v/>
      </c>
      <c r="B772" s="14">
        <f>'Raw Data'!B772</f>
        <v/>
      </c>
      <c r="C772" s="14">
        <f>'Raw Data'!C772</f>
        <v/>
      </c>
      <c r="D772" s="15">
        <f>'Raw Data'!M772</f>
        <v/>
      </c>
      <c r="E772" s="18">
        <f>'Raw Data'!M772/'Raw Data'!L772*100</f>
        <v/>
      </c>
      <c r="F772" s="14">
        <f>IF(E772&gt;15,"Wet Year",IF(E772&lt;-15,"Dry Year","Normal Year"))</f>
        <v/>
      </c>
      <c r="G772" s="16">
        <f>'Raw Data'!I772</f>
        <v/>
      </c>
      <c r="H772" s="14">
        <f>IF(G772&lt;15,"Low Variability",IF(G772&lt;=35,"Moderate Variability","High Variability"))</f>
        <v/>
      </c>
      <c r="I772" s="18">
        <f>'Raw Data'!O772</f>
        <v/>
      </c>
      <c r="J772" s="14">
        <f>IF(I772=0,"No Flood",IF(I772&lt;=0.5,"Low",IF(I772&lt;=2,"Moderate","High")))</f>
        <v/>
      </c>
    </row>
    <row r="773" ht="15" customHeight="1" s="12">
      <c r="A773" s="14">
        <f>'Raw Data'!A773</f>
        <v/>
      </c>
      <c r="B773" s="14">
        <f>'Raw Data'!B773</f>
        <v/>
      </c>
      <c r="C773" s="14">
        <f>'Raw Data'!C773</f>
        <v/>
      </c>
      <c r="D773" s="15">
        <f>'Raw Data'!M773</f>
        <v/>
      </c>
      <c r="E773" s="18">
        <f>'Raw Data'!M773/'Raw Data'!L773*100</f>
        <v/>
      </c>
      <c r="F773" s="14">
        <f>IF(E773&gt;15,"Wet Year",IF(E773&lt;-15,"Dry Year","Normal Year"))</f>
        <v/>
      </c>
      <c r="G773" s="16">
        <f>'Raw Data'!I773</f>
        <v/>
      </c>
      <c r="H773" s="14">
        <f>IF(G773&lt;15,"Low Variability",IF(G773&lt;=35,"Moderate Variability","High Variability"))</f>
        <v/>
      </c>
      <c r="I773" s="18">
        <f>'Raw Data'!O773</f>
        <v/>
      </c>
      <c r="J773" s="14">
        <f>IF(I773=0,"No Flood",IF(I773&lt;=0.5,"Low",IF(I773&lt;=2,"Moderate","High")))</f>
        <v/>
      </c>
    </row>
    <row r="774" ht="15" customHeight="1" s="12">
      <c r="A774" s="14">
        <f>'Raw Data'!A774</f>
        <v/>
      </c>
      <c r="B774" s="14">
        <f>'Raw Data'!B774</f>
        <v/>
      </c>
      <c r="C774" s="14">
        <f>'Raw Data'!C774</f>
        <v/>
      </c>
      <c r="D774" s="15">
        <f>'Raw Data'!M774</f>
        <v/>
      </c>
      <c r="E774" s="18">
        <f>'Raw Data'!M774/'Raw Data'!L774*100</f>
        <v/>
      </c>
      <c r="F774" s="14">
        <f>IF(E774&gt;15,"Wet Year",IF(E774&lt;-15,"Dry Year","Normal Year"))</f>
        <v/>
      </c>
      <c r="G774" s="16">
        <f>'Raw Data'!I774</f>
        <v/>
      </c>
      <c r="H774" s="14">
        <f>IF(G774&lt;15,"Low Variability",IF(G774&lt;=35,"Moderate Variability","High Variability"))</f>
        <v/>
      </c>
      <c r="I774" s="18">
        <f>'Raw Data'!O774</f>
        <v/>
      </c>
      <c r="J774" s="14">
        <f>IF(I774=0,"No Flood",IF(I774&lt;=0.5,"Low",IF(I774&lt;=2,"Moderate","High")))</f>
        <v/>
      </c>
    </row>
    <row r="775" ht="15" customHeight="1" s="12">
      <c r="A775" s="14">
        <f>'Raw Data'!A775</f>
        <v/>
      </c>
      <c r="B775" s="14">
        <f>'Raw Data'!B775</f>
        <v/>
      </c>
      <c r="C775" s="14">
        <f>'Raw Data'!C775</f>
        <v/>
      </c>
      <c r="D775" s="15">
        <f>'Raw Data'!M775</f>
        <v/>
      </c>
      <c r="E775" s="18">
        <f>'Raw Data'!M775/'Raw Data'!L775*100</f>
        <v/>
      </c>
      <c r="F775" s="14">
        <f>IF(E775&gt;15,"Wet Year",IF(E775&lt;-15,"Dry Year","Normal Year"))</f>
        <v/>
      </c>
      <c r="G775" s="16">
        <f>'Raw Data'!I775</f>
        <v/>
      </c>
      <c r="H775" s="14">
        <f>IF(G775&lt;15,"Low Variability",IF(G775&lt;=35,"Moderate Variability","High Variability"))</f>
        <v/>
      </c>
      <c r="I775" s="18">
        <f>'Raw Data'!O775</f>
        <v/>
      </c>
      <c r="J775" s="14">
        <f>IF(I775=0,"No Flood",IF(I775&lt;=0.5,"Low",IF(I775&lt;=2,"Moderate","High")))</f>
        <v/>
      </c>
    </row>
    <row r="776" ht="15" customHeight="1" s="12">
      <c r="A776" s="14">
        <f>'Raw Data'!A776</f>
        <v/>
      </c>
      <c r="B776" s="14">
        <f>'Raw Data'!B776</f>
        <v/>
      </c>
      <c r="C776" s="14">
        <f>'Raw Data'!C776</f>
        <v/>
      </c>
      <c r="D776" s="15">
        <f>'Raw Data'!M776</f>
        <v/>
      </c>
      <c r="E776" s="18">
        <f>'Raw Data'!M776/'Raw Data'!L776*100</f>
        <v/>
      </c>
      <c r="F776" s="14">
        <f>IF(E776&gt;15,"Wet Year",IF(E776&lt;-15,"Dry Year","Normal Year"))</f>
        <v/>
      </c>
      <c r="G776" s="16">
        <f>'Raw Data'!I776</f>
        <v/>
      </c>
      <c r="H776" s="14">
        <f>IF(G776&lt;15,"Low Variability",IF(G776&lt;=35,"Moderate Variability","High Variability"))</f>
        <v/>
      </c>
      <c r="I776" s="18">
        <f>'Raw Data'!O776</f>
        <v/>
      </c>
      <c r="J776" s="14">
        <f>IF(I776=0,"No Flood",IF(I776&lt;=0.5,"Low",IF(I776&lt;=2,"Moderate","High")))</f>
        <v/>
      </c>
    </row>
    <row r="777" ht="15" customHeight="1" s="12">
      <c r="A777" s="14">
        <f>'Raw Data'!A777</f>
        <v/>
      </c>
      <c r="B777" s="14">
        <f>'Raw Data'!B777</f>
        <v/>
      </c>
      <c r="C777" s="14">
        <f>'Raw Data'!C777</f>
        <v/>
      </c>
      <c r="D777" s="15">
        <f>'Raw Data'!M777</f>
        <v/>
      </c>
      <c r="E777" s="18">
        <f>'Raw Data'!M777/'Raw Data'!L777*100</f>
        <v/>
      </c>
      <c r="F777" s="14">
        <f>IF(E777&gt;15,"Wet Year",IF(E777&lt;-15,"Dry Year","Normal Year"))</f>
        <v/>
      </c>
      <c r="G777" s="16">
        <f>'Raw Data'!I777</f>
        <v/>
      </c>
      <c r="H777" s="14">
        <f>IF(G777&lt;15,"Low Variability",IF(G777&lt;=35,"Moderate Variability","High Variability"))</f>
        <v/>
      </c>
      <c r="I777" s="18">
        <f>'Raw Data'!O777</f>
        <v/>
      </c>
      <c r="J777" s="14">
        <f>IF(I777=0,"No Flood",IF(I777&lt;=0.5,"Low",IF(I777&lt;=2,"Moderate","High")))</f>
        <v/>
      </c>
    </row>
    <row r="778" ht="15" customHeight="1" s="12">
      <c r="A778" s="14">
        <f>'Raw Data'!A778</f>
        <v/>
      </c>
      <c r="B778" s="14">
        <f>'Raw Data'!B778</f>
        <v/>
      </c>
      <c r="C778" s="14">
        <f>'Raw Data'!C778</f>
        <v/>
      </c>
      <c r="D778" s="15">
        <f>'Raw Data'!M778</f>
        <v/>
      </c>
      <c r="E778" s="18">
        <f>'Raw Data'!M778/'Raw Data'!L778*100</f>
        <v/>
      </c>
      <c r="F778" s="14">
        <f>IF(E778&gt;15,"Wet Year",IF(E778&lt;-15,"Dry Year","Normal Year"))</f>
        <v/>
      </c>
      <c r="G778" s="16">
        <f>'Raw Data'!I778</f>
        <v/>
      </c>
      <c r="H778" s="14">
        <f>IF(G778&lt;15,"Low Variability",IF(G778&lt;=35,"Moderate Variability","High Variability"))</f>
        <v/>
      </c>
      <c r="I778" s="18">
        <f>'Raw Data'!O778</f>
        <v/>
      </c>
      <c r="J778" s="14">
        <f>IF(I778=0,"No Flood",IF(I778&lt;=0.5,"Low",IF(I778&lt;=2,"Moderate","High")))</f>
        <v/>
      </c>
    </row>
    <row r="779" ht="15" customHeight="1" s="12">
      <c r="A779" s="14">
        <f>'Raw Data'!A779</f>
        <v/>
      </c>
      <c r="B779" s="14">
        <f>'Raw Data'!B779</f>
        <v/>
      </c>
      <c r="C779" s="14">
        <f>'Raw Data'!C779</f>
        <v/>
      </c>
      <c r="D779" s="15">
        <f>'Raw Data'!M779</f>
        <v/>
      </c>
      <c r="E779" s="18">
        <f>'Raw Data'!M779/'Raw Data'!L779*100</f>
        <v/>
      </c>
      <c r="F779" s="14">
        <f>IF(E779&gt;15,"Wet Year",IF(E779&lt;-15,"Dry Year","Normal Year"))</f>
        <v/>
      </c>
      <c r="G779" s="16">
        <f>'Raw Data'!I779</f>
        <v/>
      </c>
      <c r="H779" s="14">
        <f>IF(G779&lt;15,"Low Variability",IF(G779&lt;=35,"Moderate Variability","High Variability"))</f>
        <v/>
      </c>
      <c r="I779" s="18">
        <f>'Raw Data'!O779</f>
        <v/>
      </c>
      <c r="J779" s="14">
        <f>IF(I779=0,"No Flood",IF(I779&lt;=0.5,"Low",IF(I779&lt;=2,"Moderate","High")))</f>
        <v/>
      </c>
    </row>
    <row r="780" ht="15" customHeight="1" s="12">
      <c r="A780" s="14">
        <f>'Raw Data'!A780</f>
        <v/>
      </c>
      <c r="B780" s="14">
        <f>'Raw Data'!B780</f>
        <v/>
      </c>
      <c r="C780" s="14">
        <f>'Raw Data'!C780</f>
        <v/>
      </c>
      <c r="D780" s="15">
        <f>'Raw Data'!M780</f>
        <v/>
      </c>
      <c r="E780" s="18">
        <f>'Raw Data'!M780/'Raw Data'!L780*100</f>
        <v/>
      </c>
      <c r="F780" s="14">
        <f>IF(E780&gt;15,"Wet Year",IF(E780&lt;-15,"Dry Year","Normal Year"))</f>
        <v/>
      </c>
      <c r="G780" s="16">
        <f>'Raw Data'!I780</f>
        <v/>
      </c>
      <c r="H780" s="14">
        <f>IF(G780&lt;15,"Low Variability",IF(G780&lt;=35,"Moderate Variability","High Variability"))</f>
        <v/>
      </c>
      <c r="I780" s="18">
        <f>'Raw Data'!O780</f>
        <v/>
      </c>
      <c r="J780" s="14">
        <f>IF(I780=0,"No Flood",IF(I780&lt;=0.5,"Low",IF(I780&lt;=2,"Moderate","High")))</f>
        <v/>
      </c>
    </row>
    <row r="781" ht="15" customHeight="1" s="12">
      <c r="A781" s="14">
        <f>'Raw Data'!A781</f>
        <v/>
      </c>
      <c r="B781" s="14">
        <f>'Raw Data'!B781</f>
        <v/>
      </c>
      <c r="C781" s="14">
        <f>'Raw Data'!C781</f>
        <v/>
      </c>
      <c r="D781" s="15">
        <f>'Raw Data'!M781</f>
        <v/>
      </c>
      <c r="E781" s="18">
        <f>'Raw Data'!M781/'Raw Data'!L781*100</f>
        <v/>
      </c>
      <c r="F781" s="14">
        <f>IF(E781&gt;15,"Wet Year",IF(E781&lt;-15,"Dry Year","Normal Year"))</f>
        <v/>
      </c>
      <c r="G781" s="16">
        <f>'Raw Data'!I781</f>
        <v/>
      </c>
      <c r="H781" s="14">
        <f>IF(G781&lt;15,"Low Variability",IF(G781&lt;=35,"Moderate Variability","High Variability"))</f>
        <v/>
      </c>
      <c r="I781" s="18">
        <f>'Raw Data'!O781</f>
        <v/>
      </c>
      <c r="J781" s="14">
        <f>IF(I781=0,"No Flood",IF(I781&lt;=0.5,"Low",IF(I781&lt;=2,"Moderate","High")))</f>
        <v/>
      </c>
    </row>
    <row r="782" ht="15" customHeight="1" s="12">
      <c r="A782" s="14">
        <f>'Raw Data'!A782</f>
        <v/>
      </c>
      <c r="B782" s="14">
        <f>'Raw Data'!B782</f>
        <v/>
      </c>
      <c r="C782" s="14">
        <f>'Raw Data'!C782</f>
        <v/>
      </c>
      <c r="D782" s="15">
        <f>'Raw Data'!M782</f>
        <v/>
      </c>
      <c r="E782" s="18">
        <f>'Raw Data'!M782/'Raw Data'!L782*100</f>
        <v/>
      </c>
      <c r="F782" s="14">
        <f>IF(E782&gt;15,"Wet Year",IF(E782&lt;-15,"Dry Year","Normal Year"))</f>
        <v/>
      </c>
      <c r="G782" s="16">
        <f>'Raw Data'!I782</f>
        <v/>
      </c>
      <c r="H782" s="14">
        <f>IF(G782&lt;15,"Low Variability",IF(G782&lt;=35,"Moderate Variability","High Variability"))</f>
        <v/>
      </c>
      <c r="I782" s="18">
        <f>'Raw Data'!O782</f>
        <v/>
      </c>
      <c r="J782" s="14">
        <f>IF(I782=0,"No Flood",IF(I782&lt;=0.5,"Low",IF(I782&lt;=2,"Moderate","High")))</f>
        <v/>
      </c>
    </row>
    <row r="783" ht="15" customHeight="1" s="12">
      <c r="A783" s="14">
        <f>'Raw Data'!A783</f>
        <v/>
      </c>
      <c r="B783" s="14">
        <f>'Raw Data'!B783</f>
        <v/>
      </c>
      <c r="C783" s="14">
        <f>'Raw Data'!C783</f>
        <v/>
      </c>
      <c r="D783" s="15">
        <f>'Raw Data'!M783</f>
        <v/>
      </c>
      <c r="E783" s="18">
        <f>'Raw Data'!M783/'Raw Data'!L783*100</f>
        <v/>
      </c>
      <c r="F783" s="14">
        <f>IF(E783&gt;15,"Wet Year",IF(E783&lt;-15,"Dry Year","Normal Year"))</f>
        <v/>
      </c>
      <c r="G783" s="16">
        <f>'Raw Data'!I783</f>
        <v/>
      </c>
      <c r="H783" s="14">
        <f>IF(G783&lt;15,"Low Variability",IF(G783&lt;=35,"Moderate Variability","High Variability"))</f>
        <v/>
      </c>
      <c r="I783" s="18">
        <f>'Raw Data'!O783</f>
        <v/>
      </c>
      <c r="J783" s="14">
        <f>IF(I783=0,"No Flood",IF(I783&lt;=0.5,"Low",IF(I783&lt;=2,"Moderate","High")))</f>
        <v/>
      </c>
    </row>
    <row r="784" ht="15" customHeight="1" s="12">
      <c r="A784" s="14">
        <f>'Raw Data'!A784</f>
        <v/>
      </c>
      <c r="B784" s="14">
        <f>'Raw Data'!B784</f>
        <v/>
      </c>
      <c r="C784" s="14">
        <f>'Raw Data'!C784</f>
        <v/>
      </c>
      <c r="D784" s="15">
        <f>'Raw Data'!M784</f>
        <v/>
      </c>
      <c r="E784" s="18">
        <f>'Raw Data'!M784/'Raw Data'!L784*100</f>
        <v/>
      </c>
      <c r="F784" s="14">
        <f>IF(E784&gt;15,"Wet Year",IF(E784&lt;-15,"Dry Year","Normal Year"))</f>
        <v/>
      </c>
      <c r="G784" s="16">
        <f>'Raw Data'!I784</f>
        <v/>
      </c>
      <c r="H784" s="14">
        <f>IF(G784&lt;15,"Low Variability",IF(G784&lt;=35,"Moderate Variability","High Variability"))</f>
        <v/>
      </c>
      <c r="I784" s="18">
        <f>'Raw Data'!O784</f>
        <v/>
      </c>
      <c r="J784" s="14">
        <f>IF(I784=0,"No Flood",IF(I784&lt;=0.5,"Low",IF(I784&lt;=2,"Moderate","High")))</f>
        <v/>
      </c>
    </row>
    <row r="785" ht="15" customHeight="1" s="12">
      <c r="A785" s="14">
        <f>'Raw Data'!A785</f>
        <v/>
      </c>
      <c r="B785" s="14">
        <f>'Raw Data'!B785</f>
        <v/>
      </c>
      <c r="C785" s="14">
        <f>'Raw Data'!C785</f>
        <v/>
      </c>
      <c r="D785" s="15">
        <f>'Raw Data'!M785</f>
        <v/>
      </c>
      <c r="E785" s="18">
        <f>'Raw Data'!M785/'Raw Data'!L785*100</f>
        <v/>
      </c>
      <c r="F785" s="14">
        <f>IF(E785&gt;15,"Wet Year",IF(E785&lt;-15,"Dry Year","Normal Year"))</f>
        <v/>
      </c>
      <c r="G785" s="16">
        <f>'Raw Data'!I785</f>
        <v/>
      </c>
      <c r="H785" s="14">
        <f>IF(G785&lt;15,"Low Variability",IF(G785&lt;=35,"Moderate Variability","High Variability"))</f>
        <v/>
      </c>
      <c r="I785" s="18">
        <f>'Raw Data'!O785</f>
        <v/>
      </c>
      <c r="J785" s="14">
        <f>IF(I785=0,"No Flood",IF(I785&lt;=0.5,"Low",IF(I785&lt;=2,"Moderate","High")))</f>
        <v/>
      </c>
    </row>
    <row r="786" ht="15" customHeight="1" s="12">
      <c r="A786" s="14">
        <f>'Raw Data'!A786</f>
        <v/>
      </c>
      <c r="B786" s="14">
        <f>'Raw Data'!B786</f>
        <v/>
      </c>
      <c r="C786" s="14">
        <f>'Raw Data'!C786</f>
        <v/>
      </c>
      <c r="D786" s="15">
        <f>'Raw Data'!M786</f>
        <v/>
      </c>
      <c r="E786" s="18">
        <f>'Raw Data'!M786/'Raw Data'!L786*100</f>
        <v/>
      </c>
      <c r="F786" s="14">
        <f>IF(E786&gt;15,"Wet Year",IF(E786&lt;-15,"Dry Year","Normal Year"))</f>
        <v/>
      </c>
      <c r="G786" s="16">
        <f>'Raw Data'!I786</f>
        <v/>
      </c>
      <c r="H786" s="14">
        <f>IF(G786&lt;15,"Low Variability",IF(G786&lt;=35,"Moderate Variability","High Variability"))</f>
        <v/>
      </c>
      <c r="I786" s="18">
        <f>'Raw Data'!O786</f>
        <v/>
      </c>
      <c r="J786" s="14">
        <f>IF(I786=0,"No Flood",IF(I786&lt;=0.5,"Low",IF(I786&lt;=2,"Moderate","High")))</f>
        <v/>
      </c>
    </row>
    <row r="787" ht="15" customHeight="1" s="12">
      <c r="A787" s="14">
        <f>'Raw Data'!A787</f>
        <v/>
      </c>
      <c r="B787" s="14">
        <f>'Raw Data'!B787</f>
        <v/>
      </c>
      <c r="C787" s="14">
        <f>'Raw Data'!C787</f>
        <v/>
      </c>
      <c r="D787" s="15">
        <f>'Raw Data'!M787</f>
        <v/>
      </c>
      <c r="E787" s="18">
        <f>'Raw Data'!M787/'Raw Data'!L787*100</f>
        <v/>
      </c>
      <c r="F787" s="14">
        <f>IF(E787&gt;15,"Wet Year",IF(E787&lt;-15,"Dry Year","Normal Year"))</f>
        <v/>
      </c>
      <c r="G787" s="16">
        <f>'Raw Data'!I787</f>
        <v/>
      </c>
      <c r="H787" s="14">
        <f>IF(G787&lt;15,"Low Variability",IF(G787&lt;=35,"Moderate Variability","High Variability"))</f>
        <v/>
      </c>
      <c r="I787" s="18">
        <f>'Raw Data'!O787</f>
        <v/>
      </c>
      <c r="J787" s="14">
        <f>IF(I787=0,"No Flood",IF(I787&lt;=0.5,"Low",IF(I787&lt;=2,"Moderate","High")))</f>
        <v/>
      </c>
    </row>
    <row r="788" ht="15" customHeight="1" s="12">
      <c r="A788" s="14">
        <f>'Raw Data'!A788</f>
        <v/>
      </c>
      <c r="B788" s="14">
        <f>'Raw Data'!B788</f>
        <v/>
      </c>
      <c r="C788" s="14">
        <f>'Raw Data'!C788</f>
        <v/>
      </c>
      <c r="D788" s="15">
        <f>'Raw Data'!M788</f>
        <v/>
      </c>
      <c r="E788" s="18">
        <f>'Raw Data'!M788/'Raw Data'!L788*100</f>
        <v/>
      </c>
      <c r="F788" s="14">
        <f>IF(E788&gt;15,"Wet Year",IF(E788&lt;-15,"Dry Year","Normal Year"))</f>
        <v/>
      </c>
      <c r="G788" s="16">
        <f>'Raw Data'!I788</f>
        <v/>
      </c>
      <c r="H788" s="14">
        <f>IF(G788&lt;15,"Low Variability",IF(G788&lt;=35,"Moderate Variability","High Variability"))</f>
        <v/>
      </c>
      <c r="I788" s="18">
        <f>'Raw Data'!O788</f>
        <v/>
      </c>
      <c r="J788" s="14">
        <f>IF(I788=0,"No Flood",IF(I788&lt;=0.5,"Low",IF(I788&lt;=2,"Moderate","High")))</f>
        <v/>
      </c>
    </row>
    <row r="789" ht="15" customHeight="1" s="12">
      <c r="A789" s="14">
        <f>'Raw Data'!A789</f>
        <v/>
      </c>
      <c r="B789" s="14">
        <f>'Raw Data'!B789</f>
        <v/>
      </c>
      <c r="C789" s="14">
        <f>'Raw Data'!C789</f>
        <v/>
      </c>
      <c r="D789" s="15">
        <f>'Raw Data'!M789</f>
        <v/>
      </c>
      <c r="E789" s="18">
        <f>'Raw Data'!M789/'Raw Data'!L789*100</f>
        <v/>
      </c>
      <c r="F789" s="14">
        <f>IF(E789&gt;15,"Wet Year",IF(E789&lt;-15,"Dry Year","Normal Year"))</f>
        <v/>
      </c>
      <c r="G789" s="16">
        <f>'Raw Data'!I789</f>
        <v/>
      </c>
      <c r="H789" s="14">
        <f>IF(G789&lt;15,"Low Variability",IF(G789&lt;=35,"Moderate Variability","High Variability"))</f>
        <v/>
      </c>
      <c r="I789" s="18">
        <f>'Raw Data'!O789</f>
        <v/>
      </c>
      <c r="J789" s="14">
        <f>IF(I789=0,"No Flood",IF(I789&lt;=0.5,"Low",IF(I789&lt;=2,"Moderate","High")))</f>
        <v/>
      </c>
    </row>
    <row r="790" ht="15" customHeight="1" s="12">
      <c r="A790" s="14">
        <f>'Raw Data'!A790</f>
        <v/>
      </c>
      <c r="B790" s="14">
        <f>'Raw Data'!B790</f>
        <v/>
      </c>
      <c r="C790" s="14">
        <f>'Raw Data'!C790</f>
        <v/>
      </c>
      <c r="D790" s="15">
        <f>'Raw Data'!M790</f>
        <v/>
      </c>
      <c r="E790" s="18">
        <f>'Raw Data'!M790/'Raw Data'!L790*100</f>
        <v/>
      </c>
      <c r="F790" s="14">
        <f>IF(E790&gt;15,"Wet Year",IF(E790&lt;-15,"Dry Year","Normal Year"))</f>
        <v/>
      </c>
      <c r="G790" s="16">
        <f>'Raw Data'!I790</f>
        <v/>
      </c>
      <c r="H790" s="14">
        <f>IF(G790&lt;15,"Low Variability",IF(G790&lt;=35,"Moderate Variability","High Variability"))</f>
        <v/>
      </c>
      <c r="I790" s="18">
        <f>'Raw Data'!O790</f>
        <v/>
      </c>
      <c r="J790" s="14">
        <f>IF(I790=0,"No Flood",IF(I790&lt;=0.5,"Low",IF(I790&lt;=2,"Moderate","High")))</f>
        <v/>
      </c>
    </row>
    <row r="791" ht="15" customHeight="1" s="12">
      <c r="A791" s="14">
        <f>'Raw Data'!A791</f>
        <v/>
      </c>
      <c r="B791" s="14">
        <f>'Raw Data'!B791</f>
        <v/>
      </c>
      <c r="C791" s="14">
        <f>'Raw Data'!C791</f>
        <v/>
      </c>
      <c r="D791" s="15">
        <f>'Raw Data'!M791</f>
        <v/>
      </c>
      <c r="E791" s="18">
        <f>'Raw Data'!M791/'Raw Data'!L791*100</f>
        <v/>
      </c>
      <c r="F791" s="14">
        <f>IF(E791&gt;15,"Wet Year",IF(E791&lt;-15,"Dry Year","Normal Year"))</f>
        <v/>
      </c>
      <c r="G791" s="16">
        <f>'Raw Data'!I791</f>
        <v/>
      </c>
      <c r="H791" s="14">
        <f>IF(G791&lt;15,"Low Variability",IF(G791&lt;=35,"Moderate Variability","High Variability"))</f>
        <v/>
      </c>
      <c r="I791" s="18">
        <f>'Raw Data'!O791</f>
        <v/>
      </c>
      <c r="J791" s="14">
        <f>IF(I791=0,"No Flood",IF(I791&lt;=0.5,"Low",IF(I791&lt;=2,"Moderate","High")))</f>
        <v/>
      </c>
    </row>
    <row r="792" ht="15" customHeight="1" s="12">
      <c r="A792" s="14">
        <f>'Raw Data'!A792</f>
        <v/>
      </c>
      <c r="B792" s="14">
        <f>'Raw Data'!B792</f>
        <v/>
      </c>
      <c r="C792" s="14">
        <f>'Raw Data'!C792</f>
        <v/>
      </c>
      <c r="D792" s="15">
        <f>'Raw Data'!M792</f>
        <v/>
      </c>
      <c r="E792" s="18">
        <f>'Raw Data'!M792/'Raw Data'!L792*100</f>
        <v/>
      </c>
      <c r="F792" s="14">
        <f>IF(E792&gt;15,"Wet Year",IF(E792&lt;-15,"Dry Year","Normal Year"))</f>
        <v/>
      </c>
      <c r="G792" s="16">
        <f>'Raw Data'!I792</f>
        <v/>
      </c>
      <c r="H792" s="14">
        <f>IF(G792&lt;15,"Low Variability",IF(G792&lt;=35,"Moderate Variability","High Variability"))</f>
        <v/>
      </c>
      <c r="I792" s="18">
        <f>'Raw Data'!O792</f>
        <v/>
      </c>
      <c r="J792" s="14">
        <f>IF(I792=0,"No Flood",IF(I792&lt;=0.5,"Low",IF(I792&lt;=2,"Moderate","High")))</f>
        <v/>
      </c>
    </row>
    <row r="793" ht="15" customHeight="1" s="12">
      <c r="A793" s="14">
        <f>'Raw Data'!A793</f>
        <v/>
      </c>
      <c r="B793" s="14">
        <f>'Raw Data'!B793</f>
        <v/>
      </c>
      <c r="C793" s="14">
        <f>'Raw Data'!C793</f>
        <v/>
      </c>
      <c r="D793" s="15">
        <f>'Raw Data'!M793</f>
        <v/>
      </c>
      <c r="E793" s="18">
        <f>'Raw Data'!M793/'Raw Data'!L793*100</f>
        <v/>
      </c>
      <c r="F793" s="14">
        <f>IF(E793&gt;15,"Wet Year",IF(E793&lt;-15,"Dry Year","Normal Year"))</f>
        <v/>
      </c>
      <c r="G793" s="16">
        <f>'Raw Data'!I793</f>
        <v/>
      </c>
      <c r="H793" s="14">
        <f>IF(G793&lt;15,"Low Variability",IF(G793&lt;=35,"Moderate Variability","High Variability"))</f>
        <v/>
      </c>
      <c r="I793" s="18">
        <f>'Raw Data'!O793</f>
        <v/>
      </c>
      <c r="J793" s="14">
        <f>IF(I793=0,"No Flood",IF(I793&lt;=0.5,"Low",IF(I793&lt;=2,"Moderate","High")))</f>
        <v/>
      </c>
    </row>
    <row r="794" ht="15" customHeight="1" s="12">
      <c r="A794" s="14">
        <f>'Raw Data'!A794</f>
        <v/>
      </c>
      <c r="B794" s="14">
        <f>'Raw Data'!B794</f>
        <v/>
      </c>
      <c r="C794" s="14">
        <f>'Raw Data'!C794</f>
        <v/>
      </c>
      <c r="D794" s="15">
        <f>'Raw Data'!M794</f>
        <v/>
      </c>
      <c r="E794" s="18">
        <f>'Raw Data'!M794/'Raw Data'!L794*100</f>
        <v/>
      </c>
      <c r="F794" s="14">
        <f>IF(E794&gt;15,"Wet Year",IF(E794&lt;-15,"Dry Year","Normal Year"))</f>
        <v/>
      </c>
      <c r="G794" s="16">
        <f>'Raw Data'!I794</f>
        <v/>
      </c>
      <c r="H794" s="14">
        <f>IF(G794&lt;15,"Low Variability",IF(G794&lt;=35,"Moderate Variability","High Variability"))</f>
        <v/>
      </c>
      <c r="I794" s="18">
        <f>'Raw Data'!O794</f>
        <v/>
      </c>
      <c r="J794" s="14">
        <f>IF(I794=0,"No Flood",IF(I794&lt;=0.5,"Low",IF(I794&lt;=2,"Moderate","High")))</f>
        <v/>
      </c>
    </row>
    <row r="795" ht="15" customHeight="1" s="12">
      <c r="A795" s="14">
        <f>'Raw Data'!A795</f>
        <v/>
      </c>
      <c r="B795" s="14">
        <f>'Raw Data'!B795</f>
        <v/>
      </c>
      <c r="C795" s="14">
        <f>'Raw Data'!C795</f>
        <v/>
      </c>
      <c r="D795" s="15">
        <f>'Raw Data'!M795</f>
        <v/>
      </c>
      <c r="E795" s="18">
        <f>'Raw Data'!M795/'Raw Data'!L795*100</f>
        <v/>
      </c>
      <c r="F795" s="14">
        <f>IF(E795&gt;15,"Wet Year",IF(E795&lt;-15,"Dry Year","Normal Year"))</f>
        <v/>
      </c>
      <c r="G795" s="16">
        <f>'Raw Data'!I795</f>
        <v/>
      </c>
      <c r="H795" s="14">
        <f>IF(G795&lt;15,"Low Variability",IF(G795&lt;=35,"Moderate Variability","High Variability"))</f>
        <v/>
      </c>
      <c r="I795" s="18">
        <f>'Raw Data'!O795</f>
        <v/>
      </c>
      <c r="J795" s="14">
        <f>IF(I795=0,"No Flood",IF(I795&lt;=0.5,"Low",IF(I795&lt;=2,"Moderate","High")))</f>
        <v/>
      </c>
    </row>
    <row r="796" ht="15" customHeight="1" s="12">
      <c r="A796" s="14">
        <f>'Raw Data'!A796</f>
        <v/>
      </c>
      <c r="B796" s="14">
        <f>'Raw Data'!B796</f>
        <v/>
      </c>
      <c r="C796" s="14">
        <f>'Raw Data'!C796</f>
        <v/>
      </c>
      <c r="D796" s="15">
        <f>'Raw Data'!M796</f>
        <v/>
      </c>
      <c r="E796" s="18">
        <f>'Raw Data'!M796/'Raw Data'!L796*100</f>
        <v/>
      </c>
      <c r="F796" s="14">
        <f>IF(E796&gt;15,"Wet Year",IF(E796&lt;-15,"Dry Year","Normal Year"))</f>
        <v/>
      </c>
      <c r="G796" s="16">
        <f>'Raw Data'!I796</f>
        <v/>
      </c>
      <c r="H796" s="14">
        <f>IF(G796&lt;15,"Low Variability",IF(G796&lt;=35,"Moderate Variability","High Variability"))</f>
        <v/>
      </c>
      <c r="I796" s="18">
        <f>'Raw Data'!O796</f>
        <v/>
      </c>
      <c r="J796" s="14">
        <f>IF(I796=0,"No Flood",IF(I796&lt;=0.5,"Low",IF(I796&lt;=2,"Moderate","High")))</f>
        <v/>
      </c>
    </row>
    <row r="797" ht="15" customHeight="1" s="12">
      <c r="A797" s="14">
        <f>'Raw Data'!A797</f>
        <v/>
      </c>
      <c r="B797" s="14">
        <f>'Raw Data'!B797</f>
        <v/>
      </c>
      <c r="C797" s="14">
        <f>'Raw Data'!C797</f>
        <v/>
      </c>
      <c r="D797" s="15">
        <f>'Raw Data'!M797</f>
        <v/>
      </c>
      <c r="E797" s="18">
        <f>'Raw Data'!M797/'Raw Data'!L797*100</f>
        <v/>
      </c>
      <c r="F797" s="14">
        <f>IF(E797&gt;15,"Wet Year",IF(E797&lt;-15,"Dry Year","Normal Year"))</f>
        <v/>
      </c>
      <c r="G797" s="16">
        <f>'Raw Data'!I797</f>
        <v/>
      </c>
      <c r="H797" s="14">
        <f>IF(G797&lt;15,"Low Variability",IF(G797&lt;=35,"Moderate Variability","High Variability"))</f>
        <v/>
      </c>
      <c r="I797" s="18">
        <f>'Raw Data'!O797</f>
        <v/>
      </c>
      <c r="J797" s="14">
        <f>IF(I797=0,"No Flood",IF(I797&lt;=0.5,"Low",IF(I797&lt;=2,"Moderate","High")))</f>
        <v/>
      </c>
    </row>
    <row r="798" ht="15" customHeight="1" s="12">
      <c r="A798" s="14">
        <f>'Raw Data'!A798</f>
        <v/>
      </c>
      <c r="B798" s="14">
        <f>'Raw Data'!B798</f>
        <v/>
      </c>
      <c r="C798" s="14">
        <f>'Raw Data'!C798</f>
        <v/>
      </c>
      <c r="D798" s="15">
        <f>'Raw Data'!M798</f>
        <v/>
      </c>
      <c r="E798" s="18">
        <f>'Raw Data'!M798/'Raw Data'!L798*100</f>
        <v/>
      </c>
      <c r="F798" s="14">
        <f>IF(E798&gt;15,"Wet Year",IF(E798&lt;-15,"Dry Year","Normal Year"))</f>
        <v/>
      </c>
      <c r="G798" s="16">
        <f>'Raw Data'!I798</f>
        <v/>
      </c>
      <c r="H798" s="14">
        <f>IF(G798&lt;15,"Low Variability",IF(G798&lt;=35,"Moderate Variability","High Variability"))</f>
        <v/>
      </c>
      <c r="I798" s="18">
        <f>'Raw Data'!O798</f>
        <v/>
      </c>
      <c r="J798" s="14">
        <f>IF(I798=0,"No Flood",IF(I798&lt;=0.5,"Low",IF(I798&lt;=2,"Moderate","High")))</f>
        <v/>
      </c>
    </row>
    <row r="799" ht="15" customHeight="1" s="12">
      <c r="A799" s="14">
        <f>'Raw Data'!A799</f>
        <v/>
      </c>
      <c r="B799" s="14">
        <f>'Raw Data'!B799</f>
        <v/>
      </c>
      <c r="C799" s="14">
        <f>'Raw Data'!C799</f>
        <v/>
      </c>
      <c r="D799" s="15">
        <f>'Raw Data'!M799</f>
        <v/>
      </c>
      <c r="E799" s="18">
        <f>'Raw Data'!M799/'Raw Data'!L799*100</f>
        <v/>
      </c>
      <c r="F799" s="14">
        <f>IF(E799&gt;15,"Wet Year",IF(E799&lt;-15,"Dry Year","Normal Year"))</f>
        <v/>
      </c>
      <c r="G799" s="16">
        <f>'Raw Data'!I799</f>
        <v/>
      </c>
      <c r="H799" s="14">
        <f>IF(G799&lt;15,"Low Variability",IF(G799&lt;=35,"Moderate Variability","High Variability"))</f>
        <v/>
      </c>
      <c r="I799" s="18">
        <f>'Raw Data'!O799</f>
        <v/>
      </c>
      <c r="J799" s="14">
        <f>IF(I799=0,"No Flood",IF(I799&lt;=0.5,"Low",IF(I799&lt;=2,"Moderate","High")))</f>
        <v/>
      </c>
    </row>
    <row r="800" ht="15" customHeight="1" s="12">
      <c r="A800" s="14">
        <f>'Raw Data'!A800</f>
        <v/>
      </c>
      <c r="B800" s="14">
        <f>'Raw Data'!B800</f>
        <v/>
      </c>
      <c r="C800" s="14">
        <f>'Raw Data'!C800</f>
        <v/>
      </c>
      <c r="D800" s="15">
        <f>'Raw Data'!M800</f>
        <v/>
      </c>
      <c r="E800" s="18">
        <f>'Raw Data'!M800/'Raw Data'!L800*100</f>
        <v/>
      </c>
      <c r="F800" s="14">
        <f>IF(E800&gt;15,"Wet Year",IF(E800&lt;-15,"Dry Year","Normal Year"))</f>
        <v/>
      </c>
      <c r="G800" s="16">
        <f>'Raw Data'!I800</f>
        <v/>
      </c>
      <c r="H800" s="14">
        <f>IF(G800&lt;15,"Low Variability",IF(G800&lt;=35,"Moderate Variability","High Variability"))</f>
        <v/>
      </c>
      <c r="I800" s="18">
        <f>'Raw Data'!O800</f>
        <v/>
      </c>
      <c r="J800" s="14">
        <f>IF(I800=0,"No Flood",IF(I800&lt;=0.5,"Low",IF(I800&lt;=2,"Moderate","High")))</f>
        <v/>
      </c>
    </row>
    <row r="801" ht="15" customHeight="1" s="12">
      <c r="A801" s="14">
        <f>'Raw Data'!A801</f>
        <v/>
      </c>
      <c r="B801" s="14">
        <f>'Raw Data'!B801</f>
        <v/>
      </c>
      <c r="C801" s="14">
        <f>'Raw Data'!C801</f>
        <v/>
      </c>
      <c r="D801" s="15">
        <f>'Raw Data'!M801</f>
        <v/>
      </c>
      <c r="E801" s="18">
        <f>'Raw Data'!M801/'Raw Data'!L801*100</f>
        <v/>
      </c>
      <c r="F801" s="14">
        <f>IF(E801&gt;15,"Wet Year",IF(E801&lt;-15,"Dry Year","Normal Year"))</f>
        <v/>
      </c>
      <c r="G801" s="16">
        <f>'Raw Data'!I801</f>
        <v/>
      </c>
      <c r="H801" s="14">
        <f>IF(G801&lt;15,"Low Variability",IF(G801&lt;=35,"Moderate Variability","High Variability"))</f>
        <v/>
      </c>
      <c r="I801" s="18">
        <f>'Raw Data'!O801</f>
        <v/>
      </c>
      <c r="J801" s="14">
        <f>IF(I801=0,"No Flood",IF(I801&lt;=0.5,"Low",IF(I801&lt;=2,"Moderate","High")))</f>
        <v/>
      </c>
    </row>
    <row r="802" ht="15" customHeight="1" s="12">
      <c r="A802" s="14">
        <f>'Raw Data'!A802</f>
        <v/>
      </c>
      <c r="B802" s="14">
        <f>'Raw Data'!B802</f>
        <v/>
      </c>
      <c r="C802" s="14">
        <f>'Raw Data'!C802</f>
        <v/>
      </c>
      <c r="D802" s="15">
        <f>'Raw Data'!M802</f>
        <v/>
      </c>
      <c r="E802" s="18">
        <f>'Raw Data'!M802/'Raw Data'!L802*100</f>
        <v/>
      </c>
      <c r="F802" s="14">
        <f>IF(E802&gt;15,"Wet Year",IF(E802&lt;-15,"Dry Year","Normal Year"))</f>
        <v/>
      </c>
      <c r="G802" s="16">
        <f>'Raw Data'!I802</f>
        <v/>
      </c>
      <c r="H802" s="14">
        <f>IF(G802&lt;15,"Low Variability",IF(G802&lt;=35,"Moderate Variability","High Variability"))</f>
        <v/>
      </c>
      <c r="I802" s="18">
        <f>'Raw Data'!O802</f>
        <v/>
      </c>
      <c r="J802" s="14">
        <f>IF(I802=0,"No Flood",IF(I802&lt;=0.5,"Low",IF(I802&lt;=2,"Moderate","High")))</f>
        <v/>
      </c>
    </row>
    <row r="803" ht="15" customHeight="1" s="12">
      <c r="A803" s="14">
        <f>'Raw Data'!A803</f>
        <v/>
      </c>
      <c r="B803" s="14">
        <f>'Raw Data'!B803</f>
        <v/>
      </c>
      <c r="C803" s="14">
        <f>'Raw Data'!C803</f>
        <v/>
      </c>
      <c r="D803" s="15">
        <f>'Raw Data'!M803</f>
        <v/>
      </c>
      <c r="E803" s="18">
        <f>'Raw Data'!M803/'Raw Data'!L803*100</f>
        <v/>
      </c>
      <c r="F803" s="14">
        <f>IF(E803&gt;15,"Wet Year",IF(E803&lt;-15,"Dry Year","Normal Year"))</f>
        <v/>
      </c>
      <c r="G803" s="16">
        <f>'Raw Data'!I803</f>
        <v/>
      </c>
      <c r="H803" s="14">
        <f>IF(G803&lt;15,"Low Variability",IF(G803&lt;=35,"Moderate Variability","High Variability"))</f>
        <v/>
      </c>
      <c r="I803" s="18">
        <f>'Raw Data'!O803</f>
        <v/>
      </c>
      <c r="J803" s="14">
        <f>IF(I803=0,"No Flood",IF(I803&lt;=0.5,"Low",IF(I803&lt;=2,"Moderate","High")))</f>
        <v/>
      </c>
    </row>
    <row r="804" ht="15" customHeight="1" s="12">
      <c r="A804" s="14">
        <f>'Raw Data'!A804</f>
        <v/>
      </c>
      <c r="B804" s="14">
        <f>'Raw Data'!B804</f>
        <v/>
      </c>
      <c r="C804" s="14">
        <f>'Raw Data'!C804</f>
        <v/>
      </c>
      <c r="D804" s="15">
        <f>'Raw Data'!M804</f>
        <v/>
      </c>
      <c r="E804" s="18">
        <f>'Raw Data'!M804/'Raw Data'!L804*100</f>
        <v/>
      </c>
      <c r="F804" s="14">
        <f>IF(E804&gt;15,"Wet Year",IF(E804&lt;-15,"Dry Year","Normal Year"))</f>
        <v/>
      </c>
      <c r="G804" s="16">
        <f>'Raw Data'!I804</f>
        <v/>
      </c>
      <c r="H804" s="14">
        <f>IF(G804&lt;15,"Low Variability",IF(G804&lt;=35,"Moderate Variability","High Variability"))</f>
        <v/>
      </c>
      <c r="I804" s="18">
        <f>'Raw Data'!O804</f>
        <v/>
      </c>
      <c r="J804" s="14">
        <f>IF(I804=0,"No Flood",IF(I804&lt;=0.5,"Low",IF(I804&lt;=2,"Moderate","High")))</f>
        <v/>
      </c>
    </row>
    <row r="805" ht="15" customHeight="1" s="12">
      <c r="A805" s="14">
        <f>'Raw Data'!A805</f>
        <v/>
      </c>
      <c r="B805" s="14">
        <f>'Raw Data'!B805</f>
        <v/>
      </c>
      <c r="C805" s="14">
        <f>'Raw Data'!C805</f>
        <v/>
      </c>
      <c r="D805" s="15">
        <f>'Raw Data'!M805</f>
        <v/>
      </c>
      <c r="E805" s="18">
        <f>'Raw Data'!M805/'Raw Data'!L805*100</f>
        <v/>
      </c>
      <c r="F805" s="14">
        <f>IF(E805&gt;15,"Wet Year",IF(E805&lt;-15,"Dry Year","Normal Year"))</f>
        <v/>
      </c>
      <c r="G805" s="16">
        <f>'Raw Data'!I805</f>
        <v/>
      </c>
      <c r="H805" s="14">
        <f>IF(G805&lt;15,"Low Variability",IF(G805&lt;=35,"Moderate Variability","High Variability"))</f>
        <v/>
      </c>
      <c r="I805" s="18">
        <f>'Raw Data'!O805</f>
        <v/>
      </c>
      <c r="J805" s="14">
        <f>IF(I805=0,"No Flood",IF(I805&lt;=0.5,"Low",IF(I805&lt;=2,"Moderate","High")))</f>
        <v/>
      </c>
    </row>
    <row r="806" ht="15" customHeight="1" s="12">
      <c r="A806" s="14">
        <f>'Raw Data'!A806</f>
        <v/>
      </c>
      <c r="B806" s="14">
        <f>'Raw Data'!B806</f>
        <v/>
      </c>
      <c r="C806" s="14">
        <f>'Raw Data'!C806</f>
        <v/>
      </c>
      <c r="D806" s="15">
        <f>'Raw Data'!M806</f>
        <v/>
      </c>
      <c r="E806" s="18">
        <f>'Raw Data'!M806/'Raw Data'!L806*100</f>
        <v/>
      </c>
      <c r="F806" s="14">
        <f>IF(E806&gt;15,"Wet Year",IF(E806&lt;-15,"Dry Year","Normal Year"))</f>
        <v/>
      </c>
      <c r="G806" s="16">
        <f>'Raw Data'!I806</f>
        <v/>
      </c>
      <c r="H806" s="14">
        <f>IF(G806&lt;15,"Low Variability",IF(G806&lt;=35,"Moderate Variability","High Variability"))</f>
        <v/>
      </c>
      <c r="I806" s="18">
        <f>'Raw Data'!O806</f>
        <v/>
      </c>
      <c r="J806" s="14">
        <f>IF(I806=0,"No Flood",IF(I806&lt;=0.5,"Low",IF(I806&lt;=2,"Moderate","High")))</f>
        <v/>
      </c>
    </row>
    <row r="807" ht="15" customHeight="1" s="12">
      <c r="A807" s="14">
        <f>'Raw Data'!A807</f>
        <v/>
      </c>
      <c r="B807" s="14">
        <f>'Raw Data'!B807</f>
        <v/>
      </c>
      <c r="C807" s="14">
        <f>'Raw Data'!C807</f>
        <v/>
      </c>
      <c r="D807" s="15">
        <f>'Raw Data'!M807</f>
        <v/>
      </c>
      <c r="E807" s="18">
        <f>'Raw Data'!M807/'Raw Data'!L807*100</f>
        <v/>
      </c>
      <c r="F807" s="14">
        <f>IF(E807&gt;15,"Wet Year",IF(E807&lt;-15,"Dry Year","Normal Year"))</f>
        <v/>
      </c>
      <c r="G807" s="16">
        <f>'Raw Data'!I807</f>
        <v/>
      </c>
      <c r="H807" s="14">
        <f>IF(G807&lt;15,"Low Variability",IF(G807&lt;=35,"Moderate Variability","High Variability"))</f>
        <v/>
      </c>
      <c r="I807" s="18">
        <f>'Raw Data'!O807</f>
        <v/>
      </c>
      <c r="J807" s="14">
        <f>IF(I807=0,"No Flood",IF(I807&lt;=0.5,"Low",IF(I807&lt;=2,"Moderate","High")))</f>
        <v/>
      </c>
    </row>
    <row r="808" ht="15" customHeight="1" s="12">
      <c r="A808" s="14">
        <f>'Raw Data'!A808</f>
        <v/>
      </c>
      <c r="B808" s="14">
        <f>'Raw Data'!B808</f>
        <v/>
      </c>
      <c r="C808" s="14">
        <f>'Raw Data'!C808</f>
        <v/>
      </c>
      <c r="D808" s="15">
        <f>'Raw Data'!M808</f>
        <v/>
      </c>
      <c r="E808" s="18">
        <f>'Raw Data'!M808/'Raw Data'!L808*100</f>
        <v/>
      </c>
      <c r="F808" s="14">
        <f>IF(E808&gt;15,"Wet Year",IF(E808&lt;-15,"Dry Year","Normal Year"))</f>
        <v/>
      </c>
      <c r="G808" s="16">
        <f>'Raw Data'!I808</f>
        <v/>
      </c>
      <c r="H808" s="14">
        <f>IF(G808&lt;15,"Low Variability",IF(G808&lt;=35,"Moderate Variability","High Variability"))</f>
        <v/>
      </c>
      <c r="I808" s="18">
        <f>'Raw Data'!O808</f>
        <v/>
      </c>
      <c r="J808" s="14">
        <f>IF(I808=0,"No Flood",IF(I808&lt;=0.5,"Low",IF(I808&lt;=2,"Moderate","High")))</f>
        <v/>
      </c>
    </row>
    <row r="809" ht="15" customHeight="1" s="12">
      <c r="A809" s="14">
        <f>'Raw Data'!A809</f>
        <v/>
      </c>
      <c r="B809" s="14">
        <f>'Raw Data'!B809</f>
        <v/>
      </c>
      <c r="C809" s="14">
        <f>'Raw Data'!C809</f>
        <v/>
      </c>
      <c r="D809" s="15">
        <f>'Raw Data'!M809</f>
        <v/>
      </c>
      <c r="E809" s="18">
        <f>'Raw Data'!M809/'Raw Data'!L809*100</f>
        <v/>
      </c>
      <c r="F809" s="14">
        <f>IF(E809&gt;15,"Wet Year",IF(E809&lt;-15,"Dry Year","Normal Year"))</f>
        <v/>
      </c>
      <c r="G809" s="16">
        <f>'Raw Data'!I809</f>
        <v/>
      </c>
      <c r="H809" s="14">
        <f>IF(G809&lt;15,"Low Variability",IF(G809&lt;=35,"Moderate Variability","High Variability"))</f>
        <v/>
      </c>
      <c r="I809" s="18">
        <f>'Raw Data'!O809</f>
        <v/>
      </c>
      <c r="J809" s="14">
        <f>IF(I809=0,"No Flood",IF(I809&lt;=0.5,"Low",IF(I809&lt;=2,"Moderate","High")))</f>
        <v/>
      </c>
    </row>
    <row r="810" ht="15" customHeight="1" s="12">
      <c r="A810" s="14">
        <f>'Raw Data'!A810</f>
        <v/>
      </c>
      <c r="B810" s="14">
        <f>'Raw Data'!B810</f>
        <v/>
      </c>
      <c r="C810" s="14">
        <f>'Raw Data'!C810</f>
        <v/>
      </c>
      <c r="D810" s="15">
        <f>'Raw Data'!M810</f>
        <v/>
      </c>
      <c r="E810" s="18">
        <f>'Raw Data'!M810/'Raw Data'!L810*100</f>
        <v/>
      </c>
      <c r="F810" s="14">
        <f>IF(E810&gt;15,"Wet Year",IF(E810&lt;-15,"Dry Year","Normal Year"))</f>
        <v/>
      </c>
      <c r="G810" s="16">
        <f>'Raw Data'!I810</f>
        <v/>
      </c>
      <c r="H810" s="14">
        <f>IF(G810&lt;15,"Low Variability",IF(G810&lt;=35,"Moderate Variability","High Variability"))</f>
        <v/>
      </c>
      <c r="I810" s="18">
        <f>'Raw Data'!O810</f>
        <v/>
      </c>
      <c r="J810" s="14">
        <f>IF(I810=0,"No Flood",IF(I810&lt;=0.5,"Low",IF(I810&lt;=2,"Moderate","High")))</f>
        <v/>
      </c>
    </row>
    <row r="811" ht="15" customHeight="1" s="12">
      <c r="A811" s="14">
        <f>'Raw Data'!A811</f>
        <v/>
      </c>
      <c r="B811" s="14">
        <f>'Raw Data'!B811</f>
        <v/>
      </c>
      <c r="C811" s="14">
        <f>'Raw Data'!C811</f>
        <v/>
      </c>
      <c r="D811" s="15">
        <f>'Raw Data'!M811</f>
        <v/>
      </c>
      <c r="E811" s="18">
        <f>'Raw Data'!M811/'Raw Data'!L811*100</f>
        <v/>
      </c>
      <c r="F811" s="14">
        <f>IF(E811&gt;15,"Wet Year",IF(E811&lt;-15,"Dry Year","Normal Year"))</f>
        <v/>
      </c>
      <c r="G811" s="16">
        <f>'Raw Data'!I811</f>
        <v/>
      </c>
      <c r="H811" s="14">
        <f>IF(G811&lt;15,"Low Variability",IF(G811&lt;=35,"Moderate Variability","High Variability"))</f>
        <v/>
      </c>
      <c r="I811" s="18">
        <f>'Raw Data'!O811</f>
        <v/>
      </c>
      <c r="J811" s="14">
        <f>IF(I811=0,"No Flood",IF(I811&lt;=0.5,"Low",IF(I811&lt;=2,"Moderate","High")))</f>
        <v/>
      </c>
    </row>
    <row r="812" ht="15" customHeight="1" s="12">
      <c r="A812" s="14">
        <f>'Raw Data'!A812</f>
        <v/>
      </c>
      <c r="B812" s="14">
        <f>'Raw Data'!B812</f>
        <v/>
      </c>
      <c r="C812" s="14">
        <f>'Raw Data'!C812</f>
        <v/>
      </c>
      <c r="D812" s="15">
        <f>'Raw Data'!M812</f>
        <v/>
      </c>
      <c r="E812" s="18">
        <f>'Raw Data'!M812/'Raw Data'!L812*100</f>
        <v/>
      </c>
      <c r="F812" s="14">
        <f>IF(E812&gt;15,"Wet Year",IF(E812&lt;-15,"Dry Year","Normal Year"))</f>
        <v/>
      </c>
      <c r="G812" s="16">
        <f>'Raw Data'!I812</f>
        <v/>
      </c>
      <c r="H812" s="14">
        <f>IF(G812&lt;15,"Low Variability",IF(G812&lt;=35,"Moderate Variability","High Variability"))</f>
        <v/>
      </c>
      <c r="I812" s="18">
        <f>'Raw Data'!O812</f>
        <v/>
      </c>
      <c r="J812" s="14">
        <f>IF(I812=0,"No Flood",IF(I812&lt;=0.5,"Low",IF(I812&lt;=2,"Moderate","High")))</f>
        <v/>
      </c>
    </row>
    <row r="813" ht="15" customHeight="1" s="12">
      <c r="A813" s="14">
        <f>'Raw Data'!A813</f>
        <v/>
      </c>
      <c r="B813" s="14">
        <f>'Raw Data'!B813</f>
        <v/>
      </c>
      <c r="C813" s="14">
        <f>'Raw Data'!C813</f>
        <v/>
      </c>
      <c r="D813" s="15">
        <f>'Raw Data'!M813</f>
        <v/>
      </c>
      <c r="E813" s="18">
        <f>'Raw Data'!M813/'Raw Data'!L813*100</f>
        <v/>
      </c>
      <c r="F813" s="14">
        <f>IF(E813&gt;15,"Wet Year",IF(E813&lt;-15,"Dry Year","Normal Year"))</f>
        <v/>
      </c>
      <c r="G813" s="16">
        <f>'Raw Data'!I813</f>
        <v/>
      </c>
      <c r="H813" s="14">
        <f>IF(G813&lt;15,"Low Variability",IF(G813&lt;=35,"Moderate Variability","High Variability"))</f>
        <v/>
      </c>
      <c r="I813" s="18">
        <f>'Raw Data'!O813</f>
        <v/>
      </c>
      <c r="J813" s="14">
        <f>IF(I813=0,"No Flood",IF(I813&lt;=0.5,"Low",IF(I813&lt;=2,"Moderate","High")))</f>
        <v/>
      </c>
    </row>
    <row r="814" ht="15" customHeight="1" s="12">
      <c r="A814" s="14">
        <f>'Raw Data'!A814</f>
        <v/>
      </c>
      <c r="B814" s="14">
        <f>'Raw Data'!B814</f>
        <v/>
      </c>
      <c r="C814" s="14">
        <f>'Raw Data'!C814</f>
        <v/>
      </c>
      <c r="D814" s="15">
        <f>'Raw Data'!M814</f>
        <v/>
      </c>
      <c r="E814" s="18">
        <f>'Raw Data'!M814/'Raw Data'!L814*100</f>
        <v/>
      </c>
      <c r="F814" s="14">
        <f>IF(E814&gt;15,"Wet Year",IF(E814&lt;-15,"Dry Year","Normal Year"))</f>
        <v/>
      </c>
      <c r="G814" s="16">
        <f>'Raw Data'!I814</f>
        <v/>
      </c>
      <c r="H814" s="14">
        <f>IF(G814&lt;15,"Low Variability",IF(G814&lt;=35,"Moderate Variability","High Variability"))</f>
        <v/>
      </c>
      <c r="I814" s="18">
        <f>'Raw Data'!O814</f>
        <v/>
      </c>
      <c r="J814" s="14">
        <f>IF(I814=0,"No Flood",IF(I814&lt;=0.5,"Low",IF(I814&lt;=2,"Moderate","High")))</f>
        <v/>
      </c>
    </row>
    <row r="815" ht="15" customHeight="1" s="12">
      <c r="A815" s="14">
        <f>'Raw Data'!A815</f>
        <v/>
      </c>
      <c r="B815" s="14">
        <f>'Raw Data'!B815</f>
        <v/>
      </c>
      <c r="C815" s="14">
        <f>'Raw Data'!C815</f>
        <v/>
      </c>
      <c r="D815" s="15">
        <f>'Raw Data'!M815</f>
        <v/>
      </c>
      <c r="E815" s="18">
        <f>'Raw Data'!M815/'Raw Data'!L815*100</f>
        <v/>
      </c>
      <c r="F815" s="14">
        <f>IF(E815&gt;15,"Wet Year",IF(E815&lt;-15,"Dry Year","Normal Year"))</f>
        <v/>
      </c>
      <c r="G815" s="16">
        <f>'Raw Data'!I815</f>
        <v/>
      </c>
      <c r="H815" s="14">
        <f>IF(G815&lt;15,"Low Variability",IF(G815&lt;=35,"Moderate Variability","High Variability"))</f>
        <v/>
      </c>
      <c r="I815" s="18">
        <f>'Raw Data'!O815</f>
        <v/>
      </c>
      <c r="J815" s="14">
        <f>IF(I815=0,"No Flood",IF(I815&lt;=0.5,"Low",IF(I815&lt;=2,"Moderate","High")))</f>
        <v/>
      </c>
    </row>
    <row r="816" ht="15" customHeight="1" s="12">
      <c r="A816" s="14">
        <f>'Raw Data'!A816</f>
        <v/>
      </c>
      <c r="B816" s="14">
        <f>'Raw Data'!B816</f>
        <v/>
      </c>
      <c r="C816" s="14">
        <f>'Raw Data'!C816</f>
        <v/>
      </c>
      <c r="D816" s="15">
        <f>'Raw Data'!M816</f>
        <v/>
      </c>
      <c r="E816" s="18">
        <f>'Raw Data'!M816/'Raw Data'!L816*100</f>
        <v/>
      </c>
      <c r="F816" s="14">
        <f>IF(E816&gt;15,"Wet Year",IF(E816&lt;-15,"Dry Year","Normal Year"))</f>
        <v/>
      </c>
      <c r="G816" s="16">
        <f>'Raw Data'!I816</f>
        <v/>
      </c>
      <c r="H816" s="14">
        <f>IF(G816&lt;15,"Low Variability",IF(G816&lt;=35,"Moderate Variability","High Variability"))</f>
        <v/>
      </c>
      <c r="I816" s="18">
        <f>'Raw Data'!O816</f>
        <v/>
      </c>
      <c r="J816" s="14">
        <f>IF(I816=0,"No Flood",IF(I816&lt;=0.5,"Low",IF(I816&lt;=2,"Moderate","High")))</f>
        <v/>
      </c>
    </row>
    <row r="817" ht="15" customHeight="1" s="12">
      <c r="A817" s="14">
        <f>'Raw Data'!A817</f>
        <v/>
      </c>
      <c r="B817" s="14">
        <f>'Raw Data'!B817</f>
        <v/>
      </c>
      <c r="C817" s="14">
        <f>'Raw Data'!C817</f>
        <v/>
      </c>
      <c r="D817" s="15">
        <f>'Raw Data'!M817</f>
        <v/>
      </c>
      <c r="E817" s="18">
        <f>'Raw Data'!M817/'Raw Data'!L817*100</f>
        <v/>
      </c>
      <c r="F817" s="14">
        <f>IF(E817&gt;15,"Wet Year",IF(E817&lt;-15,"Dry Year","Normal Year"))</f>
        <v/>
      </c>
      <c r="G817" s="16">
        <f>'Raw Data'!I817</f>
        <v/>
      </c>
      <c r="H817" s="14">
        <f>IF(G817&lt;15,"Low Variability",IF(G817&lt;=35,"Moderate Variability","High Variability"))</f>
        <v/>
      </c>
      <c r="I817" s="18">
        <f>'Raw Data'!O817</f>
        <v/>
      </c>
      <c r="J817" s="14">
        <f>IF(I817=0,"No Flood",IF(I817&lt;=0.5,"Low",IF(I817&lt;=2,"Moderate","High")))</f>
        <v/>
      </c>
    </row>
    <row r="818" ht="15" customHeight="1" s="12">
      <c r="A818" s="14">
        <f>'Raw Data'!A818</f>
        <v/>
      </c>
      <c r="B818" s="14">
        <f>'Raw Data'!B818</f>
        <v/>
      </c>
      <c r="C818" s="14">
        <f>'Raw Data'!C818</f>
        <v/>
      </c>
      <c r="D818" s="15">
        <f>'Raw Data'!M818</f>
        <v/>
      </c>
      <c r="E818" s="18">
        <f>'Raw Data'!M818/'Raw Data'!L818*100</f>
        <v/>
      </c>
      <c r="F818" s="14">
        <f>IF(E818&gt;15,"Wet Year",IF(E818&lt;-15,"Dry Year","Normal Year"))</f>
        <v/>
      </c>
      <c r="G818" s="16">
        <f>'Raw Data'!I818</f>
        <v/>
      </c>
      <c r="H818" s="14">
        <f>IF(G818&lt;15,"Low Variability",IF(G818&lt;=35,"Moderate Variability","High Variability"))</f>
        <v/>
      </c>
      <c r="I818" s="18">
        <f>'Raw Data'!O818</f>
        <v/>
      </c>
      <c r="J818" s="14">
        <f>IF(I818=0,"No Flood",IF(I818&lt;=0.5,"Low",IF(I818&lt;=2,"Moderate","High")))</f>
        <v/>
      </c>
    </row>
    <row r="819" ht="15" customHeight="1" s="12">
      <c r="A819" s="14">
        <f>'Raw Data'!A819</f>
        <v/>
      </c>
      <c r="B819" s="14">
        <f>'Raw Data'!B819</f>
        <v/>
      </c>
      <c r="C819" s="14">
        <f>'Raw Data'!C819</f>
        <v/>
      </c>
      <c r="D819" s="15">
        <f>'Raw Data'!M819</f>
        <v/>
      </c>
      <c r="E819" s="18">
        <f>'Raw Data'!M819/'Raw Data'!L819*100</f>
        <v/>
      </c>
      <c r="F819" s="14">
        <f>IF(E819&gt;15,"Wet Year",IF(E819&lt;-15,"Dry Year","Normal Year"))</f>
        <v/>
      </c>
      <c r="G819" s="16">
        <f>'Raw Data'!I819</f>
        <v/>
      </c>
      <c r="H819" s="14">
        <f>IF(G819&lt;15,"Low Variability",IF(G819&lt;=35,"Moderate Variability","High Variability"))</f>
        <v/>
      </c>
      <c r="I819" s="18">
        <f>'Raw Data'!O819</f>
        <v/>
      </c>
      <c r="J819" s="14">
        <f>IF(I819=0,"No Flood",IF(I819&lt;=0.5,"Low",IF(I819&lt;=2,"Moderate","High")))</f>
        <v/>
      </c>
    </row>
    <row r="820" ht="15" customHeight="1" s="12">
      <c r="A820" s="14">
        <f>'Raw Data'!A820</f>
        <v/>
      </c>
      <c r="B820" s="14">
        <f>'Raw Data'!B820</f>
        <v/>
      </c>
      <c r="C820" s="14">
        <f>'Raw Data'!C820</f>
        <v/>
      </c>
      <c r="D820" s="15">
        <f>'Raw Data'!M820</f>
        <v/>
      </c>
      <c r="E820" s="18">
        <f>'Raw Data'!M820/'Raw Data'!L820*100</f>
        <v/>
      </c>
      <c r="F820" s="14">
        <f>IF(E820&gt;15,"Wet Year",IF(E820&lt;-15,"Dry Year","Normal Year"))</f>
        <v/>
      </c>
      <c r="G820" s="16">
        <f>'Raw Data'!I820</f>
        <v/>
      </c>
      <c r="H820" s="14">
        <f>IF(G820&lt;15,"Low Variability",IF(G820&lt;=35,"Moderate Variability","High Variability"))</f>
        <v/>
      </c>
      <c r="I820" s="18">
        <f>'Raw Data'!O820</f>
        <v/>
      </c>
      <c r="J820" s="14">
        <f>IF(I820=0,"No Flood",IF(I820&lt;=0.5,"Low",IF(I820&lt;=2,"Moderate","High")))</f>
        <v/>
      </c>
    </row>
    <row r="821" ht="15" customHeight="1" s="12">
      <c r="A821" s="14">
        <f>'Raw Data'!A821</f>
        <v/>
      </c>
      <c r="B821" s="14">
        <f>'Raw Data'!B821</f>
        <v/>
      </c>
      <c r="C821" s="14">
        <f>'Raw Data'!C821</f>
        <v/>
      </c>
      <c r="D821" s="15">
        <f>'Raw Data'!M821</f>
        <v/>
      </c>
      <c r="E821" s="18">
        <f>'Raw Data'!M821/'Raw Data'!L821*100</f>
        <v/>
      </c>
      <c r="F821" s="14">
        <f>IF(E821&gt;15,"Wet Year",IF(E821&lt;-15,"Dry Year","Normal Year"))</f>
        <v/>
      </c>
      <c r="G821" s="16">
        <f>'Raw Data'!I821</f>
        <v/>
      </c>
      <c r="H821" s="14">
        <f>IF(G821&lt;15,"Low Variability",IF(G821&lt;=35,"Moderate Variability","High Variability"))</f>
        <v/>
      </c>
      <c r="I821" s="18">
        <f>'Raw Data'!O821</f>
        <v/>
      </c>
      <c r="J821" s="14">
        <f>IF(I821=0,"No Flood",IF(I821&lt;=0.5,"Low",IF(I821&lt;=2,"Moderate","High")))</f>
        <v/>
      </c>
    </row>
    <row r="822" ht="15" customHeight="1" s="12">
      <c r="A822" s="14">
        <f>'Raw Data'!A822</f>
        <v/>
      </c>
      <c r="B822" s="14">
        <f>'Raw Data'!B822</f>
        <v/>
      </c>
      <c r="C822" s="14">
        <f>'Raw Data'!C822</f>
        <v/>
      </c>
      <c r="D822" s="15">
        <f>'Raw Data'!M822</f>
        <v/>
      </c>
      <c r="E822" s="18">
        <f>'Raw Data'!M822/'Raw Data'!L822*100</f>
        <v/>
      </c>
      <c r="F822" s="14">
        <f>IF(E822&gt;15,"Wet Year",IF(E822&lt;-15,"Dry Year","Normal Year"))</f>
        <v/>
      </c>
      <c r="G822" s="16">
        <f>'Raw Data'!I822</f>
        <v/>
      </c>
      <c r="H822" s="14">
        <f>IF(G822&lt;15,"Low Variability",IF(G822&lt;=35,"Moderate Variability","High Variability"))</f>
        <v/>
      </c>
      <c r="I822" s="18">
        <f>'Raw Data'!O822</f>
        <v/>
      </c>
      <c r="J822" s="14">
        <f>IF(I822=0,"No Flood",IF(I822&lt;=0.5,"Low",IF(I822&lt;=2,"Moderate","High")))</f>
        <v/>
      </c>
    </row>
    <row r="823" ht="15" customHeight="1" s="12">
      <c r="A823" s="14">
        <f>'Raw Data'!A823</f>
        <v/>
      </c>
      <c r="B823" s="14">
        <f>'Raw Data'!B823</f>
        <v/>
      </c>
      <c r="C823" s="14">
        <f>'Raw Data'!C823</f>
        <v/>
      </c>
      <c r="D823" s="15">
        <f>'Raw Data'!M823</f>
        <v/>
      </c>
      <c r="E823" s="18">
        <f>'Raw Data'!M823/'Raw Data'!L823*100</f>
        <v/>
      </c>
      <c r="F823" s="14">
        <f>IF(E823&gt;15,"Wet Year",IF(E823&lt;-15,"Dry Year","Normal Year"))</f>
        <v/>
      </c>
      <c r="G823" s="16">
        <f>'Raw Data'!I823</f>
        <v/>
      </c>
      <c r="H823" s="14">
        <f>IF(G823&lt;15,"Low Variability",IF(G823&lt;=35,"Moderate Variability","High Variability"))</f>
        <v/>
      </c>
      <c r="I823" s="18">
        <f>'Raw Data'!O823</f>
        <v/>
      </c>
      <c r="J823" s="14">
        <f>IF(I823=0,"No Flood",IF(I823&lt;=0.5,"Low",IF(I823&lt;=2,"Moderate","High")))</f>
        <v/>
      </c>
    </row>
    <row r="824" ht="15" customHeight="1" s="12">
      <c r="A824" s="14">
        <f>'Raw Data'!A824</f>
        <v/>
      </c>
      <c r="B824" s="14">
        <f>'Raw Data'!B824</f>
        <v/>
      </c>
      <c r="C824" s="14">
        <f>'Raw Data'!C824</f>
        <v/>
      </c>
      <c r="D824" s="15">
        <f>'Raw Data'!M824</f>
        <v/>
      </c>
      <c r="E824" s="18">
        <f>'Raw Data'!M824/'Raw Data'!L824*100</f>
        <v/>
      </c>
      <c r="F824" s="14">
        <f>IF(E824&gt;15,"Wet Year",IF(E824&lt;-15,"Dry Year","Normal Year"))</f>
        <v/>
      </c>
      <c r="G824" s="16">
        <f>'Raw Data'!I824</f>
        <v/>
      </c>
      <c r="H824" s="14">
        <f>IF(G824&lt;15,"Low Variability",IF(G824&lt;=35,"Moderate Variability","High Variability"))</f>
        <v/>
      </c>
      <c r="I824" s="18">
        <f>'Raw Data'!O824</f>
        <v/>
      </c>
      <c r="J824" s="14">
        <f>IF(I824=0,"No Flood",IF(I824&lt;=0.5,"Low",IF(I824&lt;=2,"Moderate","High")))</f>
        <v/>
      </c>
    </row>
    <row r="825" ht="15" customHeight="1" s="12">
      <c r="A825" s="14">
        <f>'Raw Data'!A825</f>
        <v/>
      </c>
      <c r="B825" s="14">
        <f>'Raw Data'!B825</f>
        <v/>
      </c>
      <c r="C825" s="14">
        <f>'Raw Data'!C825</f>
        <v/>
      </c>
      <c r="D825" s="15">
        <f>'Raw Data'!M825</f>
        <v/>
      </c>
      <c r="E825" s="18">
        <f>'Raw Data'!M825/'Raw Data'!L825*100</f>
        <v/>
      </c>
      <c r="F825" s="14">
        <f>IF(E825&gt;15,"Wet Year",IF(E825&lt;-15,"Dry Year","Normal Year"))</f>
        <v/>
      </c>
      <c r="G825" s="16">
        <f>'Raw Data'!I825</f>
        <v/>
      </c>
      <c r="H825" s="14">
        <f>IF(G825&lt;15,"Low Variability",IF(G825&lt;=35,"Moderate Variability","High Variability"))</f>
        <v/>
      </c>
      <c r="I825" s="18">
        <f>'Raw Data'!O825</f>
        <v/>
      </c>
      <c r="J825" s="14">
        <f>IF(I825=0,"No Flood",IF(I825&lt;=0.5,"Low",IF(I825&lt;=2,"Moderate","High")))</f>
        <v/>
      </c>
    </row>
    <row r="826" ht="15" customHeight="1" s="12">
      <c r="A826" s="14">
        <f>'Raw Data'!A826</f>
        <v/>
      </c>
      <c r="B826" s="14">
        <f>'Raw Data'!B826</f>
        <v/>
      </c>
      <c r="C826" s="14">
        <f>'Raw Data'!C826</f>
        <v/>
      </c>
      <c r="D826" s="15">
        <f>'Raw Data'!M826</f>
        <v/>
      </c>
      <c r="E826" s="18">
        <f>'Raw Data'!M826/'Raw Data'!L826*100</f>
        <v/>
      </c>
      <c r="F826" s="14">
        <f>IF(E826&gt;15,"Wet Year",IF(E826&lt;-15,"Dry Year","Normal Year"))</f>
        <v/>
      </c>
      <c r="G826" s="16">
        <f>'Raw Data'!I826</f>
        <v/>
      </c>
      <c r="H826" s="14">
        <f>IF(G826&lt;15,"Low Variability",IF(G826&lt;=35,"Moderate Variability","High Variability"))</f>
        <v/>
      </c>
      <c r="I826" s="18">
        <f>'Raw Data'!O826</f>
        <v/>
      </c>
      <c r="J826" s="14">
        <f>IF(I826=0,"No Flood",IF(I826&lt;=0.5,"Low",IF(I826&lt;=2,"Moderate","High")))</f>
        <v/>
      </c>
    </row>
    <row r="827" ht="15" customHeight="1" s="12">
      <c r="A827" s="14">
        <f>'Raw Data'!A827</f>
        <v/>
      </c>
      <c r="B827" s="14">
        <f>'Raw Data'!B827</f>
        <v/>
      </c>
      <c r="C827" s="14">
        <f>'Raw Data'!C827</f>
        <v/>
      </c>
      <c r="D827" s="15">
        <f>'Raw Data'!M827</f>
        <v/>
      </c>
      <c r="E827" s="18">
        <f>'Raw Data'!M827/'Raw Data'!L827*100</f>
        <v/>
      </c>
      <c r="F827" s="14">
        <f>IF(E827&gt;15,"Wet Year",IF(E827&lt;-15,"Dry Year","Normal Year"))</f>
        <v/>
      </c>
      <c r="G827" s="16">
        <f>'Raw Data'!I827</f>
        <v/>
      </c>
      <c r="H827" s="14">
        <f>IF(G827&lt;15,"Low Variability",IF(G827&lt;=35,"Moderate Variability","High Variability"))</f>
        <v/>
      </c>
      <c r="I827" s="18">
        <f>'Raw Data'!O827</f>
        <v/>
      </c>
      <c r="J827" s="14">
        <f>IF(I827=0,"No Flood",IF(I827&lt;=0.5,"Low",IF(I827&lt;=2,"Moderate","High")))</f>
        <v/>
      </c>
    </row>
    <row r="828" ht="15" customHeight="1" s="12">
      <c r="A828" s="14">
        <f>'Raw Data'!A828</f>
        <v/>
      </c>
      <c r="B828" s="14">
        <f>'Raw Data'!B828</f>
        <v/>
      </c>
      <c r="C828" s="14">
        <f>'Raw Data'!C828</f>
        <v/>
      </c>
      <c r="D828" s="15">
        <f>'Raw Data'!M828</f>
        <v/>
      </c>
      <c r="E828" s="18">
        <f>'Raw Data'!M828/'Raw Data'!L828*100</f>
        <v/>
      </c>
      <c r="F828" s="14">
        <f>IF(E828&gt;15,"Wet Year",IF(E828&lt;-15,"Dry Year","Normal Year"))</f>
        <v/>
      </c>
      <c r="G828" s="16">
        <f>'Raw Data'!I828</f>
        <v/>
      </c>
      <c r="H828" s="14">
        <f>IF(G828&lt;15,"Low Variability",IF(G828&lt;=35,"Moderate Variability","High Variability"))</f>
        <v/>
      </c>
      <c r="I828" s="18">
        <f>'Raw Data'!O828</f>
        <v/>
      </c>
      <c r="J828" s="14">
        <f>IF(I828=0,"No Flood",IF(I828&lt;=0.5,"Low",IF(I828&lt;=2,"Moderate","High")))</f>
        <v/>
      </c>
    </row>
    <row r="829" ht="15" customHeight="1" s="12">
      <c r="A829" s="14">
        <f>'Raw Data'!A829</f>
        <v/>
      </c>
      <c r="B829" s="14">
        <f>'Raw Data'!B829</f>
        <v/>
      </c>
      <c r="C829" s="14">
        <f>'Raw Data'!C829</f>
        <v/>
      </c>
      <c r="D829" s="15">
        <f>'Raw Data'!M829</f>
        <v/>
      </c>
      <c r="E829" s="18">
        <f>'Raw Data'!M829/'Raw Data'!L829*100</f>
        <v/>
      </c>
      <c r="F829" s="14">
        <f>IF(E829&gt;15,"Wet Year",IF(E829&lt;-15,"Dry Year","Normal Year"))</f>
        <v/>
      </c>
      <c r="G829" s="16">
        <f>'Raw Data'!I829</f>
        <v/>
      </c>
      <c r="H829" s="14">
        <f>IF(G829&lt;15,"Low Variability",IF(G829&lt;=35,"Moderate Variability","High Variability"))</f>
        <v/>
      </c>
      <c r="I829" s="18">
        <f>'Raw Data'!O829</f>
        <v/>
      </c>
      <c r="J829" s="14">
        <f>IF(I829=0,"No Flood",IF(I829&lt;=0.5,"Low",IF(I829&lt;=2,"Moderate","High")))</f>
        <v/>
      </c>
    </row>
    <row r="830" ht="15" customHeight="1" s="12">
      <c r="A830" s="14">
        <f>'Raw Data'!A830</f>
        <v/>
      </c>
      <c r="B830" s="14">
        <f>'Raw Data'!B830</f>
        <v/>
      </c>
      <c r="C830" s="14">
        <f>'Raw Data'!C830</f>
        <v/>
      </c>
      <c r="D830" s="15">
        <f>'Raw Data'!M830</f>
        <v/>
      </c>
      <c r="E830" s="18">
        <f>'Raw Data'!M830/'Raw Data'!L830*100</f>
        <v/>
      </c>
      <c r="F830" s="14">
        <f>IF(E830&gt;15,"Wet Year",IF(E830&lt;-15,"Dry Year","Normal Year"))</f>
        <v/>
      </c>
      <c r="G830" s="16">
        <f>'Raw Data'!I830</f>
        <v/>
      </c>
      <c r="H830" s="14">
        <f>IF(G830&lt;15,"Low Variability",IF(G830&lt;=35,"Moderate Variability","High Variability"))</f>
        <v/>
      </c>
      <c r="I830" s="18">
        <f>'Raw Data'!O830</f>
        <v/>
      </c>
      <c r="J830" s="14">
        <f>IF(I830=0,"No Flood",IF(I830&lt;=0.5,"Low",IF(I830&lt;=2,"Moderate","High")))</f>
        <v/>
      </c>
    </row>
    <row r="831" ht="15" customHeight="1" s="12">
      <c r="A831" s="14">
        <f>'Raw Data'!A831</f>
        <v/>
      </c>
      <c r="B831" s="14">
        <f>'Raw Data'!B831</f>
        <v/>
      </c>
      <c r="C831" s="14">
        <f>'Raw Data'!C831</f>
        <v/>
      </c>
      <c r="D831" s="15">
        <f>'Raw Data'!M831</f>
        <v/>
      </c>
      <c r="E831" s="18">
        <f>'Raw Data'!M831/'Raw Data'!L831*100</f>
        <v/>
      </c>
      <c r="F831" s="14">
        <f>IF(E831&gt;15,"Wet Year",IF(E831&lt;-15,"Dry Year","Normal Year"))</f>
        <v/>
      </c>
      <c r="G831" s="16">
        <f>'Raw Data'!I831</f>
        <v/>
      </c>
      <c r="H831" s="14">
        <f>IF(G831&lt;15,"Low Variability",IF(G831&lt;=35,"Moderate Variability","High Variability"))</f>
        <v/>
      </c>
      <c r="I831" s="18">
        <f>'Raw Data'!O831</f>
        <v/>
      </c>
      <c r="J831" s="14">
        <f>IF(I831=0,"No Flood",IF(I831&lt;=0.5,"Low",IF(I831&lt;=2,"Moderate","High")))</f>
        <v/>
      </c>
    </row>
    <row r="832" ht="15" customHeight="1" s="12">
      <c r="A832" s="14">
        <f>'Raw Data'!A832</f>
        <v/>
      </c>
      <c r="B832" s="14">
        <f>'Raw Data'!B832</f>
        <v/>
      </c>
      <c r="C832" s="14">
        <f>'Raw Data'!C832</f>
        <v/>
      </c>
      <c r="D832" s="15">
        <f>'Raw Data'!M832</f>
        <v/>
      </c>
      <c r="E832" s="18">
        <f>'Raw Data'!M832/'Raw Data'!L832*100</f>
        <v/>
      </c>
      <c r="F832" s="14">
        <f>IF(E832&gt;15,"Wet Year",IF(E832&lt;-15,"Dry Year","Normal Year"))</f>
        <v/>
      </c>
      <c r="G832" s="16">
        <f>'Raw Data'!I832</f>
        <v/>
      </c>
      <c r="H832" s="14">
        <f>IF(G832&lt;15,"Low Variability",IF(G832&lt;=35,"Moderate Variability","High Variability"))</f>
        <v/>
      </c>
      <c r="I832" s="18">
        <f>'Raw Data'!O832</f>
        <v/>
      </c>
      <c r="J832" s="14">
        <f>IF(I832=0,"No Flood",IF(I832&lt;=0.5,"Low",IF(I832&lt;=2,"Moderate","High")))</f>
        <v/>
      </c>
    </row>
    <row r="833" ht="15" customHeight="1" s="12">
      <c r="A833" s="14">
        <f>'Raw Data'!A833</f>
        <v/>
      </c>
      <c r="B833" s="14">
        <f>'Raw Data'!B833</f>
        <v/>
      </c>
      <c r="C833" s="14">
        <f>'Raw Data'!C833</f>
        <v/>
      </c>
      <c r="D833" s="15">
        <f>'Raw Data'!M833</f>
        <v/>
      </c>
      <c r="E833" s="18">
        <f>'Raw Data'!M833/'Raw Data'!L833*100</f>
        <v/>
      </c>
      <c r="F833" s="14">
        <f>IF(E833&gt;15,"Wet Year",IF(E833&lt;-15,"Dry Year","Normal Year"))</f>
        <v/>
      </c>
      <c r="G833" s="16">
        <f>'Raw Data'!I833</f>
        <v/>
      </c>
      <c r="H833" s="14">
        <f>IF(G833&lt;15,"Low Variability",IF(G833&lt;=35,"Moderate Variability","High Variability"))</f>
        <v/>
      </c>
      <c r="I833" s="18">
        <f>'Raw Data'!O833</f>
        <v/>
      </c>
      <c r="J833" s="14">
        <f>IF(I833=0,"No Flood",IF(I833&lt;=0.5,"Low",IF(I833&lt;=2,"Moderate","High")))</f>
        <v/>
      </c>
    </row>
    <row r="834" ht="15" customHeight="1" s="12">
      <c r="A834" s="14">
        <f>'Raw Data'!A834</f>
        <v/>
      </c>
      <c r="B834" s="14">
        <f>'Raw Data'!B834</f>
        <v/>
      </c>
      <c r="C834" s="14">
        <f>'Raw Data'!C834</f>
        <v/>
      </c>
      <c r="D834" s="15">
        <f>'Raw Data'!M834</f>
        <v/>
      </c>
      <c r="E834" s="18">
        <f>'Raw Data'!M834/'Raw Data'!L834*100</f>
        <v/>
      </c>
      <c r="F834" s="14">
        <f>IF(E834&gt;15,"Wet Year",IF(E834&lt;-15,"Dry Year","Normal Year"))</f>
        <v/>
      </c>
      <c r="G834" s="16">
        <f>'Raw Data'!I834</f>
        <v/>
      </c>
      <c r="H834" s="14">
        <f>IF(G834&lt;15,"Low Variability",IF(G834&lt;=35,"Moderate Variability","High Variability"))</f>
        <v/>
      </c>
      <c r="I834" s="18">
        <f>'Raw Data'!O834</f>
        <v/>
      </c>
      <c r="J834" s="14">
        <f>IF(I834=0,"No Flood",IF(I834&lt;=0.5,"Low",IF(I834&lt;=2,"Moderate","High")))</f>
        <v/>
      </c>
    </row>
    <row r="835" ht="15" customHeight="1" s="12">
      <c r="A835" s="14">
        <f>'Raw Data'!A835</f>
        <v/>
      </c>
      <c r="B835" s="14">
        <f>'Raw Data'!B835</f>
        <v/>
      </c>
      <c r="C835" s="14">
        <f>'Raw Data'!C835</f>
        <v/>
      </c>
      <c r="D835" s="15">
        <f>'Raw Data'!M835</f>
        <v/>
      </c>
      <c r="E835" s="18">
        <f>'Raw Data'!M835/'Raw Data'!L835*100</f>
        <v/>
      </c>
      <c r="F835" s="14">
        <f>IF(E835&gt;15,"Wet Year",IF(E835&lt;-15,"Dry Year","Normal Year"))</f>
        <v/>
      </c>
      <c r="G835" s="16">
        <f>'Raw Data'!I835</f>
        <v/>
      </c>
      <c r="H835" s="14">
        <f>IF(G835&lt;15,"Low Variability",IF(G835&lt;=35,"Moderate Variability","High Variability"))</f>
        <v/>
      </c>
      <c r="I835" s="18">
        <f>'Raw Data'!O835</f>
        <v/>
      </c>
      <c r="J835" s="14">
        <f>IF(I835=0,"No Flood",IF(I835&lt;=0.5,"Low",IF(I835&lt;=2,"Moderate","High")))</f>
        <v/>
      </c>
    </row>
    <row r="836" ht="15" customHeight="1" s="12">
      <c r="A836" s="14">
        <f>'Raw Data'!A836</f>
        <v/>
      </c>
      <c r="B836" s="14">
        <f>'Raw Data'!B836</f>
        <v/>
      </c>
      <c r="C836" s="14">
        <f>'Raw Data'!C836</f>
        <v/>
      </c>
      <c r="D836" s="15">
        <f>'Raw Data'!M836</f>
        <v/>
      </c>
      <c r="E836" s="18">
        <f>'Raw Data'!M836/'Raw Data'!L836*100</f>
        <v/>
      </c>
      <c r="F836" s="14">
        <f>IF(E836&gt;15,"Wet Year",IF(E836&lt;-15,"Dry Year","Normal Year"))</f>
        <v/>
      </c>
      <c r="G836" s="16">
        <f>'Raw Data'!I836</f>
        <v/>
      </c>
      <c r="H836" s="14">
        <f>IF(G836&lt;15,"Low Variability",IF(G836&lt;=35,"Moderate Variability","High Variability"))</f>
        <v/>
      </c>
      <c r="I836" s="18">
        <f>'Raw Data'!O836</f>
        <v/>
      </c>
      <c r="J836" s="14">
        <f>IF(I836=0,"No Flood",IF(I836&lt;=0.5,"Low",IF(I836&lt;=2,"Moderate","High")))</f>
        <v/>
      </c>
    </row>
    <row r="837" ht="15" customHeight="1" s="12">
      <c r="A837" s="14">
        <f>'Raw Data'!A837</f>
        <v/>
      </c>
      <c r="B837" s="14">
        <f>'Raw Data'!B837</f>
        <v/>
      </c>
      <c r="C837" s="14">
        <f>'Raw Data'!C837</f>
        <v/>
      </c>
      <c r="D837" s="15">
        <f>'Raw Data'!M837</f>
        <v/>
      </c>
      <c r="E837" s="18">
        <f>'Raw Data'!M837/'Raw Data'!L837*100</f>
        <v/>
      </c>
      <c r="F837" s="14">
        <f>IF(E837&gt;15,"Wet Year",IF(E837&lt;-15,"Dry Year","Normal Year"))</f>
        <v/>
      </c>
      <c r="G837" s="16">
        <f>'Raw Data'!I837</f>
        <v/>
      </c>
      <c r="H837" s="14">
        <f>IF(G837&lt;15,"Low Variability",IF(G837&lt;=35,"Moderate Variability","High Variability"))</f>
        <v/>
      </c>
      <c r="I837" s="18">
        <f>'Raw Data'!O837</f>
        <v/>
      </c>
      <c r="J837" s="14">
        <f>IF(I837=0,"No Flood",IF(I837&lt;=0.5,"Low",IF(I837&lt;=2,"Moderate","High")))</f>
        <v/>
      </c>
    </row>
    <row r="838" ht="15" customHeight="1" s="12">
      <c r="A838" s="14">
        <f>'Raw Data'!A838</f>
        <v/>
      </c>
      <c r="B838" s="14">
        <f>'Raw Data'!B838</f>
        <v/>
      </c>
      <c r="C838" s="14">
        <f>'Raw Data'!C838</f>
        <v/>
      </c>
      <c r="D838" s="15">
        <f>'Raw Data'!M838</f>
        <v/>
      </c>
      <c r="E838" s="18">
        <f>'Raw Data'!M838/'Raw Data'!L838*100</f>
        <v/>
      </c>
      <c r="F838" s="14">
        <f>IF(E838&gt;15,"Wet Year",IF(E838&lt;-15,"Dry Year","Normal Year"))</f>
        <v/>
      </c>
      <c r="G838" s="16">
        <f>'Raw Data'!I838</f>
        <v/>
      </c>
      <c r="H838" s="14">
        <f>IF(G838&lt;15,"Low Variability",IF(G838&lt;=35,"Moderate Variability","High Variability"))</f>
        <v/>
      </c>
      <c r="I838" s="18">
        <f>'Raw Data'!O838</f>
        <v/>
      </c>
      <c r="J838" s="14">
        <f>IF(I838=0,"No Flood",IF(I838&lt;=0.5,"Low",IF(I838&lt;=2,"Moderate","High")))</f>
        <v/>
      </c>
    </row>
    <row r="839" ht="15" customHeight="1" s="12">
      <c r="A839" s="14">
        <f>'Raw Data'!A839</f>
        <v/>
      </c>
      <c r="B839" s="14">
        <f>'Raw Data'!B839</f>
        <v/>
      </c>
      <c r="C839" s="14">
        <f>'Raw Data'!C839</f>
        <v/>
      </c>
      <c r="D839" s="15">
        <f>'Raw Data'!M839</f>
        <v/>
      </c>
      <c r="E839" s="18">
        <f>'Raw Data'!M839/'Raw Data'!L839*100</f>
        <v/>
      </c>
      <c r="F839" s="14">
        <f>IF(E839&gt;15,"Wet Year",IF(E839&lt;-15,"Dry Year","Normal Year"))</f>
        <v/>
      </c>
      <c r="G839" s="16">
        <f>'Raw Data'!I839</f>
        <v/>
      </c>
      <c r="H839" s="14">
        <f>IF(G839&lt;15,"Low Variability",IF(G839&lt;=35,"Moderate Variability","High Variability"))</f>
        <v/>
      </c>
      <c r="I839" s="18">
        <f>'Raw Data'!O839</f>
        <v/>
      </c>
      <c r="J839" s="14">
        <f>IF(I839=0,"No Flood",IF(I839&lt;=0.5,"Low",IF(I839&lt;=2,"Moderate","High")))</f>
        <v/>
      </c>
    </row>
    <row r="840" ht="15" customHeight="1" s="12">
      <c r="A840" s="14">
        <f>'Raw Data'!A840</f>
        <v/>
      </c>
      <c r="B840" s="14">
        <f>'Raw Data'!B840</f>
        <v/>
      </c>
      <c r="C840" s="14">
        <f>'Raw Data'!C840</f>
        <v/>
      </c>
      <c r="D840" s="15">
        <f>'Raw Data'!M840</f>
        <v/>
      </c>
      <c r="E840" s="18">
        <f>'Raw Data'!M840/'Raw Data'!L840*100</f>
        <v/>
      </c>
      <c r="F840" s="14">
        <f>IF(E840&gt;15,"Wet Year",IF(E840&lt;-15,"Dry Year","Normal Year"))</f>
        <v/>
      </c>
      <c r="G840" s="16">
        <f>'Raw Data'!I840</f>
        <v/>
      </c>
      <c r="H840" s="14">
        <f>IF(G840&lt;15,"Low Variability",IF(G840&lt;=35,"Moderate Variability","High Variability"))</f>
        <v/>
      </c>
      <c r="I840" s="18">
        <f>'Raw Data'!O840</f>
        <v/>
      </c>
      <c r="J840" s="14">
        <f>IF(I840=0,"No Flood",IF(I840&lt;=0.5,"Low",IF(I840&lt;=2,"Moderate","High")))</f>
        <v/>
      </c>
    </row>
    <row r="841" ht="15" customHeight="1" s="12">
      <c r="A841" s="14">
        <f>'Raw Data'!A841</f>
        <v/>
      </c>
      <c r="B841" s="14">
        <f>'Raw Data'!B841</f>
        <v/>
      </c>
      <c r="C841" s="14">
        <f>'Raw Data'!C841</f>
        <v/>
      </c>
      <c r="D841" s="15">
        <f>'Raw Data'!M841</f>
        <v/>
      </c>
      <c r="E841" s="18">
        <f>'Raw Data'!M841/'Raw Data'!L841*100</f>
        <v/>
      </c>
      <c r="F841" s="14">
        <f>IF(E841&gt;15,"Wet Year",IF(E841&lt;-15,"Dry Year","Normal Year"))</f>
        <v/>
      </c>
      <c r="G841" s="16">
        <f>'Raw Data'!I841</f>
        <v/>
      </c>
      <c r="H841" s="14">
        <f>IF(G841&lt;15,"Low Variability",IF(G841&lt;=35,"Moderate Variability","High Variability"))</f>
        <v/>
      </c>
      <c r="I841" s="18">
        <f>'Raw Data'!O841</f>
        <v/>
      </c>
      <c r="J841" s="14">
        <f>IF(I841=0,"No Flood",IF(I841&lt;=0.5,"Low",IF(I841&lt;=2,"Moderate","High")))</f>
        <v/>
      </c>
    </row>
    <row r="842" ht="15" customHeight="1" s="12">
      <c r="A842" s="14">
        <f>'Raw Data'!A842</f>
        <v/>
      </c>
      <c r="B842" s="14">
        <f>'Raw Data'!B842</f>
        <v/>
      </c>
      <c r="C842" s="14">
        <f>'Raw Data'!C842</f>
        <v/>
      </c>
      <c r="D842" s="15">
        <f>'Raw Data'!M842</f>
        <v/>
      </c>
      <c r="E842" s="18">
        <f>'Raw Data'!M842/'Raw Data'!L842*100</f>
        <v/>
      </c>
      <c r="F842" s="14">
        <f>IF(E842&gt;15,"Wet Year",IF(E842&lt;-15,"Dry Year","Normal Year"))</f>
        <v/>
      </c>
      <c r="G842" s="16">
        <f>'Raw Data'!I842</f>
        <v/>
      </c>
      <c r="H842" s="14">
        <f>IF(G842&lt;15,"Low Variability",IF(G842&lt;=35,"Moderate Variability","High Variability"))</f>
        <v/>
      </c>
      <c r="I842" s="18">
        <f>'Raw Data'!O842</f>
        <v/>
      </c>
      <c r="J842" s="14">
        <f>IF(I842=0,"No Flood",IF(I842&lt;=0.5,"Low",IF(I842&lt;=2,"Moderate","High")))</f>
        <v/>
      </c>
    </row>
    <row r="843" ht="15" customHeight="1" s="12">
      <c r="A843" s="14">
        <f>'Raw Data'!A843</f>
        <v/>
      </c>
      <c r="B843" s="14">
        <f>'Raw Data'!B843</f>
        <v/>
      </c>
      <c r="C843" s="14">
        <f>'Raw Data'!C843</f>
        <v/>
      </c>
      <c r="D843" s="15">
        <f>'Raw Data'!M843</f>
        <v/>
      </c>
      <c r="E843" s="18">
        <f>'Raw Data'!M843/'Raw Data'!L843*100</f>
        <v/>
      </c>
      <c r="F843" s="14">
        <f>IF(E843&gt;15,"Wet Year",IF(E843&lt;-15,"Dry Year","Normal Year"))</f>
        <v/>
      </c>
      <c r="G843" s="16">
        <f>'Raw Data'!I843</f>
        <v/>
      </c>
      <c r="H843" s="14">
        <f>IF(G843&lt;15,"Low Variability",IF(G843&lt;=35,"Moderate Variability","High Variability"))</f>
        <v/>
      </c>
      <c r="I843" s="18">
        <f>'Raw Data'!O843</f>
        <v/>
      </c>
      <c r="J843" s="14">
        <f>IF(I843=0,"No Flood",IF(I843&lt;=0.5,"Low",IF(I843&lt;=2,"Moderate","High")))</f>
        <v/>
      </c>
    </row>
    <row r="844" ht="15" customHeight="1" s="12">
      <c r="A844" s="14">
        <f>'Raw Data'!A844</f>
        <v/>
      </c>
      <c r="B844" s="14">
        <f>'Raw Data'!B844</f>
        <v/>
      </c>
      <c r="C844" s="14">
        <f>'Raw Data'!C844</f>
        <v/>
      </c>
      <c r="D844" s="15">
        <f>'Raw Data'!M844</f>
        <v/>
      </c>
      <c r="E844" s="18">
        <f>'Raw Data'!M844/'Raw Data'!L844*100</f>
        <v/>
      </c>
      <c r="F844" s="14">
        <f>IF(E844&gt;15,"Wet Year",IF(E844&lt;-15,"Dry Year","Normal Year"))</f>
        <v/>
      </c>
      <c r="G844" s="16">
        <f>'Raw Data'!I844</f>
        <v/>
      </c>
      <c r="H844" s="14">
        <f>IF(G844&lt;15,"Low Variability",IF(G844&lt;=35,"Moderate Variability","High Variability"))</f>
        <v/>
      </c>
      <c r="I844" s="18">
        <f>'Raw Data'!O844</f>
        <v/>
      </c>
      <c r="J844" s="14">
        <f>IF(I844=0,"No Flood",IF(I844&lt;=0.5,"Low",IF(I844&lt;=2,"Moderate","High")))</f>
        <v/>
      </c>
    </row>
    <row r="845" ht="15" customHeight="1" s="12">
      <c r="A845" s="14">
        <f>'Raw Data'!A845</f>
        <v/>
      </c>
      <c r="B845" s="14">
        <f>'Raw Data'!B845</f>
        <v/>
      </c>
      <c r="C845" s="14">
        <f>'Raw Data'!C845</f>
        <v/>
      </c>
      <c r="D845" s="15">
        <f>'Raw Data'!M845</f>
        <v/>
      </c>
      <c r="E845" s="18">
        <f>'Raw Data'!M845/'Raw Data'!L845*100</f>
        <v/>
      </c>
      <c r="F845" s="14">
        <f>IF(E845&gt;15,"Wet Year",IF(E845&lt;-15,"Dry Year","Normal Year"))</f>
        <v/>
      </c>
      <c r="G845" s="16">
        <f>'Raw Data'!I845</f>
        <v/>
      </c>
      <c r="H845" s="14">
        <f>IF(G845&lt;15,"Low Variability",IF(G845&lt;=35,"Moderate Variability","High Variability"))</f>
        <v/>
      </c>
      <c r="I845" s="18">
        <f>'Raw Data'!O845</f>
        <v/>
      </c>
      <c r="J845" s="14">
        <f>IF(I845=0,"No Flood",IF(I845&lt;=0.5,"Low",IF(I845&lt;=2,"Moderate","High")))</f>
        <v/>
      </c>
    </row>
    <row r="846" ht="15" customHeight="1" s="12">
      <c r="A846" s="14">
        <f>'Raw Data'!A846</f>
        <v/>
      </c>
      <c r="B846" s="14">
        <f>'Raw Data'!B846</f>
        <v/>
      </c>
      <c r="C846" s="14">
        <f>'Raw Data'!C846</f>
        <v/>
      </c>
      <c r="D846" s="15">
        <f>'Raw Data'!M846</f>
        <v/>
      </c>
      <c r="E846" s="18">
        <f>'Raw Data'!M846/'Raw Data'!L846*100</f>
        <v/>
      </c>
      <c r="F846" s="14">
        <f>IF(E846&gt;15,"Wet Year",IF(E846&lt;-15,"Dry Year","Normal Year"))</f>
        <v/>
      </c>
      <c r="G846" s="16">
        <f>'Raw Data'!I846</f>
        <v/>
      </c>
      <c r="H846" s="14">
        <f>IF(G846&lt;15,"Low Variability",IF(G846&lt;=35,"Moderate Variability","High Variability"))</f>
        <v/>
      </c>
      <c r="I846" s="18">
        <f>'Raw Data'!O846</f>
        <v/>
      </c>
      <c r="J846" s="14">
        <f>IF(I846=0,"No Flood",IF(I846&lt;=0.5,"Low",IF(I846&lt;=2,"Moderate","High")))</f>
        <v/>
      </c>
    </row>
    <row r="847" ht="15" customHeight="1" s="12">
      <c r="A847" s="14">
        <f>'Raw Data'!A847</f>
        <v/>
      </c>
      <c r="B847" s="14">
        <f>'Raw Data'!B847</f>
        <v/>
      </c>
      <c r="C847" s="14">
        <f>'Raw Data'!C847</f>
        <v/>
      </c>
      <c r="D847" s="15">
        <f>'Raw Data'!M847</f>
        <v/>
      </c>
      <c r="E847" s="18">
        <f>'Raw Data'!M847/'Raw Data'!L847*100</f>
        <v/>
      </c>
      <c r="F847" s="14">
        <f>IF(E847&gt;15,"Wet Year",IF(E847&lt;-15,"Dry Year","Normal Year"))</f>
        <v/>
      </c>
      <c r="G847" s="16">
        <f>'Raw Data'!I847</f>
        <v/>
      </c>
      <c r="H847" s="14">
        <f>IF(G847&lt;15,"Low Variability",IF(G847&lt;=35,"Moderate Variability","High Variability"))</f>
        <v/>
      </c>
      <c r="I847" s="18">
        <f>'Raw Data'!O847</f>
        <v/>
      </c>
      <c r="J847" s="14">
        <f>IF(I847=0,"No Flood",IF(I847&lt;=0.5,"Low",IF(I847&lt;=2,"Moderate","High")))</f>
        <v/>
      </c>
    </row>
    <row r="848" ht="15" customHeight="1" s="12">
      <c r="A848" s="14">
        <f>'Raw Data'!A848</f>
        <v/>
      </c>
      <c r="B848" s="14">
        <f>'Raw Data'!B848</f>
        <v/>
      </c>
      <c r="C848" s="14">
        <f>'Raw Data'!C848</f>
        <v/>
      </c>
      <c r="D848" s="15">
        <f>'Raw Data'!M848</f>
        <v/>
      </c>
      <c r="E848" s="18">
        <f>'Raw Data'!M848/'Raw Data'!L848*100</f>
        <v/>
      </c>
      <c r="F848" s="14">
        <f>IF(E848&gt;15,"Wet Year",IF(E848&lt;-15,"Dry Year","Normal Year"))</f>
        <v/>
      </c>
      <c r="G848" s="16">
        <f>'Raw Data'!I848</f>
        <v/>
      </c>
      <c r="H848" s="14">
        <f>IF(G848&lt;15,"Low Variability",IF(G848&lt;=35,"Moderate Variability","High Variability"))</f>
        <v/>
      </c>
      <c r="I848" s="18">
        <f>'Raw Data'!O848</f>
        <v/>
      </c>
      <c r="J848" s="14">
        <f>IF(I848=0,"No Flood",IF(I848&lt;=0.5,"Low",IF(I848&lt;=2,"Moderate","High")))</f>
        <v/>
      </c>
    </row>
    <row r="849" ht="15" customHeight="1" s="12">
      <c r="A849" s="14">
        <f>'Raw Data'!A849</f>
        <v/>
      </c>
      <c r="B849" s="14">
        <f>'Raw Data'!B849</f>
        <v/>
      </c>
      <c r="C849" s="14">
        <f>'Raw Data'!C849</f>
        <v/>
      </c>
      <c r="D849" s="15">
        <f>'Raw Data'!M849</f>
        <v/>
      </c>
      <c r="E849" s="18">
        <f>'Raw Data'!M849/'Raw Data'!L849*100</f>
        <v/>
      </c>
      <c r="F849" s="14">
        <f>IF(E849&gt;15,"Wet Year",IF(E849&lt;-15,"Dry Year","Normal Year"))</f>
        <v/>
      </c>
      <c r="G849" s="16">
        <f>'Raw Data'!I849</f>
        <v/>
      </c>
      <c r="H849" s="14">
        <f>IF(G849&lt;15,"Low Variability",IF(G849&lt;=35,"Moderate Variability","High Variability"))</f>
        <v/>
      </c>
      <c r="I849" s="18">
        <f>'Raw Data'!O849</f>
        <v/>
      </c>
      <c r="J849" s="14">
        <f>IF(I849=0,"No Flood",IF(I849&lt;=0.5,"Low",IF(I849&lt;=2,"Moderate","High")))</f>
        <v/>
      </c>
    </row>
    <row r="850" ht="15" customHeight="1" s="12">
      <c r="A850" s="14">
        <f>'Raw Data'!A850</f>
        <v/>
      </c>
      <c r="B850" s="14">
        <f>'Raw Data'!B850</f>
        <v/>
      </c>
      <c r="C850" s="14">
        <f>'Raw Data'!C850</f>
        <v/>
      </c>
      <c r="D850" s="15">
        <f>'Raw Data'!M850</f>
        <v/>
      </c>
      <c r="E850" s="18">
        <f>'Raw Data'!M850/'Raw Data'!L850*100</f>
        <v/>
      </c>
      <c r="F850" s="14">
        <f>IF(E850&gt;15,"Wet Year",IF(E850&lt;-15,"Dry Year","Normal Year"))</f>
        <v/>
      </c>
      <c r="G850" s="16">
        <f>'Raw Data'!I850</f>
        <v/>
      </c>
      <c r="H850" s="14">
        <f>IF(G850&lt;15,"Low Variability",IF(G850&lt;=35,"Moderate Variability","High Variability"))</f>
        <v/>
      </c>
      <c r="I850" s="18">
        <f>'Raw Data'!O850</f>
        <v/>
      </c>
      <c r="J850" s="14">
        <f>IF(I850=0,"No Flood",IF(I850&lt;=0.5,"Low",IF(I850&lt;=2,"Moderate","High")))</f>
        <v/>
      </c>
    </row>
    <row r="851" ht="15" customHeight="1" s="12">
      <c r="A851" s="14">
        <f>'Raw Data'!A851</f>
        <v/>
      </c>
      <c r="B851" s="14">
        <f>'Raw Data'!B851</f>
        <v/>
      </c>
      <c r="C851" s="14">
        <f>'Raw Data'!C851</f>
        <v/>
      </c>
      <c r="D851" s="15">
        <f>'Raw Data'!M851</f>
        <v/>
      </c>
      <c r="E851" s="18">
        <f>'Raw Data'!M851/'Raw Data'!L851*100</f>
        <v/>
      </c>
      <c r="F851" s="14">
        <f>IF(E851&gt;15,"Wet Year",IF(E851&lt;-15,"Dry Year","Normal Year"))</f>
        <v/>
      </c>
      <c r="G851" s="16">
        <f>'Raw Data'!I851</f>
        <v/>
      </c>
      <c r="H851" s="14">
        <f>IF(G851&lt;15,"Low Variability",IF(G851&lt;=35,"Moderate Variability","High Variability"))</f>
        <v/>
      </c>
      <c r="I851" s="18">
        <f>'Raw Data'!O851</f>
        <v/>
      </c>
      <c r="J851" s="14">
        <f>IF(I851=0,"No Flood",IF(I851&lt;=0.5,"Low",IF(I851&lt;=2,"Moderate","High")))</f>
        <v/>
      </c>
    </row>
    <row r="852" ht="15" customHeight="1" s="12">
      <c r="A852" s="14">
        <f>'Raw Data'!A852</f>
        <v/>
      </c>
      <c r="B852" s="14">
        <f>'Raw Data'!B852</f>
        <v/>
      </c>
      <c r="C852" s="14">
        <f>'Raw Data'!C852</f>
        <v/>
      </c>
      <c r="D852" s="15">
        <f>'Raw Data'!M852</f>
        <v/>
      </c>
      <c r="E852" s="18">
        <f>'Raw Data'!M852/'Raw Data'!L852*100</f>
        <v/>
      </c>
      <c r="F852" s="14">
        <f>IF(E852&gt;15,"Wet Year",IF(E852&lt;-15,"Dry Year","Normal Year"))</f>
        <v/>
      </c>
      <c r="G852" s="16">
        <f>'Raw Data'!I852</f>
        <v/>
      </c>
      <c r="H852" s="14">
        <f>IF(G852&lt;15,"Low Variability",IF(G852&lt;=35,"Moderate Variability","High Variability"))</f>
        <v/>
      </c>
      <c r="I852" s="18">
        <f>'Raw Data'!O852</f>
        <v/>
      </c>
      <c r="J852" s="14">
        <f>IF(I852=0,"No Flood",IF(I852&lt;=0.5,"Low",IF(I852&lt;=2,"Moderate","High")))</f>
        <v/>
      </c>
    </row>
    <row r="853" ht="15" customHeight="1" s="12">
      <c r="A853" s="14">
        <f>'Raw Data'!A853</f>
        <v/>
      </c>
      <c r="B853" s="14">
        <f>'Raw Data'!B853</f>
        <v/>
      </c>
      <c r="C853" s="14">
        <f>'Raw Data'!C853</f>
        <v/>
      </c>
      <c r="D853" s="15">
        <f>'Raw Data'!M853</f>
        <v/>
      </c>
      <c r="E853" s="18">
        <f>'Raw Data'!M853/'Raw Data'!L853*100</f>
        <v/>
      </c>
      <c r="F853" s="14">
        <f>IF(E853&gt;15,"Wet Year",IF(E853&lt;-15,"Dry Year","Normal Year"))</f>
        <v/>
      </c>
      <c r="G853" s="16">
        <f>'Raw Data'!I853</f>
        <v/>
      </c>
      <c r="H853" s="14">
        <f>IF(G853&lt;15,"Low Variability",IF(G853&lt;=35,"Moderate Variability","High Variability"))</f>
        <v/>
      </c>
      <c r="I853" s="18">
        <f>'Raw Data'!O853</f>
        <v/>
      </c>
      <c r="J853" s="14">
        <f>IF(I853=0,"No Flood",IF(I853&lt;=0.5,"Low",IF(I853&lt;=2,"Moderate","High")))</f>
        <v/>
      </c>
    </row>
    <row r="854" ht="15" customHeight="1" s="12">
      <c r="A854" s="14">
        <f>'Raw Data'!A854</f>
        <v/>
      </c>
      <c r="B854" s="14">
        <f>'Raw Data'!B854</f>
        <v/>
      </c>
      <c r="C854" s="14">
        <f>'Raw Data'!C854</f>
        <v/>
      </c>
      <c r="D854" s="15">
        <f>'Raw Data'!M854</f>
        <v/>
      </c>
      <c r="E854" s="18">
        <f>'Raw Data'!M854/'Raw Data'!L854*100</f>
        <v/>
      </c>
      <c r="F854" s="14">
        <f>IF(E854&gt;15,"Wet Year",IF(E854&lt;-15,"Dry Year","Normal Year"))</f>
        <v/>
      </c>
      <c r="G854" s="16">
        <f>'Raw Data'!I854</f>
        <v/>
      </c>
      <c r="H854" s="14">
        <f>IF(G854&lt;15,"Low Variability",IF(G854&lt;=35,"Moderate Variability","High Variability"))</f>
        <v/>
      </c>
      <c r="I854" s="18">
        <f>'Raw Data'!O854</f>
        <v/>
      </c>
      <c r="J854" s="14">
        <f>IF(I854=0,"No Flood",IF(I854&lt;=0.5,"Low",IF(I854&lt;=2,"Moderate","High")))</f>
        <v/>
      </c>
    </row>
    <row r="855" ht="15" customHeight="1" s="12">
      <c r="A855" s="14">
        <f>'Raw Data'!A855</f>
        <v/>
      </c>
      <c r="B855" s="14">
        <f>'Raw Data'!B855</f>
        <v/>
      </c>
      <c r="C855" s="14">
        <f>'Raw Data'!C855</f>
        <v/>
      </c>
      <c r="D855" s="15">
        <f>'Raw Data'!M855</f>
        <v/>
      </c>
      <c r="E855" s="18">
        <f>'Raw Data'!M855/'Raw Data'!L855*100</f>
        <v/>
      </c>
      <c r="F855" s="14">
        <f>IF(E855&gt;15,"Wet Year",IF(E855&lt;-15,"Dry Year","Normal Year"))</f>
        <v/>
      </c>
      <c r="G855" s="16">
        <f>'Raw Data'!I855</f>
        <v/>
      </c>
      <c r="H855" s="14">
        <f>IF(G855&lt;15,"Low Variability",IF(G855&lt;=35,"Moderate Variability","High Variability"))</f>
        <v/>
      </c>
      <c r="I855" s="18">
        <f>'Raw Data'!O855</f>
        <v/>
      </c>
      <c r="J855" s="14">
        <f>IF(I855=0,"No Flood",IF(I855&lt;=0.5,"Low",IF(I855&lt;=2,"Moderate","High")))</f>
        <v/>
      </c>
    </row>
    <row r="856" ht="15" customHeight="1" s="12">
      <c r="A856" s="14">
        <f>'Raw Data'!A856</f>
        <v/>
      </c>
      <c r="B856" s="14">
        <f>'Raw Data'!B856</f>
        <v/>
      </c>
      <c r="C856" s="14">
        <f>'Raw Data'!C856</f>
        <v/>
      </c>
      <c r="D856" s="15">
        <f>'Raw Data'!M856</f>
        <v/>
      </c>
      <c r="E856" s="18">
        <f>'Raw Data'!M856/'Raw Data'!L856*100</f>
        <v/>
      </c>
      <c r="F856" s="14">
        <f>IF(E856&gt;15,"Wet Year",IF(E856&lt;-15,"Dry Year","Normal Year"))</f>
        <v/>
      </c>
      <c r="G856" s="16">
        <f>'Raw Data'!I856</f>
        <v/>
      </c>
      <c r="H856" s="14">
        <f>IF(G856&lt;15,"Low Variability",IF(G856&lt;=35,"Moderate Variability","High Variability"))</f>
        <v/>
      </c>
      <c r="I856" s="18">
        <f>'Raw Data'!O856</f>
        <v/>
      </c>
      <c r="J856" s="14">
        <f>IF(I856=0,"No Flood",IF(I856&lt;=0.5,"Low",IF(I856&lt;=2,"Moderate","High")))</f>
        <v/>
      </c>
    </row>
    <row r="857" ht="15" customHeight="1" s="12">
      <c r="A857" s="14">
        <f>'Raw Data'!A857</f>
        <v/>
      </c>
      <c r="B857" s="14">
        <f>'Raw Data'!B857</f>
        <v/>
      </c>
      <c r="C857" s="14">
        <f>'Raw Data'!C857</f>
        <v/>
      </c>
      <c r="D857" s="15">
        <f>'Raw Data'!M857</f>
        <v/>
      </c>
      <c r="E857" s="18">
        <f>'Raw Data'!M857/'Raw Data'!L857*100</f>
        <v/>
      </c>
      <c r="F857" s="14">
        <f>IF(E857&gt;15,"Wet Year",IF(E857&lt;-15,"Dry Year","Normal Year"))</f>
        <v/>
      </c>
      <c r="G857" s="16">
        <f>'Raw Data'!I857</f>
        <v/>
      </c>
      <c r="H857" s="14">
        <f>IF(G857&lt;15,"Low Variability",IF(G857&lt;=35,"Moderate Variability","High Variability"))</f>
        <v/>
      </c>
      <c r="I857" s="18">
        <f>'Raw Data'!O857</f>
        <v/>
      </c>
      <c r="J857" s="14">
        <f>IF(I857=0,"No Flood",IF(I857&lt;=0.5,"Low",IF(I857&lt;=2,"Moderate","High")))</f>
        <v/>
      </c>
    </row>
    <row r="858" ht="15" customHeight="1" s="12">
      <c r="A858" s="14">
        <f>'Raw Data'!A858</f>
        <v/>
      </c>
      <c r="B858" s="14">
        <f>'Raw Data'!B858</f>
        <v/>
      </c>
      <c r="C858" s="14">
        <f>'Raw Data'!C858</f>
        <v/>
      </c>
      <c r="D858" s="15">
        <f>'Raw Data'!M858</f>
        <v/>
      </c>
      <c r="E858" s="18">
        <f>'Raw Data'!M858/'Raw Data'!L858*100</f>
        <v/>
      </c>
      <c r="F858" s="14">
        <f>IF(E858&gt;15,"Wet Year",IF(E858&lt;-15,"Dry Year","Normal Year"))</f>
        <v/>
      </c>
      <c r="G858" s="16">
        <f>'Raw Data'!I858</f>
        <v/>
      </c>
      <c r="H858" s="14">
        <f>IF(G858&lt;15,"Low Variability",IF(G858&lt;=35,"Moderate Variability","High Variability"))</f>
        <v/>
      </c>
      <c r="I858" s="18">
        <f>'Raw Data'!O858</f>
        <v/>
      </c>
      <c r="J858" s="14">
        <f>IF(I858=0,"No Flood",IF(I858&lt;=0.5,"Low",IF(I858&lt;=2,"Moderate","High")))</f>
        <v/>
      </c>
    </row>
    <row r="859" ht="15" customHeight="1" s="12">
      <c r="A859" s="14">
        <f>'Raw Data'!A859</f>
        <v/>
      </c>
      <c r="B859" s="14">
        <f>'Raw Data'!B859</f>
        <v/>
      </c>
      <c r="C859" s="14">
        <f>'Raw Data'!C859</f>
        <v/>
      </c>
      <c r="D859" s="15">
        <f>'Raw Data'!M859</f>
        <v/>
      </c>
      <c r="E859" s="18">
        <f>'Raw Data'!M859/'Raw Data'!L859*100</f>
        <v/>
      </c>
      <c r="F859" s="14">
        <f>IF(E859&gt;15,"Wet Year",IF(E859&lt;-15,"Dry Year","Normal Year"))</f>
        <v/>
      </c>
      <c r="G859" s="16">
        <f>'Raw Data'!I859</f>
        <v/>
      </c>
      <c r="H859" s="14">
        <f>IF(G859&lt;15,"Low Variability",IF(G859&lt;=35,"Moderate Variability","High Variability"))</f>
        <v/>
      </c>
      <c r="I859" s="18">
        <f>'Raw Data'!O859</f>
        <v/>
      </c>
      <c r="J859" s="14">
        <f>IF(I859=0,"No Flood",IF(I859&lt;=0.5,"Low",IF(I859&lt;=2,"Moderate","High")))</f>
        <v/>
      </c>
    </row>
    <row r="860" ht="15" customHeight="1" s="12">
      <c r="A860" s="14">
        <f>'Raw Data'!A860</f>
        <v/>
      </c>
      <c r="B860" s="14">
        <f>'Raw Data'!B860</f>
        <v/>
      </c>
      <c r="C860" s="14">
        <f>'Raw Data'!C860</f>
        <v/>
      </c>
      <c r="D860" s="15">
        <f>'Raw Data'!M860</f>
        <v/>
      </c>
      <c r="E860" s="18">
        <f>'Raw Data'!M860/'Raw Data'!L860*100</f>
        <v/>
      </c>
      <c r="F860" s="14">
        <f>IF(E860&gt;15,"Wet Year",IF(E860&lt;-15,"Dry Year","Normal Year"))</f>
        <v/>
      </c>
      <c r="G860" s="16">
        <f>'Raw Data'!I860</f>
        <v/>
      </c>
      <c r="H860" s="14">
        <f>IF(G860&lt;15,"Low Variability",IF(G860&lt;=35,"Moderate Variability","High Variability"))</f>
        <v/>
      </c>
      <c r="I860" s="18">
        <f>'Raw Data'!O860</f>
        <v/>
      </c>
      <c r="J860" s="14">
        <f>IF(I860=0,"No Flood",IF(I860&lt;=0.5,"Low",IF(I860&lt;=2,"Moderate","High")))</f>
        <v/>
      </c>
    </row>
    <row r="861" ht="15" customHeight="1" s="12">
      <c r="A861" s="14">
        <f>'Raw Data'!A861</f>
        <v/>
      </c>
      <c r="B861" s="14">
        <f>'Raw Data'!B861</f>
        <v/>
      </c>
      <c r="C861" s="14">
        <f>'Raw Data'!C861</f>
        <v/>
      </c>
      <c r="D861" s="15">
        <f>'Raw Data'!M861</f>
        <v/>
      </c>
      <c r="E861" s="18">
        <f>'Raw Data'!M861/'Raw Data'!L861*100</f>
        <v/>
      </c>
      <c r="F861" s="14">
        <f>IF(E861&gt;15,"Wet Year",IF(E861&lt;-15,"Dry Year","Normal Year"))</f>
        <v/>
      </c>
      <c r="G861" s="16">
        <f>'Raw Data'!I861</f>
        <v/>
      </c>
      <c r="H861" s="14">
        <f>IF(G861&lt;15,"Low Variability",IF(G861&lt;=35,"Moderate Variability","High Variability"))</f>
        <v/>
      </c>
      <c r="I861" s="18">
        <f>'Raw Data'!O861</f>
        <v/>
      </c>
      <c r="J861" s="14">
        <f>IF(I861=0,"No Flood",IF(I861&lt;=0.5,"Low",IF(I861&lt;=2,"Moderate","High")))</f>
        <v/>
      </c>
    </row>
    <row r="862" ht="15" customHeight="1" s="12">
      <c r="A862" s="14">
        <f>'Raw Data'!A862</f>
        <v/>
      </c>
      <c r="B862" s="14">
        <f>'Raw Data'!B862</f>
        <v/>
      </c>
      <c r="C862" s="14">
        <f>'Raw Data'!C862</f>
        <v/>
      </c>
      <c r="D862" s="15">
        <f>'Raw Data'!M862</f>
        <v/>
      </c>
      <c r="E862" s="18">
        <f>'Raw Data'!M862/'Raw Data'!L862*100</f>
        <v/>
      </c>
      <c r="F862" s="14">
        <f>IF(E862&gt;15,"Wet Year",IF(E862&lt;-15,"Dry Year","Normal Year"))</f>
        <v/>
      </c>
      <c r="G862" s="16">
        <f>'Raw Data'!I862</f>
        <v/>
      </c>
      <c r="H862" s="14">
        <f>IF(G862&lt;15,"Low Variability",IF(G862&lt;=35,"Moderate Variability","High Variability"))</f>
        <v/>
      </c>
      <c r="I862" s="18">
        <f>'Raw Data'!O862</f>
        <v/>
      </c>
      <c r="J862" s="14">
        <f>IF(I862=0,"No Flood",IF(I862&lt;=0.5,"Low",IF(I862&lt;=2,"Moderate","High")))</f>
        <v/>
      </c>
    </row>
    <row r="863" ht="15" customHeight="1" s="12">
      <c r="A863" s="14">
        <f>'Raw Data'!A863</f>
        <v/>
      </c>
      <c r="B863" s="14">
        <f>'Raw Data'!B863</f>
        <v/>
      </c>
      <c r="C863" s="14">
        <f>'Raw Data'!C863</f>
        <v/>
      </c>
      <c r="D863" s="15">
        <f>'Raw Data'!M863</f>
        <v/>
      </c>
      <c r="E863" s="18">
        <f>'Raw Data'!M863/'Raw Data'!L863*100</f>
        <v/>
      </c>
      <c r="F863" s="14">
        <f>IF(E863&gt;15,"Wet Year",IF(E863&lt;-15,"Dry Year","Normal Year"))</f>
        <v/>
      </c>
      <c r="G863" s="16">
        <f>'Raw Data'!I863</f>
        <v/>
      </c>
      <c r="H863" s="14">
        <f>IF(G863&lt;15,"Low Variability",IF(G863&lt;=35,"Moderate Variability","High Variability"))</f>
        <v/>
      </c>
      <c r="I863" s="18">
        <f>'Raw Data'!O863</f>
        <v/>
      </c>
      <c r="J863" s="14">
        <f>IF(I863=0,"No Flood",IF(I863&lt;=0.5,"Low",IF(I863&lt;=2,"Moderate","High")))</f>
        <v/>
      </c>
    </row>
    <row r="864" ht="15" customHeight="1" s="12">
      <c r="A864" s="14">
        <f>'Raw Data'!A864</f>
        <v/>
      </c>
      <c r="B864" s="14">
        <f>'Raw Data'!B864</f>
        <v/>
      </c>
      <c r="C864" s="14">
        <f>'Raw Data'!C864</f>
        <v/>
      </c>
      <c r="D864" s="15">
        <f>'Raw Data'!M864</f>
        <v/>
      </c>
      <c r="E864" s="18">
        <f>'Raw Data'!M864/'Raw Data'!L864*100</f>
        <v/>
      </c>
      <c r="F864" s="14">
        <f>IF(E864&gt;15,"Wet Year",IF(E864&lt;-15,"Dry Year","Normal Year"))</f>
        <v/>
      </c>
      <c r="G864" s="16">
        <f>'Raw Data'!I864</f>
        <v/>
      </c>
      <c r="H864" s="14">
        <f>IF(G864&lt;15,"Low Variability",IF(G864&lt;=35,"Moderate Variability","High Variability"))</f>
        <v/>
      </c>
      <c r="I864" s="18">
        <f>'Raw Data'!O864</f>
        <v/>
      </c>
      <c r="J864" s="14">
        <f>IF(I864=0,"No Flood",IF(I864&lt;=0.5,"Low",IF(I864&lt;=2,"Moderate","High")))</f>
        <v/>
      </c>
    </row>
    <row r="865" ht="15" customHeight="1" s="12">
      <c r="A865" s="14">
        <f>'Raw Data'!A865</f>
        <v/>
      </c>
      <c r="B865" s="14">
        <f>'Raw Data'!B865</f>
        <v/>
      </c>
      <c r="C865" s="14">
        <f>'Raw Data'!C865</f>
        <v/>
      </c>
      <c r="D865" s="15">
        <f>'Raw Data'!M865</f>
        <v/>
      </c>
      <c r="E865" s="18">
        <f>'Raw Data'!M865/'Raw Data'!L865*100</f>
        <v/>
      </c>
      <c r="F865" s="14">
        <f>IF(E865&gt;15,"Wet Year",IF(E865&lt;-15,"Dry Year","Normal Year"))</f>
        <v/>
      </c>
      <c r="G865" s="16">
        <f>'Raw Data'!I865</f>
        <v/>
      </c>
      <c r="H865" s="14">
        <f>IF(G865&lt;15,"Low Variability",IF(G865&lt;=35,"Moderate Variability","High Variability"))</f>
        <v/>
      </c>
      <c r="I865" s="18">
        <f>'Raw Data'!O865</f>
        <v/>
      </c>
      <c r="J865" s="14">
        <f>IF(I865=0,"No Flood",IF(I865&lt;=0.5,"Low",IF(I865&lt;=2,"Moderate","High")))</f>
        <v/>
      </c>
    </row>
    <row r="866" ht="15" customHeight="1" s="12">
      <c r="A866" s="14">
        <f>'Raw Data'!A866</f>
        <v/>
      </c>
      <c r="B866" s="14">
        <f>'Raw Data'!B866</f>
        <v/>
      </c>
      <c r="C866" s="14">
        <f>'Raw Data'!C866</f>
        <v/>
      </c>
      <c r="D866" s="15">
        <f>'Raw Data'!M866</f>
        <v/>
      </c>
      <c r="E866" s="18">
        <f>'Raw Data'!M866/'Raw Data'!L866*100</f>
        <v/>
      </c>
      <c r="F866" s="14">
        <f>IF(E866&gt;15,"Wet Year",IF(E866&lt;-15,"Dry Year","Normal Year"))</f>
        <v/>
      </c>
      <c r="G866" s="16">
        <f>'Raw Data'!I866</f>
        <v/>
      </c>
      <c r="H866" s="14">
        <f>IF(G866&lt;15,"Low Variability",IF(G866&lt;=35,"Moderate Variability","High Variability"))</f>
        <v/>
      </c>
      <c r="I866" s="18">
        <f>'Raw Data'!O866</f>
        <v/>
      </c>
      <c r="J866" s="14">
        <f>IF(I866=0,"No Flood",IF(I866&lt;=0.5,"Low",IF(I866&lt;=2,"Moderate","High")))</f>
        <v/>
      </c>
    </row>
    <row r="867" ht="15" customHeight="1" s="12">
      <c r="A867" s="14">
        <f>'Raw Data'!A867</f>
        <v/>
      </c>
      <c r="B867" s="14">
        <f>'Raw Data'!B867</f>
        <v/>
      </c>
      <c r="C867" s="14">
        <f>'Raw Data'!C867</f>
        <v/>
      </c>
      <c r="D867" s="15">
        <f>'Raw Data'!M867</f>
        <v/>
      </c>
      <c r="E867" s="18">
        <f>'Raw Data'!M867/'Raw Data'!L867*100</f>
        <v/>
      </c>
      <c r="F867" s="14">
        <f>IF(E867&gt;15,"Wet Year",IF(E867&lt;-15,"Dry Year","Normal Year"))</f>
        <v/>
      </c>
      <c r="G867" s="16">
        <f>'Raw Data'!I867</f>
        <v/>
      </c>
      <c r="H867" s="14">
        <f>IF(G867&lt;15,"Low Variability",IF(G867&lt;=35,"Moderate Variability","High Variability"))</f>
        <v/>
      </c>
      <c r="I867" s="18">
        <f>'Raw Data'!O867</f>
        <v/>
      </c>
      <c r="J867" s="14">
        <f>IF(I867=0,"No Flood",IF(I867&lt;=0.5,"Low",IF(I867&lt;=2,"Moderate","High")))</f>
        <v/>
      </c>
    </row>
    <row r="868" ht="15" customHeight="1" s="12">
      <c r="A868" s="14">
        <f>'Raw Data'!A868</f>
        <v/>
      </c>
      <c r="B868" s="14">
        <f>'Raw Data'!B868</f>
        <v/>
      </c>
      <c r="C868" s="14">
        <f>'Raw Data'!C868</f>
        <v/>
      </c>
      <c r="D868" s="15">
        <f>'Raw Data'!M868</f>
        <v/>
      </c>
      <c r="E868" s="18">
        <f>'Raw Data'!M868/'Raw Data'!L868*100</f>
        <v/>
      </c>
      <c r="F868" s="14">
        <f>IF(E868&gt;15,"Wet Year",IF(E868&lt;-15,"Dry Year","Normal Year"))</f>
        <v/>
      </c>
      <c r="G868" s="16">
        <f>'Raw Data'!I868</f>
        <v/>
      </c>
      <c r="H868" s="14">
        <f>IF(G868&lt;15,"Low Variability",IF(G868&lt;=35,"Moderate Variability","High Variability"))</f>
        <v/>
      </c>
      <c r="I868" s="18">
        <f>'Raw Data'!O868</f>
        <v/>
      </c>
      <c r="J868" s="14">
        <f>IF(I868=0,"No Flood",IF(I868&lt;=0.5,"Low",IF(I868&lt;=2,"Moderate","High")))</f>
        <v/>
      </c>
    </row>
    <row r="869" ht="15" customHeight="1" s="12">
      <c r="A869" s="14">
        <f>'Raw Data'!A869</f>
        <v/>
      </c>
      <c r="B869" s="14">
        <f>'Raw Data'!B869</f>
        <v/>
      </c>
      <c r="C869" s="14">
        <f>'Raw Data'!C869</f>
        <v/>
      </c>
      <c r="D869" s="15">
        <f>'Raw Data'!M869</f>
        <v/>
      </c>
      <c r="E869" s="18">
        <f>'Raw Data'!M869/'Raw Data'!L869*100</f>
        <v/>
      </c>
      <c r="F869" s="14">
        <f>IF(E869&gt;15,"Wet Year",IF(E869&lt;-15,"Dry Year","Normal Year"))</f>
        <v/>
      </c>
      <c r="G869" s="16">
        <f>'Raw Data'!I869</f>
        <v/>
      </c>
      <c r="H869" s="14">
        <f>IF(G869&lt;15,"Low Variability",IF(G869&lt;=35,"Moderate Variability","High Variability"))</f>
        <v/>
      </c>
      <c r="I869" s="18">
        <f>'Raw Data'!O869</f>
        <v/>
      </c>
      <c r="J869" s="14">
        <f>IF(I869=0,"No Flood",IF(I869&lt;=0.5,"Low",IF(I869&lt;=2,"Moderate","High")))</f>
        <v/>
      </c>
    </row>
    <row r="870" ht="15" customHeight="1" s="12">
      <c r="A870" s="14">
        <f>'Raw Data'!A870</f>
        <v/>
      </c>
      <c r="B870" s="14">
        <f>'Raw Data'!B870</f>
        <v/>
      </c>
      <c r="C870" s="14">
        <f>'Raw Data'!C870</f>
        <v/>
      </c>
      <c r="D870" s="15">
        <f>'Raw Data'!M870</f>
        <v/>
      </c>
      <c r="E870" s="18">
        <f>'Raw Data'!M870/'Raw Data'!L870*100</f>
        <v/>
      </c>
      <c r="F870" s="14">
        <f>IF(E870&gt;15,"Wet Year",IF(E870&lt;-15,"Dry Year","Normal Year"))</f>
        <v/>
      </c>
      <c r="G870" s="16">
        <f>'Raw Data'!I870</f>
        <v/>
      </c>
      <c r="H870" s="14">
        <f>IF(G870&lt;15,"Low Variability",IF(G870&lt;=35,"Moderate Variability","High Variability"))</f>
        <v/>
      </c>
      <c r="I870" s="18">
        <f>'Raw Data'!O870</f>
        <v/>
      </c>
      <c r="J870" s="14">
        <f>IF(I870=0,"No Flood",IF(I870&lt;=0.5,"Low",IF(I870&lt;=2,"Moderate","High")))</f>
        <v/>
      </c>
    </row>
    <row r="871" ht="15" customHeight="1" s="12">
      <c r="A871" s="14">
        <f>'Raw Data'!A871</f>
        <v/>
      </c>
      <c r="B871" s="14">
        <f>'Raw Data'!B871</f>
        <v/>
      </c>
      <c r="C871" s="14">
        <f>'Raw Data'!C871</f>
        <v/>
      </c>
      <c r="D871" s="15">
        <f>'Raw Data'!M871</f>
        <v/>
      </c>
      <c r="E871" s="18">
        <f>'Raw Data'!M871/'Raw Data'!L871*100</f>
        <v/>
      </c>
      <c r="F871" s="14">
        <f>IF(E871&gt;15,"Wet Year",IF(E871&lt;-15,"Dry Year","Normal Year"))</f>
        <v/>
      </c>
      <c r="G871" s="16">
        <f>'Raw Data'!I871</f>
        <v/>
      </c>
      <c r="H871" s="14">
        <f>IF(G871&lt;15,"Low Variability",IF(G871&lt;=35,"Moderate Variability","High Variability"))</f>
        <v/>
      </c>
      <c r="I871" s="18">
        <f>'Raw Data'!O871</f>
        <v/>
      </c>
      <c r="J871" s="14">
        <f>IF(I871=0,"No Flood",IF(I871&lt;=0.5,"Low",IF(I871&lt;=2,"Moderate","High")))</f>
        <v/>
      </c>
    </row>
    <row r="872" ht="15" customHeight="1" s="12">
      <c r="A872" s="14">
        <f>'Raw Data'!A872</f>
        <v/>
      </c>
      <c r="B872" s="14">
        <f>'Raw Data'!B872</f>
        <v/>
      </c>
      <c r="C872" s="14">
        <f>'Raw Data'!C872</f>
        <v/>
      </c>
      <c r="D872" s="15">
        <f>'Raw Data'!M872</f>
        <v/>
      </c>
      <c r="E872" s="18">
        <f>'Raw Data'!M872/'Raw Data'!L872*100</f>
        <v/>
      </c>
      <c r="F872" s="14">
        <f>IF(E872&gt;15,"Wet Year",IF(E872&lt;-15,"Dry Year","Normal Year"))</f>
        <v/>
      </c>
      <c r="G872" s="16">
        <f>'Raw Data'!I872</f>
        <v/>
      </c>
      <c r="H872" s="14">
        <f>IF(G872&lt;15,"Low Variability",IF(G872&lt;=35,"Moderate Variability","High Variability"))</f>
        <v/>
      </c>
      <c r="I872" s="18">
        <f>'Raw Data'!O872</f>
        <v/>
      </c>
      <c r="J872" s="14">
        <f>IF(I872=0,"No Flood",IF(I872&lt;=0.5,"Low",IF(I872&lt;=2,"Moderate","High")))</f>
        <v/>
      </c>
    </row>
    <row r="873" ht="15" customHeight="1" s="12">
      <c r="A873" s="14">
        <f>'Raw Data'!A873</f>
        <v/>
      </c>
      <c r="B873" s="14">
        <f>'Raw Data'!B873</f>
        <v/>
      </c>
      <c r="C873" s="14">
        <f>'Raw Data'!C873</f>
        <v/>
      </c>
      <c r="D873" s="15">
        <f>'Raw Data'!M873</f>
        <v/>
      </c>
      <c r="E873" s="18">
        <f>'Raw Data'!M873/'Raw Data'!L873*100</f>
        <v/>
      </c>
      <c r="F873" s="14">
        <f>IF(E873&gt;15,"Wet Year",IF(E873&lt;-15,"Dry Year","Normal Year"))</f>
        <v/>
      </c>
      <c r="G873" s="16">
        <f>'Raw Data'!I873</f>
        <v/>
      </c>
      <c r="H873" s="14">
        <f>IF(G873&lt;15,"Low Variability",IF(G873&lt;=35,"Moderate Variability","High Variability"))</f>
        <v/>
      </c>
      <c r="I873" s="18">
        <f>'Raw Data'!O873</f>
        <v/>
      </c>
      <c r="J873" s="14">
        <f>IF(I873=0,"No Flood",IF(I873&lt;=0.5,"Low",IF(I873&lt;=2,"Moderate","High")))</f>
        <v/>
      </c>
    </row>
    <row r="874" ht="15" customHeight="1" s="12">
      <c r="A874" s="14">
        <f>'Raw Data'!A874</f>
        <v/>
      </c>
      <c r="B874" s="14">
        <f>'Raw Data'!B874</f>
        <v/>
      </c>
      <c r="C874" s="14">
        <f>'Raw Data'!C874</f>
        <v/>
      </c>
      <c r="D874" s="15">
        <f>'Raw Data'!M874</f>
        <v/>
      </c>
      <c r="E874" s="18">
        <f>'Raw Data'!M874/'Raw Data'!L874*100</f>
        <v/>
      </c>
      <c r="F874" s="14">
        <f>IF(E874&gt;15,"Wet Year",IF(E874&lt;-15,"Dry Year","Normal Year"))</f>
        <v/>
      </c>
      <c r="G874" s="16">
        <f>'Raw Data'!I874</f>
        <v/>
      </c>
      <c r="H874" s="14">
        <f>IF(G874&lt;15,"Low Variability",IF(G874&lt;=35,"Moderate Variability","High Variability"))</f>
        <v/>
      </c>
      <c r="I874" s="18">
        <f>'Raw Data'!O874</f>
        <v/>
      </c>
      <c r="J874" s="14">
        <f>IF(I874=0,"No Flood",IF(I874&lt;=0.5,"Low",IF(I874&lt;=2,"Moderate","High")))</f>
        <v/>
      </c>
    </row>
    <row r="875" ht="15" customHeight="1" s="12">
      <c r="A875" s="14">
        <f>'Raw Data'!A875</f>
        <v/>
      </c>
      <c r="B875" s="14">
        <f>'Raw Data'!B875</f>
        <v/>
      </c>
      <c r="C875" s="14">
        <f>'Raw Data'!C875</f>
        <v/>
      </c>
      <c r="D875" s="15">
        <f>'Raw Data'!M875</f>
        <v/>
      </c>
      <c r="E875" s="18">
        <f>'Raw Data'!M875/'Raw Data'!L875*100</f>
        <v/>
      </c>
      <c r="F875" s="14">
        <f>IF(E875&gt;15,"Wet Year",IF(E875&lt;-15,"Dry Year","Normal Year"))</f>
        <v/>
      </c>
      <c r="G875" s="16">
        <f>'Raw Data'!I875</f>
        <v/>
      </c>
      <c r="H875" s="14">
        <f>IF(G875&lt;15,"Low Variability",IF(G875&lt;=35,"Moderate Variability","High Variability"))</f>
        <v/>
      </c>
      <c r="I875" s="18">
        <f>'Raw Data'!O875</f>
        <v/>
      </c>
      <c r="J875" s="14">
        <f>IF(I875=0,"No Flood",IF(I875&lt;=0.5,"Low",IF(I875&lt;=2,"Moderate","High")))</f>
        <v/>
      </c>
    </row>
    <row r="876" ht="15" customHeight="1" s="12">
      <c r="A876" s="14">
        <f>'Raw Data'!A876</f>
        <v/>
      </c>
      <c r="B876" s="14">
        <f>'Raw Data'!B876</f>
        <v/>
      </c>
      <c r="C876" s="14">
        <f>'Raw Data'!C876</f>
        <v/>
      </c>
      <c r="D876" s="15">
        <f>'Raw Data'!M876</f>
        <v/>
      </c>
      <c r="E876" s="18">
        <f>'Raw Data'!M876/'Raw Data'!L876*100</f>
        <v/>
      </c>
      <c r="F876" s="14">
        <f>IF(E876&gt;15,"Wet Year",IF(E876&lt;-15,"Dry Year","Normal Year"))</f>
        <v/>
      </c>
      <c r="G876" s="16">
        <f>'Raw Data'!I876</f>
        <v/>
      </c>
      <c r="H876" s="14">
        <f>IF(G876&lt;15,"Low Variability",IF(G876&lt;=35,"Moderate Variability","High Variability"))</f>
        <v/>
      </c>
      <c r="I876" s="18">
        <f>'Raw Data'!O876</f>
        <v/>
      </c>
      <c r="J876" s="14">
        <f>IF(I876=0,"No Flood",IF(I876&lt;=0.5,"Low",IF(I876&lt;=2,"Moderate","High")))</f>
        <v/>
      </c>
    </row>
    <row r="877" ht="15" customHeight="1" s="12">
      <c r="A877" s="14">
        <f>'Raw Data'!A877</f>
        <v/>
      </c>
      <c r="B877" s="14">
        <f>'Raw Data'!B877</f>
        <v/>
      </c>
      <c r="C877" s="14">
        <f>'Raw Data'!C877</f>
        <v/>
      </c>
      <c r="D877" s="15">
        <f>'Raw Data'!M877</f>
        <v/>
      </c>
      <c r="E877" s="18">
        <f>'Raw Data'!M877/'Raw Data'!L877*100</f>
        <v/>
      </c>
      <c r="F877" s="14">
        <f>IF(E877&gt;15,"Wet Year",IF(E877&lt;-15,"Dry Year","Normal Year"))</f>
        <v/>
      </c>
      <c r="G877" s="16">
        <f>'Raw Data'!I877</f>
        <v/>
      </c>
      <c r="H877" s="14">
        <f>IF(G877&lt;15,"Low Variability",IF(G877&lt;=35,"Moderate Variability","High Variability"))</f>
        <v/>
      </c>
      <c r="I877" s="18">
        <f>'Raw Data'!O877</f>
        <v/>
      </c>
      <c r="J877" s="14">
        <f>IF(I877=0,"No Flood",IF(I877&lt;=0.5,"Low",IF(I877&lt;=2,"Moderate","High")))</f>
        <v/>
      </c>
    </row>
    <row r="878" ht="15" customHeight="1" s="12">
      <c r="A878" s="14">
        <f>'Raw Data'!A878</f>
        <v/>
      </c>
      <c r="B878" s="14">
        <f>'Raw Data'!B878</f>
        <v/>
      </c>
      <c r="C878" s="14">
        <f>'Raw Data'!C878</f>
        <v/>
      </c>
      <c r="D878" s="15">
        <f>'Raw Data'!M878</f>
        <v/>
      </c>
      <c r="E878" s="18">
        <f>'Raw Data'!M878/'Raw Data'!L878*100</f>
        <v/>
      </c>
      <c r="F878" s="14">
        <f>IF(E878&gt;15,"Wet Year",IF(E878&lt;-15,"Dry Year","Normal Year"))</f>
        <v/>
      </c>
      <c r="G878" s="16">
        <f>'Raw Data'!I878</f>
        <v/>
      </c>
      <c r="H878" s="14">
        <f>IF(G878&lt;15,"Low Variability",IF(G878&lt;=35,"Moderate Variability","High Variability"))</f>
        <v/>
      </c>
      <c r="I878" s="18">
        <f>'Raw Data'!O878</f>
        <v/>
      </c>
      <c r="J878" s="14">
        <f>IF(I878=0,"No Flood",IF(I878&lt;=0.5,"Low",IF(I878&lt;=2,"Moderate","High")))</f>
        <v/>
      </c>
    </row>
    <row r="879" ht="15" customHeight="1" s="12">
      <c r="A879" s="14">
        <f>'Raw Data'!A879</f>
        <v/>
      </c>
      <c r="B879" s="14">
        <f>'Raw Data'!B879</f>
        <v/>
      </c>
      <c r="C879" s="14">
        <f>'Raw Data'!C879</f>
        <v/>
      </c>
      <c r="D879" s="15">
        <f>'Raw Data'!M879</f>
        <v/>
      </c>
      <c r="E879" s="18">
        <f>'Raw Data'!M879/'Raw Data'!L879*100</f>
        <v/>
      </c>
      <c r="F879" s="14">
        <f>IF(E879&gt;15,"Wet Year",IF(E879&lt;-15,"Dry Year","Normal Year"))</f>
        <v/>
      </c>
      <c r="G879" s="16">
        <f>'Raw Data'!I879</f>
        <v/>
      </c>
      <c r="H879" s="14">
        <f>IF(G879&lt;15,"Low Variability",IF(G879&lt;=35,"Moderate Variability","High Variability"))</f>
        <v/>
      </c>
      <c r="I879" s="18">
        <f>'Raw Data'!O879</f>
        <v/>
      </c>
      <c r="J879" s="14">
        <f>IF(I879=0,"No Flood",IF(I879&lt;=0.5,"Low",IF(I879&lt;=2,"Moderate","High")))</f>
        <v/>
      </c>
    </row>
    <row r="880" ht="15" customHeight="1" s="12">
      <c r="A880" s="14">
        <f>'Raw Data'!A880</f>
        <v/>
      </c>
      <c r="B880" s="14">
        <f>'Raw Data'!B880</f>
        <v/>
      </c>
      <c r="C880" s="14">
        <f>'Raw Data'!C880</f>
        <v/>
      </c>
      <c r="D880" s="15">
        <f>'Raw Data'!M880</f>
        <v/>
      </c>
      <c r="E880" s="18">
        <f>'Raw Data'!M880/'Raw Data'!L880*100</f>
        <v/>
      </c>
      <c r="F880" s="14">
        <f>IF(E880&gt;15,"Wet Year",IF(E880&lt;-15,"Dry Year","Normal Year"))</f>
        <v/>
      </c>
      <c r="G880" s="16">
        <f>'Raw Data'!I880</f>
        <v/>
      </c>
      <c r="H880" s="14">
        <f>IF(G880&lt;15,"Low Variability",IF(G880&lt;=35,"Moderate Variability","High Variability"))</f>
        <v/>
      </c>
      <c r="I880" s="18">
        <f>'Raw Data'!O880</f>
        <v/>
      </c>
      <c r="J880" s="14">
        <f>IF(I880=0,"No Flood",IF(I880&lt;=0.5,"Low",IF(I880&lt;=2,"Moderate","High")))</f>
        <v/>
      </c>
    </row>
    <row r="881" ht="15" customHeight="1" s="12">
      <c r="A881" s="14">
        <f>'Raw Data'!A881</f>
        <v/>
      </c>
      <c r="B881" s="14">
        <f>'Raw Data'!B881</f>
        <v/>
      </c>
      <c r="C881" s="14">
        <f>'Raw Data'!C881</f>
        <v/>
      </c>
      <c r="D881" s="15">
        <f>'Raw Data'!M881</f>
        <v/>
      </c>
      <c r="E881" s="18">
        <f>'Raw Data'!M881/'Raw Data'!L881*100</f>
        <v/>
      </c>
      <c r="F881" s="14">
        <f>IF(E881&gt;15,"Wet Year",IF(E881&lt;-15,"Dry Year","Normal Year"))</f>
        <v/>
      </c>
      <c r="G881" s="16">
        <f>'Raw Data'!I881</f>
        <v/>
      </c>
      <c r="H881" s="14">
        <f>IF(G881&lt;15,"Low Variability",IF(G881&lt;=35,"Moderate Variability","High Variability"))</f>
        <v/>
      </c>
      <c r="I881" s="18">
        <f>'Raw Data'!O881</f>
        <v/>
      </c>
      <c r="J881" s="14">
        <f>IF(I881=0,"No Flood",IF(I881&lt;=0.5,"Low",IF(I881&lt;=2,"Moderate","High")))</f>
        <v/>
      </c>
    </row>
    <row r="882" ht="15" customHeight="1" s="12">
      <c r="A882" s="14">
        <f>'Raw Data'!A882</f>
        <v/>
      </c>
      <c r="B882" s="14">
        <f>'Raw Data'!B882</f>
        <v/>
      </c>
      <c r="C882" s="14">
        <f>'Raw Data'!C882</f>
        <v/>
      </c>
      <c r="D882" s="15">
        <f>'Raw Data'!M882</f>
        <v/>
      </c>
      <c r="E882" s="18">
        <f>'Raw Data'!M882/'Raw Data'!L882*100</f>
        <v/>
      </c>
      <c r="F882" s="14">
        <f>IF(E882&gt;15,"Wet Year",IF(E882&lt;-15,"Dry Year","Normal Year"))</f>
        <v/>
      </c>
      <c r="G882" s="16">
        <f>'Raw Data'!I882</f>
        <v/>
      </c>
      <c r="H882" s="14">
        <f>IF(G882&lt;15,"Low Variability",IF(G882&lt;=35,"Moderate Variability","High Variability"))</f>
        <v/>
      </c>
      <c r="I882" s="18">
        <f>'Raw Data'!O882</f>
        <v/>
      </c>
      <c r="J882" s="14">
        <f>IF(I882=0,"No Flood",IF(I882&lt;=0.5,"Low",IF(I882&lt;=2,"Moderate","High")))</f>
        <v/>
      </c>
    </row>
    <row r="883" ht="15" customHeight="1" s="12">
      <c r="A883" s="14">
        <f>'Raw Data'!A883</f>
        <v/>
      </c>
      <c r="B883" s="14">
        <f>'Raw Data'!B883</f>
        <v/>
      </c>
      <c r="C883" s="14">
        <f>'Raw Data'!C883</f>
        <v/>
      </c>
      <c r="D883" s="15">
        <f>'Raw Data'!M883</f>
        <v/>
      </c>
      <c r="E883" s="18">
        <f>'Raw Data'!M883/'Raw Data'!L883*100</f>
        <v/>
      </c>
      <c r="F883" s="14">
        <f>IF(E883&gt;15,"Wet Year",IF(E883&lt;-15,"Dry Year","Normal Year"))</f>
        <v/>
      </c>
      <c r="G883" s="16">
        <f>'Raw Data'!I883</f>
        <v/>
      </c>
      <c r="H883" s="14">
        <f>IF(G883&lt;15,"Low Variability",IF(G883&lt;=35,"Moderate Variability","High Variability"))</f>
        <v/>
      </c>
      <c r="I883" s="18">
        <f>'Raw Data'!O883</f>
        <v/>
      </c>
      <c r="J883" s="14">
        <f>IF(I883=0,"No Flood",IF(I883&lt;=0.5,"Low",IF(I883&lt;=2,"Moderate","High")))</f>
        <v/>
      </c>
    </row>
    <row r="884" ht="15" customHeight="1" s="12">
      <c r="A884" s="14">
        <f>'Raw Data'!A884</f>
        <v/>
      </c>
      <c r="B884" s="14">
        <f>'Raw Data'!B884</f>
        <v/>
      </c>
      <c r="C884" s="14">
        <f>'Raw Data'!C884</f>
        <v/>
      </c>
      <c r="D884" s="15">
        <f>'Raw Data'!M884</f>
        <v/>
      </c>
      <c r="E884" s="18">
        <f>'Raw Data'!M884/'Raw Data'!L884*100</f>
        <v/>
      </c>
      <c r="F884" s="14">
        <f>IF(E884&gt;15,"Wet Year",IF(E884&lt;-15,"Dry Year","Normal Year"))</f>
        <v/>
      </c>
      <c r="G884" s="16">
        <f>'Raw Data'!I884</f>
        <v/>
      </c>
      <c r="H884" s="14">
        <f>IF(G884&lt;15,"Low Variability",IF(G884&lt;=35,"Moderate Variability","High Variability"))</f>
        <v/>
      </c>
      <c r="I884" s="18">
        <f>'Raw Data'!O884</f>
        <v/>
      </c>
      <c r="J884" s="14">
        <f>IF(I884=0,"No Flood",IF(I884&lt;=0.5,"Low",IF(I884&lt;=2,"Moderate","High")))</f>
        <v/>
      </c>
    </row>
    <row r="885" ht="15" customHeight="1" s="12">
      <c r="A885" s="14">
        <f>'Raw Data'!A885</f>
        <v/>
      </c>
      <c r="B885" s="14">
        <f>'Raw Data'!B885</f>
        <v/>
      </c>
      <c r="C885" s="14">
        <f>'Raw Data'!C885</f>
        <v/>
      </c>
      <c r="D885" s="15">
        <f>'Raw Data'!M885</f>
        <v/>
      </c>
      <c r="E885" s="18">
        <f>'Raw Data'!M885/'Raw Data'!L885*100</f>
        <v/>
      </c>
      <c r="F885" s="14">
        <f>IF(E885&gt;15,"Wet Year",IF(E885&lt;-15,"Dry Year","Normal Year"))</f>
        <v/>
      </c>
      <c r="G885" s="16">
        <f>'Raw Data'!I885</f>
        <v/>
      </c>
      <c r="H885" s="14">
        <f>IF(G885&lt;15,"Low Variability",IF(G885&lt;=35,"Moderate Variability","High Variability"))</f>
        <v/>
      </c>
      <c r="I885" s="18">
        <f>'Raw Data'!O885</f>
        <v/>
      </c>
      <c r="J885" s="14">
        <f>IF(I885=0,"No Flood",IF(I885&lt;=0.5,"Low",IF(I885&lt;=2,"Moderate","High")))</f>
        <v/>
      </c>
    </row>
    <row r="886" ht="15" customHeight="1" s="12">
      <c r="A886" s="14">
        <f>'Raw Data'!A886</f>
        <v/>
      </c>
      <c r="B886" s="14">
        <f>'Raw Data'!B886</f>
        <v/>
      </c>
      <c r="C886" s="14">
        <f>'Raw Data'!C886</f>
        <v/>
      </c>
      <c r="D886" s="15">
        <f>'Raw Data'!M886</f>
        <v/>
      </c>
      <c r="E886" s="18">
        <f>'Raw Data'!M886/'Raw Data'!L886*100</f>
        <v/>
      </c>
      <c r="F886" s="14">
        <f>IF(E886&gt;15,"Wet Year",IF(E886&lt;-15,"Dry Year","Normal Year"))</f>
        <v/>
      </c>
      <c r="G886" s="16">
        <f>'Raw Data'!I886</f>
        <v/>
      </c>
      <c r="H886" s="14">
        <f>IF(G886&lt;15,"Low Variability",IF(G886&lt;=35,"Moderate Variability","High Variability"))</f>
        <v/>
      </c>
      <c r="I886" s="18">
        <f>'Raw Data'!O886</f>
        <v/>
      </c>
      <c r="J886" s="14">
        <f>IF(I886=0,"No Flood",IF(I886&lt;=0.5,"Low",IF(I886&lt;=2,"Moderate","High")))</f>
        <v/>
      </c>
    </row>
    <row r="887" ht="15" customHeight="1" s="12">
      <c r="A887" s="14">
        <f>'Raw Data'!A887</f>
        <v/>
      </c>
      <c r="B887" s="14">
        <f>'Raw Data'!B887</f>
        <v/>
      </c>
      <c r="C887" s="14">
        <f>'Raw Data'!C887</f>
        <v/>
      </c>
      <c r="D887" s="15">
        <f>'Raw Data'!M887</f>
        <v/>
      </c>
      <c r="E887" s="18">
        <f>'Raw Data'!M887/'Raw Data'!L887*100</f>
        <v/>
      </c>
      <c r="F887" s="14">
        <f>IF(E887&gt;15,"Wet Year",IF(E887&lt;-15,"Dry Year","Normal Year"))</f>
        <v/>
      </c>
      <c r="G887" s="16">
        <f>'Raw Data'!I887</f>
        <v/>
      </c>
      <c r="H887" s="14">
        <f>IF(G887&lt;15,"Low Variability",IF(G887&lt;=35,"Moderate Variability","High Variability"))</f>
        <v/>
      </c>
      <c r="I887" s="18">
        <f>'Raw Data'!O887</f>
        <v/>
      </c>
      <c r="J887" s="14">
        <f>IF(I887=0,"No Flood",IF(I887&lt;=0.5,"Low",IF(I887&lt;=2,"Moderate","High")))</f>
        <v/>
      </c>
    </row>
    <row r="888" ht="15" customHeight="1" s="12">
      <c r="A888" s="14">
        <f>'Raw Data'!A888</f>
        <v/>
      </c>
      <c r="B888" s="14">
        <f>'Raw Data'!B888</f>
        <v/>
      </c>
      <c r="C888" s="14">
        <f>'Raw Data'!C888</f>
        <v/>
      </c>
      <c r="D888" s="15">
        <f>'Raw Data'!M888</f>
        <v/>
      </c>
      <c r="E888" s="18">
        <f>'Raw Data'!M888/'Raw Data'!L888*100</f>
        <v/>
      </c>
      <c r="F888" s="14">
        <f>IF(E888&gt;15,"Wet Year",IF(E888&lt;-15,"Dry Year","Normal Year"))</f>
        <v/>
      </c>
      <c r="G888" s="16">
        <f>'Raw Data'!I888</f>
        <v/>
      </c>
      <c r="H888" s="14">
        <f>IF(G888&lt;15,"Low Variability",IF(G888&lt;=35,"Moderate Variability","High Variability"))</f>
        <v/>
      </c>
      <c r="I888" s="18">
        <f>'Raw Data'!O888</f>
        <v/>
      </c>
      <c r="J888" s="14">
        <f>IF(I888=0,"No Flood",IF(I888&lt;=0.5,"Low",IF(I888&lt;=2,"Moderate","High")))</f>
        <v/>
      </c>
    </row>
    <row r="889" ht="15" customHeight="1" s="12">
      <c r="A889" s="14">
        <f>'Raw Data'!A889</f>
        <v/>
      </c>
      <c r="B889" s="14">
        <f>'Raw Data'!B889</f>
        <v/>
      </c>
      <c r="C889" s="14">
        <f>'Raw Data'!C889</f>
        <v/>
      </c>
      <c r="D889" s="15">
        <f>'Raw Data'!M889</f>
        <v/>
      </c>
      <c r="E889" s="18">
        <f>'Raw Data'!M889/'Raw Data'!L889*100</f>
        <v/>
      </c>
      <c r="F889" s="14">
        <f>IF(E889&gt;15,"Wet Year",IF(E889&lt;-15,"Dry Year","Normal Year"))</f>
        <v/>
      </c>
      <c r="G889" s="16">
        <f>'Raw Data'!I889</f>
        <v/>
      </c>
      <c r="H889" s="14">
        <f>IF(G889&lt;15,"Low Variability",IF(G889&lt;=35,"Moderate Variability","High Variability"))</f>
        <v/>
      </c>
      <c r="I889" s="18">
        <f>'Raw Data'!O889</f>
        <v/>
      </c>
      <c r="J889" s="14">
        <f>IF(I889=0,"No Flood",IF(I889&lt;=0.5,"Low",IF(I889&lt;=2,"Moderate","High")))</f>
        <v/>
      </c>
    </row>
    <row r="890" ht="15" customHeight="1" s="12">
      <c r="A890" s="14">
        <f>'Raw Data'!A890</f>
        <v/>
      </c>
      <c r="B890" s="14">
        <f>'Raw Data'!B890</f>
        <v/>
      </c>
      <c r="C890" s="14">
        <f>'Raw Data'!C890</f>
        <v/>
      </c>
      <c r="D890" s="15">
        <f>'Raw Data'!M890</f>
        <v/>
      </c>
      <c r="E890" s="18">
        <f>'Raw Data'!M890/'Raw Data'!L890*100</f>
        <v/>
      </c>
      <c r="F890" s="14">
        <f>IF(E890&gt;15,"Wet Year",IF(E890&lt;-15,"Dry Year","Normal Year"))</f>
        <v/>
      </c>
      <c r="G890" s="16">
        <f>'Raw Data'!I890</f>
        <v/>
      </c>
      <c r="H890" s="14">
        <f>IF(G890&lt;15,"Low Variability",IF(G890&lt;=35,"Moderate Variability","High Variability"))</f>
        <v/>
      </c>
      <c r="I890" s="18">
        <f>'Raw Data'!O890</f>
        <v/>
      </c>
      <c r="J890" s="14">
        <f>IF(I890=0,"No Flood",IF(I890&lt;=0.5,"Low",IF(I890&lt;=2,"Moderate","High")))</f>
        <v/>
      </c>
    </row>
    <row r="891" ht="15" customHeight="1" s="12">
      <c r="A891" s="14">
        <f>'Raw Data'!A891</f>
        <v/>
      </c>
      <c r="B891" s="14">
        <f>'Raw Data'!B891</f>
        <v/>
      </c>
      <c r="C891" s="14">
        <f>'Raw Data'!C891</f>
        <v/>
      </c>
      <c r="D891" s="15">
        <f>'Raw Data'!M891</f>
        <v/>
      </c>
      <c r="E891" s="18">
        <f>'Raw Data'!M891/'Raw Data'!L891*100</f>
        <v/>
      </c>
      <c r="F891" s="14">
        <f>IF(E891&gt;15,"Wet Year",IF(E891&lt;-15,"Dry Year","Normal Year"))</f>
        <v/>
      </c>
      <c r="G891" s="16">
        <f>'Raw Data'!I891</f>
        <v/>
      </c>
      <c r="H891" s="14">
        <f>IF(G891&lt;15,"Low Variability",IF(G891&lt;=35,"Moderate Variability","High Variability"))</f>
        <v/>
      </c>
      <c r="I891" s="18">
        <f>'Raw Data'!O891</f>
        <v/>
      </c>
      <c r="J891" s="14">
        <f>IF(I891=0,"No Flood",IF(I891&lt;=0.5,"Low",IF(I891&lt;=2,"Moderate","High")))</f>
        <v/>
      </c>
    </row>
    <row r="892" ht="15" customHeight="1" s="12">
      <c r="A892" s="14">
        <f>'Raw Data'!A892</f>
        <v/>
      </c>
      <c r="B892" s="14">
        <f>'Raw Data'!B892</f>
        <v/>
      </c>
      <c r="C892" s="14">
        <f>'Raw Data'!C892</f>
        <v/>
      </c>
      <c r="D892" s="15">
        <f>'Raw Data'!M892</f>
        <v/>
      </c>
      <c r="E892" s="18">
        <f>'Raw Data'!M892/'Raw Data'!L892*100</f>
        <v/>
      </c>
      <c r="F892" s="14">
        <f>IF(E892&gt;15,"Wet Year",IF(E892&lt;-15,"Dry Year","Normal Year"))</f>
        <v/>
      </c>
      <c r="G892" s="16">
        <f>'Raw Data'!I892</f>
        <v/>
      </c>
      <c r="H892" s="14">
        <f>IF(G892&lt;15,"Low Variability",IF(G892&lt;=35,"Moderate Variability","High Variability"))</f>
        <v/>
      </c>
      <c r="I892" s="18">
        <f>'Raw Data'!O892</f>
        <v/>
      </c>
      <c r="J892" s="14">
        <f>IF(I892=0,"No Flood",IF(I892&lt;=0.5,"Low",IF(I892&lt;=2,"Moderate","High")))</f>
        <v/>
      </c>
    </row>
    <row r="893" ht="15" customHeight="1" s="12">
      <c r="A893" s="14">
        <f>'Raw Data'!A893</f>
        <v/>
      </c>
      <c r="B893" s="14">
        <f>'Raw Data'!B893</f>
        <v/>
      </c>
      <c r="C893" s="14">
        <f>'Raw Data'!C893</f>
        <v/>
      </c>
      <c r="D893" s="15">
        <f>'Raw Data'!M893</f>
        <v/>
      </c>
      <c r="E893" s="18">
        <f>'Raw Data'!M893/'Raw Data'!L893*100</f>
        <v/>
      </c>
      <c r="F893" s="14">
        <f>IF(E893&gt;15,"Wet Year",IF(E893&lt;-15,"Dry Year","Normal Year"))</f>
        <v/>
      </c>
      <c r="G893" s="16">
        <f>'Raw Data'!I893</f>
        <v/>
      </c>
      <c r="H893" s="14">
        <f>IF(G893&lt;15,"Low Variability",IF(G893&lt;=35,"Moderate Variability","High Variability"))</f>
        <v/>
      </c>
      <c r="I893" s="18">
        <f>'Raw Data'!O893</f>
        <v/>
      </c>
      <c r="J893" s="14">
        <f>IF(I893=0,"No Flood",IF(I893&lt;=0.5,"Low",IF(I893&lt;=2,"Moderate","High")))</f>
        <v/>
      </c>
    </row>
    <row r="894" ht="15" customHeight="1" s="12">
      <c r="A894" s="14">
        <f>'Raw Data'!A894</f>
        <v/>
      </c>
      <c r="B894" s="14">
        <f>'Raw Data'!B894</f>
        <v/>
      </c>
      <c r="C894" s="14">
        <f>'Raw Data'!C894</f>
        <v/>
      </c>
      <c r="D894" s="15">
        <f>'Raw Data'!M894</f>
        <v/>
      </c>
      <c r="E894" s="18">
        <f>'Raw Data'!M894/'Raw Data'!L894*100</f>
        <v/>
      </c>
      <c r="F894" s="14">
        <f>IF(E894&gt;15,"Wet Year",IF(E894&lt;-15,"Dry Year","Normal Year"))</f>
        <v/>
      </c>
      <c r="G894" s="16">
        <f>'Raw Data'!I894</f>
        <v/>
      </c>
      <c r="H894" s="14">
        <f>IF(G894&lt;15,"Low Variability",IF(G894&lt;=35,"Moderate Variability","High Variability"))</f>
        <v/>
      </c>
      <c r="I894" s="18">
        <f>'Raw Data'!O894</f>
        <v/>
      </c>
      <c r="J894" s="14">
        <f>IF(I894=0,"No Flood",IF(I894&lt;=0.5,"Low",IF(I894&lt;=2,"Moderate","High")))</f>
        <v/>
      </c>
    </row>
    <row r="895" ht="15" customHeight="1" s="12">
      <c r="A895" s="14">
        <f>'Raw Data'!A895</f>
        <v/>
      </c>
      <c r="B895" s="14">
        <f>'Raw Data'!B895</f>
        <v/>
      </c>
      <c r="C895" s="14">
        <f>'Raw Data'!C895</f>
        <v/>
      </c>
      <c r="D895" s="15">
        <f>'Raw Data'!M895</f>
        <v/>
      </c>
      <c r="E895" s="18">
        <f>'Raw Data'!M895/'Raw Data'!L895*100</f>
        <v/>
      </c>
      <c r="F895" s="14">
        <f>IF(E895&gt;15,"Wet Year",IF(E895&lt;-15,"Dry Year","Normal Year"))</f>
        <v/>
      </c>
      <c r="G895" s="16">
        <f>'Raw Data'!I895</f>
        <v/>
      </c>
      <c r="H895" s="14">
        <f>IF(G895&lt;15,"Low Variability",IF(G895&lt;=35,"Moderate Variability","High Variability"))</f>
        <v/>
      </c>
      <c r="I895" s="18">
        <f>'Raw Data'!O895</f>
        <v/>
      </c>
      <c r="J895" s="14">
        <f>IF(I895=0,"No Flood",IF(I895&lt;=0.5,"Low",IF(I895&lt;=2,"Moderate","High")))</f>
        <v/>
      </c>
    </row>
    <row r="896" ht="15" customHeight="1" s="12">
      <c r="A896" s="14">
        <f>'Raw Data'!A896</f>
        <v/>
      </c>
      <c r="B896" s="14">
        <f>'Raw Data'!B896</f>
        <v/>
      </c>
      <c r="C896" s="14">
        <f>'Raw Data'!C896</f>
        <v/>
      </c>
      <c r="D896" s="15">
        <f>'Raw Data'!M896</f>
        <v/>
      </c>
      <c r="E896" s="18">
        <f>'Raw Data'!M896/'Raw Data'!L896*100</f>
        <v/>
      </c>
      <c r="F896" s="14">
        <f>IF(E896&gt;15,"Wet Year",IF(E896&lt;-15,"Dry Year","Normal Year"))</f>
        <v/>
      </c>
      <c r="G896" s="16">
        <f>'Raw Data'!I896</f>
        <v/>
      </c>
      <c r="H896" s="14">
        <f>IF(G896&lt;15,"Low Variability",IF(G896&lt;=35,"Moderate Variability","High Variability"))</f>
        <v/>
      </c>
      <c r="I896" s="18">
        <f>'Raw Data'!O896</f>
        <v/>
      </c>
      <c r="J896" s="14">
        <f>IF(I896=0,"No Flood",IF(I896&lt;=0.5,"Low",IF(I896&lt;=2,"Moderate","High")))</f>
        <v/>
      </c>
    </row>
    <row r="897" ht="15" customHeight="1" s="12">
      <c r="A897" s="14">
        <f>'Raw Data'!A897</f>
        <v/>
      </c>
      <c r="B897" s="14">
        <f>'Raw Data'!B897</f>
        <v/>
      </c>
      <c r="C897" s="14">
        <f>'Raw Data'!C897</f>
        <v/>
      </c>
      <c r="D897" s="15">
        <f>'Raw Data'!M897</f>
        <v/>
      </c>
      <c r="E897" s="18">
        <f>'Raw Data'!M897/'Raw Data'!L897*100</f>
        <v/>
      </c>
      <c r="F897" s="14">
        <f>IF(E897&gt;15,"Wet Year",IF(E897&lt;-15,"Dry Year","Normal Year"))</f>
        <v/>
      </c>
      <c r="G897" s="16">
        <f>'Raw Data'!I897</f>
        <v/>
      </c>
      <c r="H897" s="14">
        <f>IF(G897&lt;15,"Low Variability",IF(G897&lt;=35,"Moderate Variability","High Variability"))</f>
        <v/>
      </c>
      <c r="I897" s="18">
        <f>'Raw Data'!O897</f>
        <v/>
      </c>
      <c r="J897" s="14">
        <f>IF(I897=0,"No Flood",IF(I897&lt;=0.5,"Low",IF(I897&lt;=2,"Moderate","High")))</f>
        <v/>
      </c>
    </row>
    <row r="898" ht="15" customHeight="1" s="12">
      <c r="A898" s="14">
        <f>'Raw Data'!A898</f>
        <v/>
      </c>
      <c r="B898" s="14">
        <f>'Raw Data'!B898</f>
        <v/>
      </c>
      <c r="C898" s="14">
        <f>'Raw Data'!C898</f>
        <v/>
      </c>
      <c r="D898" s="15">
        <f>'Raw Data'!M898</f>
        <v/>
      </c>
      <c r="E898" s="18">
        <f>'Raw Data'!M898/'Raw Data'!L898*100</f>
        <v/>
      </c>
      <c r="F898" s="14">
        <f>IF(E898&gt;15,"Wet Year",IF(E898&lt;-15,"Dry Year","Normal Year"))</f>
        <v/>
      </c>
      <c r="G898" s="16">
        <f>'Raw Data'!I898</f>
        <v/>
      </c>
      <c r="H898" s="14">
        <f>IF(G898&lt;15,"Low Variability",IF(G898&lt;=35,"Moderate Variability","High Variability"))</f>
        <v/>
      </c>
      <c r="I898" s="18">
        <f>'Raw Data'!O898</f>
        <v/>
      </c>
      <c r="J898" s="14">
        <f>IF(I898=0,"No Flood",IF(I898&lt;=0.5,"Low",IF(I898&lt;=2,"Moderate","High")))</f>
        <v/>
      </c>
    </row>
    <row r="899" ht="15" customHeight="1" s="12">
      <c r="A899" s="14">
        <f>'Raw Data'!A899</f>
        <v/>
      </c>
      <c r="B899" s="14">
        <f>'Raw Data'!B899</f>
        <v/>
      </c>
      <c r="C899" s="14">
        <f>'Raw Data'!C899</f>
        <v/>
      </c>
      <c r="D899" s="15">
        <f>'Raw Data'!M899</f>
        <v/>
      </c>
      <c r="E899" s="18">
        <f>'Raw Data'!M899/'Raw Data'!L899*100</f>
        <v/>
      </c>
      <c r="F899" s="14">
        <f>IF(E899&gt;15,"Wet Year",IF(E899&lt;-15,"Dry Year","Normal Year"))</f>
        <v/>
      </c>
      <c r="G899" s="16">
        <f>'Raw Data'!I899</f>
        <v/>
      </c>
      <c r="H899" s="14">
        <f>IF(G899&lt;15,"Low Variability",IF(G899&lt;=35,"Moderate Variability","High Variability"))</f>
        <v/>
      </c>
      <c r="I899" s="18">
        <f>'Raw Data'!O899</f>
        <v/>
      </c>
      <c r="J899" s="14">
        <f>IF(I899=0,"No Flood",IF(I899&lt;=0.5,"Low",IF(I899&lt;=2,"Moderate","High")))</f>
        <v/>
      </c>
    </row>
    <row r="900" ht="15" customHeight="1" s="12">
      <c r="A900" s="14">
        <f>'Raw Data'!A900</f>
        <v/>
      </c>
      <c r="B900" s="14">
        <f>'Raw Data'!B900</f>
        <v/>
      </c>
      <c r="C900" s="14">
        <f>'Raw Data'!C900</f>
        <v/>
      </c>
      <c r="D900" s="15">
        <f>'Raw Data'!M900</f>
        <v/>
      </c>
      <c r="E900" s="18">
        <f>'Raw Data'!M900/'Raw Data'!L900*100</f>
        <v/>
      </c>
      <c r="F900" s="14">
        <f>IF(E900&gt;15,"Wet Year",IF(E900&lt;-15,"Dry Year","Normal Year"))</f>
        <v/>
      </c>
      <c r="G900" s="16">
        <f>'Raw Data'!I900</f>
        <v/>
      </c>
      <c r="H900" s="14">
        <f>IF(G900&lt;15,"Low Variability",IF(G900&lt;=35,"Moderate Variability","High Variability"))</f>
        <v/>
      </c>
      <c r="I900" s="18">
        <f>'Raw Data'!O900</f>
        <v/>
      </c>
      <c r="J900" s="14">
        <f>IF(I900=0,"No Flood",IF(I900&lt;=0.5,"Low",IF(I900&lt;=2,"Moderate","High")))</f>
        <v/>
      </c>
    </row>
    <row r="901" ht="15" customHeight="1" s="12">
      <c r="A901" s="14">
        <f>'Raw Data'!A901</f>
        <v/>
      </c>
      <c r="B901" s="14">
        <f>'Raw Data'!B901</f>
        <v/>
      </c>
      <c r="C901" s="14">
        <f>'Raw Data'!C901</f>
        <v/>
      </c>
      <c r="D901" s="15">
        <f>'Raw Data'!M901</f>
        <v/>
      </c>
      <c r="E901" s="18">
        <f>'Raw Data'!M901/'Raw Data'!L901*100</f>
        <v/>
      </c>
      <c r="F901" s="14">
        <f>IF(E901&gt;15,"Wet Year",IF(E901&lt;-15,"Dry Year","Normal Year"))</f>
        <v/>
      </c>
      <c r="G901" s="16">
        <f>'Raw Data'!I901</f>
        <v/>
      </c>
      <c r="H901" s="14">
        <f>IF(G901&lt;15,"Low Variability",IF(G901&lt;=35,"Moderate Variability","High Variability"))</f>
        <v/>
      </c>
      <c r="I901" s="18">
        <f>'Raw Data'!O901</f>
        <v/>
      </c>
      <c r="J901" s="14">
        <f>IF(I901=0,"No Flood",IF(I901&lt;=0.5,"Low",IF(I901&lt;=2,"Moderate","High")))</f>
        <v/>
      </c>
    </row>
    <row r="902" ht="15" customHeight="1" s="12">
      <c r="A902" s="14">
        <f>'Raw Data'!A902</f>
        <v/>
      </c>
      <c r="B902" s="14">
        <f>'Raw Data'!B902</f>
        <v/>
      </c>
      <c r="C902" s="14">
        <f>'Raw Data'!C902</f>
        <v/>
      </c>
      <c r="D902" s="15">
        <f>'Raw Data'!M902</f>
        <v/>
      </c>
      <c r="E902" s="18">
        <f>'Raw Data'!M902/'Raw Data'!L902*100</f>
        <v/>
      </c>
      <c r="F902" s="14">
        <f>IF(E902&gt;15,"Wet Year",IF(E902&lt;-15,"Dry Year","Normal Year"))</f>
        <v/>
      </c>
      <c r="G902" s="16">
        <f>'Raw Data'!I902</f>
        <v/>
      </c>
      <c r="H902" s="14">
        <f>IF(G902&lt;15,"Low Variability",IF(G902&lt;=35,"Moderate Variability","High Variability"))</f>
        <v/>
      </c>
      <c r="I902" s="18">
        <f>'Raw Data'!O902</f>
        <v/>
      </c>
      <c r="J902" s="14">
        <f>IF(I902=0,"No Flood",IF(I902&lt;=0.5,"Low",IF(I902&lt;=2,"Moderate","High")))</f>
        <v/>
      </c>
    </row>
    <row r="903" ht="15" customHeight="1" s="12">
      <c r="A903" s="14">
        <f>'Raw Data'!A903</f>
        <v/>
      </c>
      <c r="B903" s="14">
        <f>'Raw Data'!B903</f>
        <v/>
      </c>
      <c r="C903" s="14">
        <f>'Raw Data'!C903</f>
        <v/>
      </c>
      <c r="D903" s="15">
        <f>'Raw Data'!M903</f>
        <v/>
      </c>
      <c r="E903" s="18">
        <f>'Raw Data'!M903/'Raw Data'!L903*100</f>
        <v/>
      </c>
      <c r="F903" s="14">
        <f>IF(E903&gt;15,"Wet Year",IF(E903&lt;-15,"Dry Year","Normal Year"))</f>
        <v/>
      </c>
      <c r="G903" s="16">
        <f>'Raw Data'!I903</f>
        <v/>
      </c>
      <c r="H903" s="14">
        <f>IF(G903&lt;15,"Low Variability",IF(G903&lt;=35,"Moderate Variability","High Variability"))</f>
        <v/>
      </c>
      <c r="I903" s="18">
        <f>'Raw Data'!O903</f>
        <v/>
      </c>
      <c r="J903" s="14">
        <f>IF(I903=0,"No Flood",IF(I903&lt;=0.5,"Low",IF(I903&lt;=2,"Moderate","High")))</f>
        <v/>
      </c>
    </row>
    <row r="904" ht="15" customHeight="1" s="12">
      <c r="A904" s="14">
        <f>'Raw Data'!A904</f>
        <v/>
      </c>
      <c r="B904" s="14">
        <f>'Raw Data'!B904</f>
        <v/>
      </c>
      <c r="C904" s="14">
        <f>'Raw Data'!C904</f>
        <v/>
      </c>
      <c r="D904" s="15">
        <f>'Raw Data'!M904</f>
        <v/>
      </c>
      <c r="E904" s="18">
        <f>'Raw Data'!M904/'Raw Data'!L904*100</f>
        <v/>
      </c>
      <c r="F904" s="14">
        <f>IF(E904&gt;15,"Wet Year",IF(E904&lt;-15,"Dry Year","Normal Year"))</f>
        <v/>
      </c>
      <c r="G904" s="16">
        <f>'Raw Data'!I904</f>
        <v/>
      </c>
      <c r="H904" s="14">
        <f>IF(G904&lt;15,"Low Variability",IF(G904&lt;=35,"Moderate Variability","High Variability"))</f>
        <v/>
      </c>
      <c r="I904" s="18">
        <f>'Raw Data'!O904</f>
        <v/>
      </c>
      <c r="J904" s="14">
        <f>IF(I904=0,"No Flood",IF(I904&lt;=0.5,"Low",IF(I904&lt;=2,"Moderate","High")))</f>
        <v/>
      </c>
    </row>
    <row r="905" ht="15" customHeight="1" s="12">
      <c r="A905" s="14">
        <f>'Raw Data'!A905</f>
        <v/>
      </c>
      <c r="B905" s="14">
        <f>'Raw Data'!B905</f>
        <v/>
      </c>
      <c r="C905" s="14">
        <f>'Raw Data'!C905</f>
        <v/>
      </c>
      <c r="D905" s="15">
        <f>'Raw Data'!M905</f>
        <v/>
      </c>
      <c r="E905" s="18">
        <f>'Raw Data'!M905/'Raw Data'!L905*100</f>
        <v/>
      </c>
      <c r="F905" s="14">
        <f>IF(E905&gt;15,"Wet Year",IF(E905&lt;-15,"Dry Year","Normal Year"))</f>
        <v/>
      </c>
      <c r="G905" s="16">
        <f>'Raw Data'!I905</f>
        <v/>
      </c>
      <c r="H905" s="14">
        <f>IF(G905&lt;15,"Low Variability",IF(G905&lt;=35,"Moderate Variability","High Variability"))</f>
        <v/>
      </c>
      <c r="I905" s="18">
        <f>'Raw Data'!O905</f>
        <v/>
      </c>
      <c r="J905" s="14">
        <f>IF(I905=0,"No Flood",IF(I905&lt;=0.5,"Low",IF(I905&lt;=2,"Moderate","High")))</f>
        <v/>
      </c>
    </row>
    <row r="906" ht="15" customHeight="1" s="12">
      <c r="A906" s="14">
        <f>'Raw Data'!A906</f>
        <v/>
      </c>
      <c r="B906" s="14">
        <f>'Raw Data'!B906</f>
        <v/>
      </c>
      <c r="C906" s="14">
        <f>'Raw Data'!C906</f>
        <v/>
      </c>
      <c r="D906" s="15">
        <f>'Raw Data'!M906</f>
        <v/>
      </c>
      <c r="E906" s="18">
        <f>'Raw Data'!M906/'Raw Data'!L906*100</f>
        <v/>
      </c>
      <c r="F906" s="14">
        <f>IF(E906&gt;15,"Wet Year",IF(E906&lt;-15,"Dry Year","Normal Year"))</f>
        <v/>
      </c>
      <c r="G906" s="16">
        <f>'Raw Data'!I906</f>
        <v/>
      </c>
      <c r="H906" s="14">
        <f>IF(G906&lt;15,"Low Variability",IF(G906&lt;=35,"Moderate Variability","High Variability"))</f>
        <v/>
      </c>
      <c r="I906" s="18">
        <f>'Raw Data'!O906</f>
        <v/>
      </c>
      <c r="J906" s="14">
        <f>IF(I906=0,"No Flood",IF(I906&lt;=0.5,"Low",IF(I906&lt;=2,"Moderate","High")))</f>
        <v/>
      </c>
    </row>
    <row r="907" ht="15" customHeight="1" s="12">
      <c r="A907" s="14">
        <f>'Raw Data'!A907</f>
        <v/>
      </c>
      <c r="B907" s="14">
        <f>'Raw Data'!B907</f>
        <v/>
      </c>
      <c r="C907" s="14">
        <f>'Raw Data'!C907</f>
        <v/>
      </c>
      <c r="D907" s="15">
        <f>'Raw Data'!M907</f>
        <v/>
      </c>
      <c r="E907" s="18">
        <f>'Raw Data'!M907/'Raw Data'!L907*100</f>
        <v/>
      </c>
      <c r="F907" s="14">
        <f>IF(E907&gt;15,"Wet Year",IF(E907&lt;-15,"Dry Year","Normal Year"))</f>
        <v/>
      </c>
      <c r="G907" s="16">
        <f>'Raw Data'!I907</f>
        <v/>
      </c>
      <c r="H907" s="14">
        <f>IF(G907&lt;15,"Low Variability",IF(G907&lt;=35,"Moderate Variability","High Variability"))</f>
        <v/>
      </c>
      <c r="I907" s="18">
        <f>'Raw Data'!O907</f>
        <v/>
      </c>
      <c r="J907" s="14">
        <f>IF(I907=0,"No Flood",IF(I907&lt;=0.5,"Low",IF(I907&lt;=2,"Moderate","High")))</f>
        <v/>
      </c>
    </row>
    <row r="908" ht="15" customHeight="1" s="12">
      <c r="A908" s="14">
        <f>'Raw Data'!A908</f>
        <v/>
      </c>
      <c r="B908" s="14">
        <f>'Raw Data'!B908</f>
        <v/>
      </c>
      <c r="C908" s="14">
        <f>'Raw Data'!C908</f>
        <v/>
      </c>
      <c r="D908" s="15">
        <f>'Raw Data'!M908</f>
        <v/>
      </c>
      <c r="E908" s="18">
        <f>'Raw Data'!M908/'Raw Data'!L908*100</f>
        <v/>
      </c>
      <c r="F908" s="14">
        <f>IF(E908&gt;15,"Wet Year",IF(E908&lt;-15,"Dry Year","Normal Year"))</f>
        <v/>
      </c>
      <c r="G908" s="16">
        <f>'Raw Data'!I908</f>
        <v/>
      </c>
      <c r="H908" s="14">
        <f>IF(G908&lt;15,"Low Variability",IF(G908&lt;=35,"Moderate Variability","High Variability"))</f>
        <v/>
      </c>
      <c r="I908" s="18">
        <f>'Raw Data'!O908</f>
        <v/>
      </c>
      <c r="J908" s="14">
        <f>IF(I908=0,"No Flood",IF(I908&lt;=0.5,"Low",IF(I908&lt;=2,"Moderate","High")))</f>
        <v/>
      </c>
    </row>
    <row r="909" ht="15" customHeight="1" s="12">
      <c r="A909" s="14">
        <f>'Raw Data'!A909</f>
        <v/>
      </c>
      <c r="B909" s="14">
        <f>'Raw Data'!B909</f>
        <v/>
      </c>
      <c r="C909" s="14">
        <f>'Raw Data'!C909</f>
        <v/>
      </c>
      <c r="D909" s="15">
        <f>'Raw Data'!M909</f>
        <v/>
      </c>
      <c r="E909" s="18">
        <f>'Raw Data'!M909/'Raw Data'!L909*100</f>
        <v/>
      </c>
      <c r="F909" s="14">
        <f>IF(E909&gt;15,"Wet Year",IF(E909&lt;-15,"Dry Year","Normal Year"))</f>
        <v/>
      </c>
      <c r="G909" s="16">
        <f>'Raw Data'!I909</f>
        <v/>
      </c>
      <c r="H909" s="14">
        <f>IF(G909&lt;15,"Low Variability",IF(G909&lt;=35,"Moderate Variability","High Variability"))</f>
        <v/>
      </c>
      <c r="I909" s="18">
        <f>'Raw Data'!O909</f>
        <v/>
      </c>
      <c r="J909" s="14">
        <f>IF(I909=0,"No Flood",IF(I909&lt;=0.5,"Low",IF(I909&lt;=2,"Moderate","High")))</f>
        <v/>
      </c>
    </row>
    <row r="910" ht="15" customHeight="1" s="12">
      <c r="A910" s="14">
        <f>'Raw Data'!A910</f>
        <v/>
      </c>
      <c r="B910" s="14">
        <f>'Raw Data'!B910</f>
        <v/>
      </c>
      <c r="C910" s="14">
        <f>'Raw Data'!C910</f>
        <v/>
      </c>
      <c r="D910" s="15">
        <f>'Raw Data'!M910</f>
        <v/>
      </c>
      <c r="E910" s="18">
        <f>'Raw Data'!M910/'Raw Data'!L910*100</f>
        <v/>
      </c>
      <c r="F910" s="14">
        <f>IF(E910&gt;15,"Wet Year",IF(E910&lt;-15,"Dry Year","Normal Year"))</f>
        <v/>
      </c>
      <c r="G910" s="16">
        <f>'Raw Data'!I910</f>
        <v/>
      </c>
      <c r="H910" s="14">
        <f>IF(G910&lt;15,"Low Variability",IF(G910&lt;=35,"Moderate Variability","High Variability"))</f>
        <v/>
      </c>
      <c r="I910" s="18">
        <f>'Raw Data'!O910</f>
        <v/>
      </c>
      <c r="J910" s="14">
        <f>IF(I910=0,"No Flood",IF(I910&lt;=0.5,"Low",IF(I910&lt;=2,"Moderate","High")))</f>
        <v/>
      </c>
    </row>
    <row r="911" ht="15" customHeight="1" s="12">
      <c r="A911" s="14">
        <f>'Raw Data'!A911</f>
        <v/>
      </c>
      <c r="B911" s="14">
        <f>'Raw Data'!B911</f>
        <v/>
      </c>
      <c r="C911" s="14">
        <f>'Raw Data'!C911</f>
        <v/>
      </c>
      <c r="D911" s="15">
        <f>'Raw Data'!M911</f>
        <v/>
      </c>
      <c r="E911" s="18">
        <f>'Raw Data'!M911/'Raw Data'!L911*100</f>
        <v/>
      </c>
      <c r="F911" s="14">
        <f>IF(E911&gt;15,"Wet Year",IF(E911&lt;-15,"Dry Year","Normal Year"))</f>
        <v/>
      </c>
      <c r="G911" s="16">
        <f>'Raw Data'!I911</f>
        <v/>
      </c>
      <c r="H911" s="14">
        <f>IF(G911&lt;15,"Low Variability",IF(G911&lt;=35,"Moderate Variability","High Variability"))</f>
        <v/>
      </c>
      <c r="I911" s="18">
        <f>'Raw Data'!O911</f>
        <v/>
      </c>
      <c r="J911" s="14">
        <f>IF(I911=0,"No Flood",IF(I911&lt;=0.5,"Low",IF(I911&lt;=2,"Moderate","High")))</f>
        <v/>
      </c>
    </row>
    <row r="912" ht="15" customHeight="1" s="12">
      <c r="A912" s="14">
        <f>'Raw Data'!A912</f>
        <v/>
      </c>
      <c r="B912" s="14">
        <f>'Raw Data'!B912</f>
        <v/>
      </c>
      <c r="C912" s="14">
        <f>'Raw Data'!C912</f>
        <v/>
      </c>
      <c r="D912" s="15">
        <f>'Raw Data'!M912</f>
        <v/>
      </c>
      <c r="E912" s="18">
        <f>'Raw Data'!M912/'Raw Data'!L912*100</f>
        <v/>
      </c>
      <c r="F912" s="14">
        <f>IF(E912&gt;15,"Wet Year",IF(E912&lt;-15,"Dry Year","Normal Year"))</f>
        <v/>
      </c>
      <c r="G912" s="16">
        <f>'Raw Data'!I912</f>
        <v/>
      </c>
      <c r="H912" s="14">
        <f>IF(G912&lt;15,"Low Variability",IF(G912&lt;=35,"Moderate Variability","High Variability"))</f>
        <v/>
      </c>
      <c r="I912" s="18">
        <f>'Raw Data'!O912</f>
        <v/>
      </c>
      <c r="J912" s="14">
        <f>IF(I912=0,"No Flood",IF(I912&lt;=0.5,"Low",IF(I912&lt;=2,"Moderate","High")))</f>
        <v/>
      </c>
    </row>
    <row r="913" ht="15" customHeight="1" s="12">
      <c r="A913" s="14">
        <f>'Raw Data'!A913</f>
        <v/>
      </c>
      <c r="B913" s="14">
        <f>'Raw Data'!B913</f>
        <v/>
      </c>
      <c r="C913" s="14">
        <f>'Raw Data'!C913</f>
        <v/>
      </c>
      <c r="D913" s="15">
        <f>'Raw Data'!M913</f>
        <v/>
      </c>
      <c r="E913" s="18">
        <f>'Raw Data'!M913/'Raw Data'!L913*100</f>
        <v/>
      </c>
      <c r="F913" s="14">
        <f>IF(E913&gt;15,"Wet Year",IF(E913&lt;-15,"Dry Year","Normal Year"))</f>
        <v/>
      </c>
      <c r="G913" s="16">
        <f>'Raw Data'!I913</f>
        <v/>
      </c>
      <c r="H913" s="14">
        <f>IF(G913&lt;15,"Low Variability",IF(G913&lt;=35,"Moderate Variability","High Variability"))</f>
        <v/>
      </c>
      <c r="I913" s="18">
        <f>'Raw Data'!O913</f>
        <v/>
      </c>
      <c r="J913" s="14">
        <f>IF(I913=0,"No Flood",IF(I913&lt;=0.5,"Low",IF(I913&lt;=2,"Moderate","High")))</f>
        <v/>
      </c>
    </row>
    <row r="914" ht="15" customHeight="1" s="12">
      <c r="A914" s="14">
        <f>'Raw Data'!A914</f>
        <v/>
      </c>
      <c r="B914" s="14">
        <f>'Raw Data'!B914</f>
        <v/>
      </c>
      <c r="C914" s="14">
        <f>'Raw Data'!C914</f>
        <v/>
      </c>
      <c r="D914" s="15">
        <f>'Raw Data'!M914</f>
        <v/>
      </c>
      <c r="E914" s="18">
        <f>'Raw Data'!M914/'Raw Data'!L914*100</f>
        <v/>
      </c>
      <c r="F914" s="14">
        <f>IF(E914&gt;15,"Wet Year",IF(E914&lt;-15,"Dry Year","Normal Year"))</f>
        <v/>
      </c>
      <c r="G914" s="16">
        <f>'Raw Data'!I914</f>
        <v/>
      </c>
      <c r="H914" s="14">
        <f>IF(G914&lt;15,"Low Variability",IF(G914&lt;=35,"Moderate Variability","High Variability"))</f>
        <v/>
      </c>
      <c r="I914" s="18">
        <f>'Raw Data'!O914</f>
        <v/>
      </c>
      <c r="J914" s="14">
        <f>IF(I914=0,"No Flood",IF(I914&lt;=0.5,"Low",IF(I914&lt;=2,"Moderate","High")))</f>
        <v/>
      </c>
    </row>
    <row r="915" ht="15" customHeight="1" s="12">
      <c r="A915" s="14">
        <f>'Raw Data'!A915</f>
        <v/>
      </c>
      <c r="B915" s="14">
        <f>'Raw Data'!B915</f>
        <v/>
      </c>
      <c r="C915" s="14">
        <f>'Raw Data'!C915</f>
        <v/>
      </c>
      <c r="D915" s="15">
        <f>'Raw Data'!M915</f>
        <v/>
      </c>
      <c r="E915" s="18">
        <f>'Raw Data'!M915/'Raw Data'!L915*100</f>
        <v/>
      </c>
      <c r="F915" s="14">
        <f>IF(E915&gt;15,"Wet Year",IF(E915&lt;-15,"Dry Year","Normal Year"))</f>
        <v/>
      </c>
      <c r="G915" s="16">
        <f>'Raw Data'!I915</f>
        <v/>
      </c>
      <c r="H915" s="14">
        <f>IF(G915&lt;15,"Low Variability",IF(G915&lt;=35,"Moderate Variability","High Variability"))</f>
        <v/>
      </c>
      <c r="I915" s="18">
        <f>'Raw Data'!O915</f>
        <v/>
      </c>
      <c r="J915" s="14">
        <f>IF(I915=0,"No Flood",IF(I915&lt;=0.5,"Low",IF(I915&lt;=2,"Moderate","High")))</f>
        <v/>
      </c>
    </row>
    <row r="916" ht="15" customHeight="1" s="12">
      <c r="A916" s="14">
        <f>'Raw Data'!A916</f>
        <v/>
      </c>
      <c r="B916" s="14">
        <f>'Raw Data'!B916</f>
        <v/>
      </c>
      <c r="C916" s="14">
        <f>'Raw Data'!C916</f>
        <v/>
      </c>
      <c r="D916" s="15">
        <f>'Raw Data'!M916</f>
        <v/>
      </c>
      <c r="E916" s="18">
        <f>'Raw Data'!M916/'Raw Data'!L916*100</f>
        <v/>
      </c>
      <c r="F916" s="14">
        <f>IF(E916&gt;15,"Wet Year",IF(E916&lt;-15,"Dry Year","Normal Year"))</f>
        <v/>
      </c>
      <c r="G916" s="16">
        <f>'Raw Data'!I916</f>
        <v/>
      </c>
      <c r="H916" s="14">
        <f>IF(G916&lt;15,"Low Variability",IF(G916&lt;=35,"Moderate Variability","High Variability"))</f>
        <v/>
      </c>
      <c r="I916" s="18">
        <f>'Raw Data'!O916</f>
        <v/>
      </c>
      <c r="J916" s="14">
        <f>IF(I916=0,"No Flood",IF(I916&lt;=0.5,"Low",IF(I916&lt;=2,"Moderate","High")))</f>
        <v/>
      </c>
    </row>
    <row r="917" ht="15" customHeight="1" s="12">
      <c r="A917" s="14">
        <f>'Raw Data'!A917</f>
        <v/>
      </c>
      <c r="B917" s="14">
        <f>'Raw Data'!B917</f>
        <v/>
      </c>
      <c r="C917" s="14">
        <f>'Raw Data'!C917</f>
        <v/>
      </c>
      <c r="D917" s="15">
        <f>'Raw Data'!M917</f>
        <v/>
      </c>
      <c r="E917" s="18">
        <f>'Raw Data'!M917/'Raw Data'!L917*100</f>
        <v/>
      </c>
      <c r="F917" s="14">
        <f>IF(E917&gt;15,"Wet Year",IF(E917&lt;-15,"Dry Year","Normal Year"))</f>
        <v/>
      </c>
      <c r="G917" s="16">
        <f>'Raw Data'!I917</f>
        <v/>
      </c>
      <c r="H917" s="14">
        <f>IF(G917&lt;15,"Low Variability",IF(G917&lt;=35,"Moderate Variability","High Variability"))</f>
        <v/>
      </c>
      <c r="I917" s="18">
        <f>'Raw Data'!O917</f>
        <v/>
      </c>
      <c r="J917" s="14">
        <f>IF(I917=0,"No Flood",IF(I917&lt;=0.5,"Low",IF(I917&lt;=2,"Moderate","High")))</f>
        <v/>
      </c>
    </row>
    <row r="918" ht="15" customHeight="1" s="12">
      <c r="A918" s="14">
        <f>'Raw Data'!A918</f>
        <v/>
      </c>
      <c r="B918" s="14">
        <f>'Raw Data'!B918</f>
        <v/>
      </c>
      <c r="C918" s="14">
        <f>'Raw Data'!C918</f>
        <v/>
      </c>
      <c r="D918" s="15">
        <f>'Raw Data'!M918</f>
        <v/>
      </c>
      <c r="E918" s="18">
        <f>'Raw Data'!M918/'Raw Data'!L918*100</f>
        <v/>
      </c>
      <c r="F918" s="14">
        <f>IF(E918&gt;15,"Wet Year",IF(E918&lt;-15,"Dry Year","Normal Year"))</f>
        <v/>
      </c>
      <c r="G918" s="16">
        <f>'Raw Data'!I918</f>
        <v/>
      </c>
      <c r="H918" s="14">
        <f>IF(G918&lt;15,"Low Variability",IF(G918&lt;=35,"Moderate Variability","High Variability"))</f>
        <v/>
      </c>
      <c r="I918" s="18">
        <f>'Raw Data'!O918</f>
        <v/>
      </c>
      <c r="J918" s="14">
        <f>IF(I918=0,"No Flood",IF(I918&lt;=0.5,"Low",IF(I918&lt;=2,"Moderate","High")))</f>
        <v/>
      </c>
    </row>
    <row r="919" ht="15" customHeight="1" s="12">
      <c r="A919" s="14">
        <f>'Raw Data'!A919</f>
        <v/>
      </c>
      <c r="B919" s="14">
        <f>'Raw Data'!B919</f>
        <v/>
      </c>
      <c r="C919" s="14">
        <f>'Raw Data'!C919</f>
        <v/>
      </c>
      <c r="D919" s="15">
        <f>'Raw Data'!M919</f>
        <v/>
      </c>
      <c r="E919" s="18">
        <f>'Raw Data'!M919/'Raw Data'!L919*100</f>
        <v/>
      </c>
      <c r="F919" s="14">
        <f>IF(E919&gt;15,"Wet Year",IF(E919&lt;-15,"Dry Year","Normal Year"))</f>
        <v/>
      </c>
      <c r="G919" s="16">
        <f>'Raw Data'!I919</f>
        <v/>
      </c>
      <c r="H919" s="14">
        <f>IF(G919&lt;15,"Low Variability",IF(G919&lt;=35,"Moderate Variability","High Variability"))</f>
        <v/>
      </c>
      <c r="I919" s="18">
        <f>'Raw Data'!O919</f>
        <v/>
      </c>
      <c r="J919" s="14">
        <f>IF(I919=0,"No Flood",IF(I919&lt;=0.5,"Low",IF(I919&lt;=2,"Moderate","High")))</f>
        <v/>
      </c>
    </row>
    <row r="920" ht="15" customHeight="1" s="12">
      <c r="A920" s="14">
        <f>'Raw Data'!A920</f>
        <v/>
      </c>
      <c r="B920" s="14">
        <f>'Raw Data'!B920</f>
        <v/>
      </c>
      <c r="C920" s="14">
        <f>'Raw Data'!C920</f>
        <v/>
      </c>
      <c r="D920" s="15">
        <f>'Raw Data'!M920</f>
        <v/>
      </c>
      <c r="E920" s="18">
        <f>'Raw Data'!M920/'Raw Data'!L920*100</f>
        <v/>
      </c>
      <c r="F920" s="14">
        <f>IF(E920&gt;15,"Wet Year",IF(E920&lt;-15,"Dry Year","Normal Year"))</f>
        <v/>
      </c>
      <c r="G920" s="16">
        <f>'Raw Data'!I920</f>
        <v/>
      </c>
      <c r="H920" s="14">
        <f>IF(G920&lt;15,"Low Variability",IF(G920&lt;=35,"Moderate Variability","High Variability"))</f>
        <v/>
      </c>
      <c r="I920" s="18">
        <f>'Raw Data'!O920</f>
        <v/>
      </c>
      <c r="J920" s="14">
        <f>IF(I920=0,"No Flood",IF(I920&lt;=0.5,"Low",IF(I920&lt;=2,"Moderate","High")))</f>
        <v/>
      </c>
    </row>
    <row r="921" ht="15" customHeight="1" s="12">
      <c r="A921" s="14">
        <f>'Raw Data'!A921</f>
        <v/>
      </c>
      <c r="B921" s="14">
        <f>'Raw Data'!B921</f>
        <v/>
      </c>
      <c r="C921" s="14">
        <f>'Raw Data'!C921</f>
        <v/>
      </c>
      <c r="D921" s="15">
        <f>'Raw Data'!M921</f>
        <v/>
      </c>
      <c r="E921" s="18">
        <f>'Raw Data'!M921/'Raw Data'!L921*100</f>
        <v/>
      </c>
      <c r="F921" s="14">
        <f>IF(E921&gt;15,"Wet Year",IF(E921&lt;-15,"Dry Year","Normal Year"))</f>
        <v/>
      </c>
      <c r="G921" s="16">
        <f>'Raw Data'!I921</f>
        <v/>
      </c>
      <c r="H921" s="14">
        <f>IF(G921&lt;15,"Low Variability",IF(G921&lt;=35,"Moderate Variability","High Variability"))</f>
        <v/>
      </c>
      <c r="I921" s="18">
        <f>'Raw Data'!O921</f>
        <v/>
      </c>
      <c r="J921" s="14">
        <f>IF(I921=0,"No Flood",IF(I921&lt;=0.5,"Low",IF(I921&lt;=2,"Moderate","High")))</f>
        <v/>
      </c>
    </row>
    <row r="922" ht="15" customHeight="1" s="12">
      <c r="A922" s="14">
        <f>'Raw Data'!A922</f>
        <v/>
      </c>
      <c r="B922" s="14">
        <f>'Raw Data'!B922</f>
        <v/>
      </c>
      <c r="C922" s="14">
        <f>'Raw Data'!C922</f>
        <v/>
      </c>
      <c r="D922" s="15">
        <f>'Raw Data'!M922</f>
        <v/>
      </c>
      <c r="E922" s="18">
        <f>'Raw Data'!M922/'Raw Data'!L922*100</f>
        <v/>
      </c>
      <c r="F922" s="14">
        <f>IF(E922&gt;15,"Wet Year",IF(E922&lt;-15,"Dry Year","Normal Year"))</f>
        <v/>
      </c>
      <c r="G922" s="16">
        <f>'Raw Data'!I922</f>
        <v/>
      </c>
      <c r="H922" s="14">
        <f>IF(G922&lt;15,"Low Variability",IF(G922&lt;=35,"Moderate Variability","High Variability"))</f>
        <v/>
      </c>
      <c r="I922" s="18">
        <f>'Raw Data'!O922</f>
        <v/>
      </c>
      <c r="J922" s="14">
        <f>IF(I922=0,"No Flood",IF(I922&lt;=0.5,"Low",IF(I922&lt;=2,"Moderate","High")))</f>
        <v/>
      </c>
    </row>
    <row r="923" ht="15" customHeight="1" s="12">
      <c r="A923" s="14">
        <f>'Raw Data'!A923</f>
        <v/>
      </c>
      <c r="B923" s="14">
        <f>'Raw Data'!B923</f>
        <v/>
      </c>
      <c r="C923" s="14">
        <f>'Raw Data'!C923</f>
        <v/>
      </c>
      <c r="D923" s="15">
        <f>'Raw Data'!M923</f>
        <v/>
      </c>
      <c r="E923" s="18">
        <f>'Raw Data'!M923/'Raw Data'!L923*100</f>
        <v/>
      </c>
      <c r="F923" s="14">
        <f>IF(E923&gt;15,"Wet Year",IF(E923&lt;-15,"Dry Year","Normal Year"))</f>
        <v/>
      </c>
      <c r="G923" s="16">
        <f>'Raw Data'!I923</f>
        <v/>
      </c>
      <c r="H923" s="14">
        <f>IF(G923&lt;15,"Low Variability",IF(G923&lt;=35,"Moderate Variability","High Variability"))</f>
        <v/>
      </c>
      <c r="I923" s="18">
        <f>'Raw Data'!O923</f>
        <v/>
      </c>
      <c r="J923" s="14">
        <f>IF(I923=0,"No Flood",IF(I923&lt;=0.5,"Low",IF(I923&lt;=2,"Moderate","High")))</f>
        <v/>
      </c>
    </row>
    <row r="924" ht="15" customHeight="1" s="12">
      <c r="A924" s="14">
        <f>'Raw Data'!A924</f>
        <v/>
      </c>
      <c r="B924" s="14">
        <f>'Raw Data'!B924</f>
        <v/>
      </c>
      <c r="C924" s="14">
        <f>'Raw Data'!C924</f>
        <v/>
      </c>
      <c r="D924" s="15">
        <f>'Raw Data'!M924</f>
        <v/>
      </c>
      <c r="E924" s="18">
        <f>'Raw Data'!M924/'Raw Data'!L924*100</f>
        <v/>
      </c>
      <c r="F924" s="14">
        <f>IF(E924&gt;15,"Wet Year",IF(E924&lt;-15,"Dry Year","Normal Year"))</f>
        <v/>
      </c>
      <c r="G924" s="16">
        <f>'Raw Data'!I924</f>
        <v/>
      </c>
      <c r="H924" s="14">
        <f>IF(G924&lt;15,"Low Variability",IF(G924&lt;=35,"Moderate Variability","High Variability"))</f>
        <v/>
      </c>
      <c r="I924" s="18">
        <f>'Raw Data'!O924</f>
        <v/>
      </c>
      <c r="J924" s="14">
        <f>IF(I924=0,"No Flood",IF(I924&lt;=0.5,"Low",IF(I924&lt;=2,"Moderate","High")))</f>
        <v/>
      </c>
    </row>
    <row r="925" ht="15" customHeight="1" s="12">
      <c r="A925" s="14">
        <f>'Raw Data'!A925</f>
        <v/>
      </c>
      <c r="B925" s="14">
        <f>'Raw Data'!B925</f>
        <v/>
      </c>
      <c r="C925" s="14">
        <f>'Raw Data'!C925</f>
        <v/>
      </c>
      <c r="D925" s="15">
        <f>'Raw Data'!M925</f>
        <v/>
      </c>
      <c r="E925" s="18">
        <f>'Raw Data'!M925/'Raw Data'!L925*100</f>
        <v/>
      </c>
      <c r="F925" s="14">
        <f>IF(E925&gt;15,"Wet Year",IF(E925&lt;-15,"Dry Year","Normal Year"))</f>
        <v/>
      </c>
      <c r="G925" s="16">
        <f>'Raw Data'!I925</f>
        <v/>
      </c>
      <c r="H925" s="14">
        <f>IF(G925&lt;15,"Low Variability",IF(G925&lt;=35,"Moderate Variability","High Variability"))</f>
        <v/>
      </c>
      <c r="I925" s="18">
        <f>'Raw Data'!O925</f>
        <v/>
      </c>
      <c r="J925" s="14">
        <f>IF(I925=0,"No Flood",IF(I925&lt;=0.5,"Low",IF(I925&lt;=2,"Moderate","High")))</f>
        <v/>
      </c>
    </row>
    <row r="926" ht="15" customHeight="1" s="12">
      <c r="A926" s="14">
        <f>'Raw Data'!A926</f>
        <v/>
      </c>
      <c r="B926" s="14">
        <f>'Raw Data'!B926</f>
        <v/>
      </c>
      <c r="C926" s="14">
        <f>'Raw Data'!C926</f>
        <v/>
      </c>
      <c r="D926" s="15">
        <f>'Raw Data'!M926</f>
        <v/>
      </c>
      <c r="E926" s="18">
        <f>'Raw Data'!M926/'Raw Data'!L926*100</f>
        <v/>
      </c>
      <c r="F926" s="14">
        <f>IF(E926&gt;15,"Wet Year",IF(E926&lt;-15,"Dry Year","Normal Year"))</f>
        <v/>
      </c>
      <c r="G926" s="16">
        <f>'Raw Data'!I926</f>
        <v/>
      </c>
      <c r="H926" s="14">
        <f>IF(G926&lt;15,"Low Variability",IF(G926&lt;=35,"Moderate Variability","High Variability"))</f>
        <v/>
      </c>
      <c r="I926" s="18">
        <f>'Raw Data'!O926</f>
        <v/>
      </c>
      <c r="J926" s="14">
        <f>IF(I926=0,"No Flood",IF(I926&lt;=0.5,"Low",IF(I926&lt;=2,"Moderate","High")))</f>
        <v/>
      </c>
    </row>
    <row r="927" ht="15" customHeight="1" s="12">
      <c r="A927" s="14">
        <f>'Raw Data'!A927</f>
        <v/>
      </c>
      <c r="B927" s="14">
        <f>'Raw Data'!B927</f>
        <v/>
      </c>
      <c r="C927" s="14">
        <f>'Raw Data'!C927</f>
        <v/>
      </c>
      <c r="D927" s="15">
        <f>'Raw Data'!M927</f>
        <v/>
      </c>
      <c r="E927" s="18">
        <f>'Raw Data'!M927/'Raw Data'!L927*100</f>
        <v/>
      </c>
      <c r="F927" s="14">
        <f>IF(E927&gt;15,"Wet Year",IF(E927&lt;-15,"Dry Year","Normal Year"))</f>
        <v/>
      </c>
      <c r="G927" s="16">
        <f>'Raw Data'!I927</f>
        <v/>
      </c>
      <c r="H927" s="14">
        <f>IF(G927&lt;15,"Low Variability",IF(G927&lt;=35,"Moderate Variability","High Variability"))</f>
        <v/>
      </c>
      <c r="I927" s="18">
        <f>'Raw Data'!O927</f>
        <v/>
      </c>
      <c r="J927" s="14">
        <f>IF(I927=0,"No Flood",IF(I927&lt;=0.5,"Low",IF(I927&lt;=2,"Moderate","High")))</f>
        <v/>
      </c>
    </row>
    <row r="928" ht="15" customHeight="1" s="12">
      <c r="A928" s="14">
        <f>'Raw Data'!A928</f>
        <v/>
      </c>
      <c r="B928" s="14">
        <f>'Raw Data'!B928</f>
        <v/>
      </c>
      <c r="C928" s="14">
        <f>'Raw Data'!C928</f>
        <v/>
      </c>
      <c r="D928" s="15">
        <f>'Raw Data'!M928</f>
        <v/>
      </c>
      <c r="E928" s="18">
        <f>'Raw Data'!M928/'Raw Data'!L928*100</f>
        <v/>
      </c>
      <c r="F928" s="14">
        <f>IF(E928&gt;15,"Wet Year",IF(E928&lt;-15,"Dry Year","Normal Year"))</f>
        <v/>
      </c>
      <c r="G928" s="16">
        <f>'Raw Data'!I928</f>
        <v/>
      </c>
      <c r="H928" s="14">
        <f>IF(G928&lt;15,"Low Variability",IF(G928&lt;=35,"Moderate Variability","High Variability"))</f>
        <v/>
      </c>
      <c r="I928" s="18">
        <f>'Raw Data'!O928</f>
        <v/>
      </c>
      <c r="J928" s="14">
        <f>IF(I928=0,"No Flood",IF(I928&lt;=0.5,"Low",IF(I928&lt;=2,"Moderate","High")))</f>
        <v/>
      </c>
    </row>
    <row r="929" ht="15" customHeight="1" s="12">
      <c r="A929" s="14">
        <f>'Raw Data'!A929</f>
        <v/>
      </c>
      <c r="B929" s="14">
        <f>'Raw Data'!B929</f>
        <v/>
      </c>
      <c r="C929" s="14">
        <f>'Raw Data'!C929</f>
        <v/>
      </c>
      <c r="D929" s="15">
        <f>'Raw Data'!M929</f>
        <v/>
      </c>
      <c r="E929" s="18">
        <f>'Raw Data'!M929/'Raw Data'!L929*100</f>
        <v/>
      </c>
      <c r="F929" s="14">
        <f>IF(E929&gt;15,"Wet Year",IF(E929&lt;-15,"Dry Year","Normal Year"))</f>
        <v/>
      </c>
      <c r="G929" s="16">
        <f>'Raw Data'!I929</f>
        <v/>
      </c>
      <c r="H929" s="14">
        <f>IF(G929&lt;15,"Low Variability",IF(G929&lt;=35,"Moderate Variability","High Variability"))</f>
        <v/>
      </c>
      <c r="I929" s="18">
        <f>'Raw Data'!O929</f>
        <v/>
      </c>
      <c r="J929" s="14">
        <f>IF(I929=0,"No Flood",IF(I929&lt;=0.5,"Low",IF(I929&lt;=2,"Moderate","High")))</f>
        <v/>
      </c>
    </row>
    <row r="930" ht="15" customHeight="1" s="12">
      <c r="A930" s="14">
        <f>'Raw Data'!A930</f>
        <v/>
      </c>
      <c r="B930" s="14">
        <f>'Raw Data'!B930</f>
        <v/>
      </c>
      <c r="C930" s="14">
        <f>'Raw Data'!C930</f>
        <v/>
      </c>
      <c r="D930" s="15">
        <f>'Raw Data'!M930</f>
        <v/>
      </c>
      <c r="E930" s="18">
        <f>'Raw Data'!M930/'Raw Data'!L930*100</f>
        <v/>
      </c>
      <c r="F930" s="14">
        <f>IF(E930&gt;15,"Wet Year",IF(E930&lt;-15,"Dry Year","Normal Year"))</f>
        <v/>
      </c>
      <c r="G930" s="16">
        <f>'Raw Data'!I930</f>
        <v/>
      </c>
      <c r="H930" s="14">
        <f>IF(G930&lt;15,"Low Variability",IF(G930&lt;=35,"Moderate Variability","High Variability"))</f>
        <v/>
      </c>
      <c r="I930" s="18">
        <f>'Raw Data'!O930</f>
        <v/>
      </c>
      <c r="J930" s="14">
        <f>IF(I930=0,"No Flood",IF(I930&lt;=0.5,"Low",IF(I930&lt;=2,"Moderate","High")))</f>
        <v/>
      </c>
    </row>
    <row r="931" ht="15" customHeight="1" s="12">
      <c r="A931" s="14">
        <f>'Raw Data'!A931</f>
        <v/>
      </c>
      <c r="B931" s="14">
        <f>'Raw Data'!B931</f>
        <v/>
      </c>
      <c r="C931" s="14">
        <f>'Raw Data'!C931</f>
        <v/>
      </c>
      <c r="D931" s="15">
        <f>'Raw Data'!M931</f>
        <v/>
      </c>
      <c r="E931" s="18">
        <f>'Raw Data'!M931/'Raw Data'!L931*100</f>
        <v/>
      </c>
      <c r="F931" s="14">
        <f>IF(E931&gt;15,"Wet Year",IF(E931&lt;-15,"Dry Year","Normal Year"))</f>
        <v/>
      </c>
      <c r="G931" s="16">
        <f>'Raw Data'!I931</f>
        <v/>
      </c>
      <c r="H931" s="14">
        <f>IF(G931&lt;15,"Low Variability",IF(G931&lt;=35,"Moderate Variability","High Variability"))</f>
        <v/>
      </c>
      <c r="I931" s="18">
        <f>'Raw Data'!O931</f>
        <v/>
      </c>
      <c r="J931" s="14">
        <f>IF(I931=0,"No Flood",IF(I931&lt;=0.5,"Low",IF(I931&lt;=2,"Moderate","High")))</f>
        <v/>
      </c>
    </row>
    <row r="932" ht="15" customHeight="1" s="12">
      <c r="A932" s="14">
        <f>'Raw Data'!A932</f>
        <v/>
      </c>
      <c r="B932" s="14">
        <f>'Raw Data'!B932</f>
        <v/>
      </c>
      <c r="C932" s="14">
        <f>'Raw Data'!C932</f>
        <v/>
      </c>
      <c r="D932" s="15">
        <f>'Raw Data'!M932</f>
        <v/>
      </c>
      <c r="E932" s="18">
        <f>'Raw Data'!M932/'Raw Data'!L932*100</f>
        <v/>
      </c>
      <c r="F932" s="14">
        <f>IF(E932&gt;15,"Wet Year",IF(E932&lt;-15,"Dry Year","Normal Year"))</f>
        <v/>
      </c>
      <c r="G932" s="16">
        <f>'Raw Data'!I932</f>
        <v/>
      </c>
      <c r="H932" s="14">
        <f>IF(G932&lt;15,"Low Variability",IF(G932&lt;=35,"Moderate Variability","High Variability"))</f>
        <v/>
      </c>
      <c r="I932" s="18">
        <f>'Raw Data'!O932</f>
        <v/>
      </c>
      <c r="J932" s="14">
        <f>IF(I932=0,"No Flood",IF(I932&lt;=0.5,"Low",IF(I932&lt;=2,"Moderate","High")))</f>
        <v/>
      </c>
    </row>
    <row r="933" ht="15" customHeight="1" s="12">
      <c r="A933" s="14">
        <f>'Raw Data'!A933</f>
        <v/>
      </c>
      <c r="B933" s="14">
        <f>'Raw Data'!B933</f>
        <v/>
      </c>
      <c r="C933" s="14">
        <f>'Raw Data'!C933</f>
        <v/>
      </c>
      <c r="D933" s="15">
        <f>'Raw Data'!M933</f>
        <v/>
      </c>
      <c r="E933" s="18">
        <f>'Raw Data'!M933/'Raw Data'!L933*100</f>
        <v/>
      </c>
      <c r="F933" s="14">
        <f>IF(E933&gt;15,"Wet Year",IF(E933&lt;-15,"Dry Year","Normal Year"))</f>
        <v/>
      </c>
      <c r="G933" s="16">
        <f>'Raw Data'!I933</f>
        <v/>
      </c>
      <c r="H933" s="14">
        <f>IF(G933&lt;15,"Low Variability",IF(G933&lt;=35,"Moderate Variability","High Variability"))</f>
        <v/>
      </c>
      <c r="I933" s="18">
        <f>'Raw Data'!O933</f>
        <v/>
      </c>
      <c r="J933" s="14">
        <f>IF(I933=0,"No Flood",IF(I933&lt;=0.5,"Low",IF(I933&lt;=2,"Moderate","High")))</f>
        <v/>
      </c>
    </row>
    <row r="934" ht="15" customHeight="1" s="12">
      <c r="A934" s="14">
        <f>'Raw Data'!A934</f>
        <v/>
      </c>
      <c r="B934" s="14">
        <f>'Raw Data'!B934</f>
        <v/>
      </c>
      <c r="C934" s="14">
        <f>'Raw Data'!C934</f>
        <v/>
      </c>
      <c r="D934" s="15">
        <f>'Raw Data'!M934</f>
        <v/>
      </c>
      <c r="E934" s="18">
        <f>'Raw Data'!M934/'Raw Data'!L934*100</f>
        <v/>
      </c>
      <c r="F934" s="14">
        <f>IF(E934&gt;15,"Wet Year",IF(E934&lt;-15,"Dry Year","Normal Year"))</f>
        <v/>
      </c>
      <c r="G934" s="16">
        <f>'Raw Data'!I934</f>
        <v/>
      </c>
      <c r="H934" s="14">
        <f>IF(G934&lt;15,"Low Variability",IF(G934&lt;=35,"Moderate Variability","High Variability"))</f>
        <v/>
      </c>
      <c r="I934" s="18">
        <f>'Raw Data'!O934</f>
        <v/>
      </c>
      <c r="J934" s="14">
        <f>IF(I934=0,"No Flood",IF(I934&lt;=0.5,"Low",IF(I934&lt;=2,"Moderate","High")))</f>
        <v/>
      </c>
    </row>
    <row r="935" ht="15" customHeight="1" s="12">
      <c r="A935" s="14">
        <f>'Raw Data'!A935</f>
        <v/>
      </c>
      <c r="B935" s="14">
        <f>'Raw Data'!B935</f>
        <v/>
      </c>
      <c r="C935" s="14">
        <f>'Raw Data'!C935</f>
        <v/>
      </c>
      <c r="D935" s="15">
        <f>'Raw Data'!M935</f>
        <v/>
      </c>
      <c r="E935" s="18">
        <f>'Raw Data'!M935/'Raw Data'!L935*100</f>
        <v/>
      </c>
      <c r="F935" s="14">
        <f>IF(E935&gt;15,"Wet Year",IF(E935&lt;-15,"Dry Year","Normal Year"))</f>
        <v/>
      </c>
      <c r="G935" s="16">
        <f>'Raw Data'!I935</f>
        <v/>
      </c>
      <c r="H935" s="14">
        <f>IF(G935&lt;15,"Low Variability",IF(G935&lt;=35,"Moderate Variability","High Variability"))</f>
        <v/>
      </c>
      <c r="I935" s="18">
        <f>'Raw Data'!O935</f>
        <v/>
      </c>
      <c r="J935" s="14">
        <f>IF(I935=0,"No Flood",IF(I935&lt;=0.5,"Low",IF(I935&lt;=2,"Moderate","High")))</f>
        <v/>
      </c>
    </row>
    <row r="936" ht="15" customHeight="1" s="12">
      <c r="A936" s="14">
        <f>'Raw Data'!A936</f>
        <v/>
      </c>
      <c r="B936" s="14">
        <f>'Raw Data'!B936</f>
        <v/>
      </c>
      <c r="C936" s="14">
        <f>'Raw Data'!C936</f>
        <v/>
      </c>
      <c r="D936" s="15">
        <f>'Raw Data'!M936</f>
        <v/>
      </c>
      <c r="E936" s="18">
        <f>'Raw Data'!M936/'Raw Data'!L936*100</f>
        <v/>
      </c>
      <c r="F936" s="14">
        <f>IF(E936&gt;15,"Wet Year",IF(E936&lt;-15,"Dry Year","Normal Year"))</f>
        <v/>
      </c>
      <c r="G936" s="16">
        <f>'Raw Data'!I936</f>
        <v/>
      </c>
      <c r="H936" s="14">
        <f>IF(G936&lt;15,"Low Variability",IF(G936&lt;=35,"Moderate Variability","High Variability"))</f>
        <v/>
      </c>
      <c r="I936" s="18">
        <f>'Raw Data'!O936</f>
        <v/>
      </c>
      <c r="J936" s="14">
        <f>IF(I936=0,"No Flood",IF(I936&lt;=0.5,"Low",IF(I936&lt;=2,"Moderate","High")))</f>
        <v/>
      </c>
    </row>
    <row r="937" ht="15" customHeight="1" s="12">
      <c r="A937" s="14">
        <f>'Raw Data'!A937</f>
        <v/>
      </c>
      <c r="B937" s="14">
        <f>'Raw Data'!B937</f>
        <v/>
      </c>
      <c r="C937" s="14">
        <f>'Raw Data'!C937</f>
        <v/>
      </c>
      <c r="D937" s="15">
        <f>'Raw Data'!M937</f>
        <v/>
      </c>
      <c r="E937" s="18">
        <f>'Raw Data'!M937/'Raw Data'!L937*100</f>
        <v/>
      </c>
      <c r="F937" s="14">
        <f>IF(E937&gt;15,"Wet Year",IF(E937&lt;-15,"Dry Year","Normal Year"))</f>
        <v/>
      </c>
      <c r="G937" s="16">
        <f>'Raw Data'!I937</f>
        <v/>
      </c>
      <c r="H937" s="14">
        <f>IF(G937&lt;15,"Low Variability",IF(G937&lt;=35,"Moderate Variability","High Variability"))</f>
        <v/>
      </c>
      <c r="I937" s="18">
        <f>'Raw Data'!O937</f>
        <v/>
      </c>
      <c r="J937" s="14">
        <f>IF(I937=0,"No Flood",IF(I937&lt;=0.5,"Low",IF(I937&lt;=2,"Moderate","High")))</f>
        <v/>
      </c>
    </row>
    <row r="938" ht="15" customHeight="1" s="12">
      <c r="A938" s="14">
        <f>'Raw Data'!A938</f>
        <v/>
      </c>
      <c r="B938" s="14">
        <f>'Raw Data'!B938</f>
        <v/>
      </c>
      <c r="C938" s="14">
        <f>'Raw Data'!C938</f>
        <v/>
      </c>
      <c r="D938" s="15">
        <f>'Raw Data'!M938</f>
        <v/>
      </c>
      <c r="E938" s="18">
        <f>'Raw Data'!M938/'Raw Data'!L938*100</f>
        <v/>
      </c>
      <c r="F938" s="14">
        <f>IF(E938&gt;15,"Wet Year",IF(E938&lt;-15,"Dry Year","Normal Year"))</f>
        <v/>
      </c>
      <c r="G938" s="16">
        <f>'Raw Data'!I938</f>
        <v/>
      </c>
      <c r="H938" s="14">
        <f>IF(G938&lt;15,"Low Variability",IF(G938&lt;=35,"Moderate Variability","High Variability"))</f>
        <v/>
      </c>
      <c r="I938" s="18">
        <f>'Raw Data'!O938</f>
        <v/>
      </c>
      <c r="J938" s="14">
        <f>IF(I938=0,"No Flood",IF(I938&lt;=0.5,"Low",IF(I938&lt;=2,"Moderate","High")))</f>
        <v/>
      </c>
    </row>
    <row r="939" ht="15" customHeight="1" s="12">
      <c r="A939" s="14">
        <f>'Raw Data'!A939</f>
        <v/>
      </c>
      <c r="B939" s="14">
        <f>'Raw Data'!B939</f>
        <v/>
      </c>
      <c r="C939" s="14">
        <f>'Raw Data'!C939</f>
        <v/>
      </c>
      <c r="D939" s="15">
        <f>'Raw Data'!M939</f>
        <v/>
      </c>
      <c r="E939" s="18">
        <f>'Raw Data'!M939/'Raw Data'!L939*100</f>
        <v/>
      </c>
      <c r="F939" s="14">
        <f>IF(E939&gt;15,"Wet Year",IF(E939&lt;-15,"Dry Year","Normal Year"))</f>
        <v/>
      </c>
      <c r="G939" s="16">
        <f>'Raw Data'!I939</f>
        <v/>
      </c>
      <c r="H939" s="14">
        <f>IF(G939&lt;15,"Low Variability",IF(G939&lt;=35,"Moderate Variability","High Variability"))</f>
        <v/>
      </c>
      <c r="I939" s="18">
        <f>'Raw Data'!O939</f>
        <v/>
      </c>
      <c r="J939" s="14">
        <f>IF(I939=0,"No Flood",IF(I939&lt;=0.5,"Low",IF(I939&lt;=2,"Moderate","High")))</f>
        <v/>
      </c>
    </row>
    <row r="940" ht="15" customHeight="1" s="12">
      <c r="A940" s="14">
        <f>'Raw Data'!A940</f>
        <v/>
      </c>
      <c r="B940" s="14">
        <f>'Raw Data'!B940</f>
        <v/>
      </c>
      <c r="C940" s="14">
        <f>'Raw Data'!C940</f>
        <v/>
      </c>
      <c r="D940" s="15">
        <f>'Raw Data'!M940</f>
        <v/>
      </c>
      <c r="E940" s="18">
        <f>'Raw Data'!M940/'Raw Data'!L940*100</f>
        <v/>
      </c>
      <c r="F940" s="14">
        <f>IF(E940&gt;15,"Wet Year",IF(E940&lt;-15,"Dry Year","Normal Year"))</f>
        <v/>
      </c>
      <c r="G940" s="16">
        <f>'Raw Data'!I940</f>
        <v/>
      </c>
      <c r="H940" s="14">
        <f>IF(G940&lt;15,"Low Variability",IF(G940&lt;=35,"Moderate Variability","High Variability"))</f>
        <v/>
      </c>
      <c r="I940" s="18">
        <f>'Raw Data'!O940</f>
        <v/>
      </c>
      <c r="J940" s="14">
        <f>IF(I940=0,"No Flood",IF(I940&lt;=0.5,"Low",IF(I940&lt;=2,"Moderate","High")))</f>
        <v/>
      </c>
    </row>
    <row r="941" ht="15" customHeight="1" s="12">
      <c r="A941" s="14">
        <f>'Raw Data'!A941</f>
        <v/>
      </c>
      <c r="B941" s="14">
        <f>'Raw Data'!B941</f>
        <v/>
      </c>
      <c r="C941" s="14">
        <f>'Raw Data'!C941</f>
        <v/>
      </c>
      <c r="D941" s="15">
        <f>'Raw Data'!M941</f>
        <v/>
      </c>
      <c r="E941" s="18">
        <f>'Raw Data'!M941/'Raw Data'!L941*100</f>
        <v/>
      </c>
      <c r="F941" s="14">
        <f>IF(E941&gt;15,"Wet Year",IF(E941&lt;-15,"Dry Year","Normal Year"))</f>
        <v/>
      </c>
      <c r="G941" s="16">
        <f>'Raw Data'!I941</f>
        <v/>
      </c>
      <c r="H941" s="14">
        <f>IF(G941&lt;15,"Low Variability",IF(G941&lt;=35,"Moderate Variability","High Variability"))</f>
        <v/>
      </c>
      <c r="I941" s="18">
        <f>'Raw Data'!O941</f>
        <v/>
      </c>
      <c r="J941" s="14">
        <f>IF(I941=0,"No Flood",IF(I941&lt;=0.5,"Low",IF(I941&lt;=2,"Moderate","High")))</f>
        <v/>
      </c>
    </row>
    <row r="942" ht="15" customHeight="1" s="12">
      <c r="A942" s="14">
        <f>'Raw Data'!A942</f>
        <v/>
      </c>
      <c r="B942" s="14">
        <f>'Raw Data'!B942</f>
        <v/>
      </c>
      <c r="C942" s="14">
        <f>'Raw Data'!C942</f>
        <v/>
      </c>
      <c r="D942" s="15">
        <f>'Raw Data'!M942</f>
        <v/>
      </c>
      <c r="E942" s="18">
        <f>'Raw Data'!M942/'Raw Data'!L942*100</f>
        <v/>
      </c>
      <c r="F942" s="14">
        <f>IF(E942&gt;15,"Wet Year",IF(E942&lt;-15,"Dry Year","Normal Year"))</f>
        <v/>
      </c>
      <c r="G942" s="16">
        <f>'Raw Data'!I942</f>
        <v/>
      </c>
      <c r="H942" s="14">
        <f>IF(G942&lt;15,"Low Variability",IF(G942&lt;=35,"Moderate Variability","High Variability"))</f>
        <v/>
      </c>
      <c r="I942" s="18">
        <f>'Raw Data'!O942</f>
        <v/>
      </c>
      <c r="J942" s="14">
        <f>IF(I942=0,"No Flood",IF(I942&lt;=0.5,"Low",IF(I942&lt;=2,"Moderate","High")))</f>
        <v/>
      </c>
    </row>
    <row r="943" ht="15" customHeight="1" s="12">
      <c r="A943" s="14">
        <f>'Raw Data'!A943</f>
        <v/>
      </c>
      <c r="B943" s="14">
        <f>'Raw Data'!B943</f>
        <v/>
      </c>
      <c r="C943" s="14">
        <f>'Raw Data'!C943</f>
        <v/>
      </c>
      <c r="D943" s="15">
        <f>'Raw Data'!M943</f>
        <v/>
      </c>
      <c r="E943" s="18">
        <f>'Raw Data'!M943/'Raw Data'!L943*100</f>
        <v/>
      </c>
      <c r="F943" s="14">
        <f>IF(E943&gt;15,"Wet Year",IF(E943&lt;-15,"Dry Year","Normal Year"))</f>
        <v/>
      </c>
      <c r="G943" s="16">
        <f>'Raw Data'!I943</f>
        <v/>
      </c>
      <c r="H943" s="14">
        <f>IF(G943&lt;15,"Low Variability",IF(G943&lt;=35,"Moderate Variability","High Variability"))</f>
        <v/>
      </c>
      <c r="I943" s="18">
        <f>'Raw Data'!O943</f>
        <v/>
      </c>
      <c r="J943" s="14">
        <f>IF(I943=0,"No Flood",IF(I943&lt;=0.5,"Low",IF(I943&lt;=2,"Moderate","High")))</f>
        <v/>
      </c>
    </row>
    <row r="944" ht="15" customHeight="1" s="12">
      <c r="A944" s="14">
        <f>'Raw Data'!A944</f>
        <v/>
      </c>
      <c r="B944" s="14">
        <f>'Raw Data'!B944</f>
        <v/>
      </c>
      <c r="C944" s="14">
        <f>'Raw Data'!C944</f>
        <v/>
      </c>
      <c r="D944" s="15">
        <f>'Raw Data'!M944</f>
        <v/>
      </c>
      <c r="E944" s="18">
        <f>'Raw Data'!M944/'Raw Data'!L944*100</f>
        <v/>
      </c>
      <c r="F944" s="14">
        <f>IF(E944&gt;15,"Wet Year",IF(E944&lt;-15,"Dry Year","Normal Year"))</f>
        <v/>
      </c>
      <c r="G944" s="16">
        <f>'Raw Data'!I944</f>
        <v/>
      </c>
      <c r="H944" s="14">
        <f>IF(G944&lt;15,"Low Variability",IF(G944&lt;=35,"Moderate Variability","High Variability"))</f>
        <v/>
      </c>
      <c r="I944" s="18">
        <f>'Raw Data'!O944</f>
        <v/>
      </c>
      <c r="J944" s="14">
        <f>IF(I944=0,"No Flood",IF(I944&lt;=0.5,"Low",IF(I944&lt;=2,"Moderate","High")))</f>
        <v/>
      </c>
    </row>
    <row r="945" ht="15" customHeight="1" s="12">
      <c r="A945" s="14">
        <f>'Raw Data'!A945</f>
        <v/>
      </c>
      <c r="B945" s="14">
        <f>'Raw Data'!B945</f>
        <v/>
      </c>
      <c r="C945" s="14">
        <f>'Raw Data'!C945</f>
        <v/>
      </c>
      <c r="D945" s="15">
        <f>'Raw Data'!M945</f>
        <v/>
      </c>
      <c r="E945" s="18">
        <f>'Raw Data'!M945/'Raw Data'!L945*100</f>
        <v/>
      </c>
      <c r="F945" s="14">
        <f>IF(E945&gt;15,"Wet Year",IF(E945&lt;-15,"Dry Year","Normal Year"))</f>
        <v/>
      </c>
      <c r="G945" s="16">
        <f>'Raw Data'!I945</f>
        <v/>
      </c>
      <c r="H945" s="14">
        <f>IF(G945&lt;15,"Low Variability",IF(G945&lt;=35,"Moderate Variability","High Variability"))</f>
        <v/>
      </c>
      <c r="I945" s="18">
        <f>'Raw Data'!O945</f>
        <v/>
      </c>
      <c r="J945" s="14">
        <f>IF(I945=0,"No Flood",IF(I945&lt;=0.5,"Low",IF(I945&lt;=2,"Moderate","High")))</f>
        <v/>
      </c>
    </row>
    <row r="946" ht="15" customHeight="1" s="12">
      <c r="A946" s="14">
        <f>'Raw Data'!A946</f>
        <v/>
      </c>
      <c r="B946" s="14">
        <f>'Raw Data'!B946</f>
        <v/>
      </c>
      <c r="C946" s="14">
        <f>'Raw Data'!C946</f>
        <v/>
      </c>
      <c r="D946" s="15">
        <f>'Raw Data'!M946</f>
        <v/>
      </c>
      <c r="E946" s="18">
        <f>'Raw Data'!M946/'Raw Data'!L946*100</f>
        <v/>
      </c>
      <c r="F946" s="14">
        <f>IF(E946&gt;15,"Wet Year",IF(E946&lt;-15,"Dry Year","Normal Year"))</f>
        <v/>
      </c>
      <c r="G946" s="16">
        <f>'Raw Data'!I946</f>
        <v/>
      </c>
      <c r="H946" s="14">
        <f>IF(G946&lt;15,"Low Variability",IF(G946&lt;=35,"Moderate Variability","High Variability"))</f>
        <v/>
      </c>
      <c r="I946" s="18">
        <f>'Raw Data'!O946</f>
        <v/>
      </c>
      <c r="J946" s="14">
        <f>IF(I946=0,"No Flood",IF(I946&lt;=0.5,"Low",IF(I946&lt;=2,"Moderate","High")))</f>
        <v/>
      </c>
    </row>
    <row r="947" ht="15" customHeight="1" s="12">
      <c r="A947" s="14">
        <f>'Raw Data'!A947</f>
        <v/>
      </c>
      <c r="B947" s="14">
        <f>'Raw Data'!B947</f>
        <v/>
      </c>
      <c r="C947" s="14">
        <f>'Raw Data'!C947</f>
        <v/>
      </c>
      <c r="D947" s="15">
        <f>'Raw Data'!M947</f>
        <v/>
      </c>
      <c r="E947" s="18">
        <f>'Raw Data'!M947/'Raw Data'!L947*100</f>
        <v/>
      </c>
      <c r="F947" s="14">
        <f>IF(E947&gt;15,"Wet Year",IF(E947&lt;-15,"Dry Year","Normal Year"))</f>
        <v/>
      </c>
      <c r="G947" s="16">
        <f>'Raw Data'!I947</f>
        <v/>
      </c>
      <c r="H947" s="14">
        <f>IF(G947&lt;15,"Low Variability",IF(G947&lt;=35,"Moderate Variability","High Variability"))</f>
        <v/>
      </c>
      <c r="I947" s="18">
        <f>'Raw Data'!O947</f>
        <v/>
      </c>
      <c r="J947" s="14">
        <f>IF(I947=0,"No Flood",IF(I947&lt;=0.5,"Low",IF(I947&lt;=2,"Moderate","High")))</f>
        <v/>
      </c>
    </row>
    <row r="948" ht="15" customHeight="1" s="12">
      <c r="A948" s="14">
        <f>'Raw Data'!A948</f>
        <v/>
      </c>
      <c r="B948" s="14">
        <f>'Raw Data'!B948</f>
        <v/>
      </c>
      <c r="C948" s="14">
        <f>'Raw Data'!C948</f>
        <v/>
      </c>
      <c r="D948" s="15">
        <f>'Raw Data'!M948</f>
        <v/>
      </c>
      <c r="E948" s="18">
        <f>'Raw Data'!M948/'Raw Data'!L948*100</f>
        <v/>
      </c>
      <c r="F948" s="14">
        <f>IF(E948&gt;15,"Wet Year",IF(E948&lt;-15,"Dry Year","Normal Year"))</f>
        <v/>
      </c>
      <c r="G948" s="16">
        <f>'Raw Data'!I948</f>
        <v/>
      </c>
      <c r="H948" s="14">
        <f>IF(G948&lt;15,"Low Variability",IF(G948&lt;=35,"Moderate Variability","High Variability"))</f>
        <v/>
      </c>
      <c r="I948" s="18">
        <f>'Raw Data'!O948</f>
        <v/>
      </c>
      <c r="J948" s="14">
        <f>IF(I948=0,"No Flood",IF(I948&lt;=0.5,"Low",IF(I948&lt;=2,"Moderate","High")))</f>
        <v/>
      </c>
    </row>
    <row r="949" ht="15" customHeight="1" s="12">
      <c r="A949" s="14">
        <f>'Raw Data'!A949</f>
        <v/>
      </c>
      <c r="B949" s="14">
        <f>'Raw Data'!B949</f>
        <v/>
      </c>
      <c r="C949" s="14">
        <f>'Raw Data'!C949</f>
        <v/>
      </c>
      <c r="D949" s="15">
        <f>'Raw Data'!M949</f>
        <v/>
      </c>
      <c r="E949" s="18">
        <f>'Raw Data'!M949/'Raw Data'!L949*100</f>
        <v/>
      </c>
      <c r="F949" s="14">
        <f>IF(E949&gt;15,"Wet Year",IF(E949&lt;-15,"Dry Year","Normal Year"))</f>
        <v/>
      </c>
      <c r="G949" s="16">
        <f>'Raw Data'!I949</f>
        <v/>
      </c>
      <c r="H949" s="14">
        <f>IF(G949&lt;15,"Low Variability",IF(G949&lt;=35,"Moderate Variability","High Variability"))</f>
        <v/>
      </c>
      <c r="I949" s="18">
        <f>'Raw Data'!O949</f>
        <v/>
      </c>
      <c r="J949" s="14">
        <f>IF(I949=0,"No Flood",IF(I949&lt;=0.5,"Low",IF(I949&lt;=2,"Moderate","High")))</f>
        <v/>
      </c>
    </row>
    <row r="950" ht="15" customHeight="1" s="12">
      <c r="A950" s="14">
        <f>'Raw Data'!A950</f>
        <v/>
      </c>
      <c r="B950" s="14">
        <f>'Raw Data'!B950</f>
        <v/>
      </c>
      <c r="C950" s="14">
        <f>'Raw Data'!C950</f>
        <v/>
      </c>
      <c r="D950" s="15">
        <f>'Raw Data'!M950</f>
        <v/>
      </c>
      <c r="E950" s="18">
        <f>'Raw Data'!M950/'Raw Data'!L950*100</f>
        <v/>
      </c>
      <c r="F950" s="14">
        <f>IF(E950&gt;15,"Wet Year",IF(E950&lt;-15,"Dry Year","Normal Year"))</f>
        <v/>
      </c>
      <c r="G950" s="16">
        <f>'Raw Data'!I950</f>
        <v/>
      </c>
      <c r="H950" s="14">
        <f>IF(G950&lt;15,"Low Variability",IF(G950&lt;=35,"Moderate Variability","High Variability"))</f>
        <v/>
      </c>
      <c r="I950" s="18">
        <f>'Raw Data'!O950</f>
        <v/>
      </c>
      <c r="J950" s="14">
        <f>IF(I950=0,"No Flood",IF(I950&lt;=0.5,"Low",IF(I950&lt;=2,"Moderate","High")))</f>
        <v/>
      </c>
    </row>
    <row r="951" ht="15" customHeight="1" s="12">
      <c r="A951" s="14">
        <f>'Raw Data'!A951</f>
        <v/>
      </c>
      <c r="B951" s="14">
        <f>'Raw Data'!B951</f>
        <v/>
      </c>
      <c r="C951" s="14">
        <f>'Raw Data'!C951</f>
        <v/>
      </c>
      <c r="D951" s="15">
        <f>'Raw Data'!M951</f>
        <v/>
      </c>
      <c r="E951" s="18">
        <f>'Raw Data'!M951/'Raw Data'!L951*100</f>
        <v/>
      </c>
      <c r="F951" s="14">
        <f>IF(E951&gt;15,"Wet Year",IF(E951&lt;-15,"Dry Year","Normal Year"))</f>
        <v/>
      </c>
      <c r="G951" s="16">
        <f>'Raw Data'!I951</f>
        <v/>
      </c>
      <c r="H951" s="14">
        <f>IF(G951&lt;15,"Low Variability",IF(G951&lt;=35,"Moderate Variability","High Variability"))</f>
        <v/>
      </c>
      <c r="I951" s="18">
        <f>'Raw Data'!O951</f>
        <v/>
      </c>
      <c r="J951" s="14">
        <f>IF(I951=0,"No Flood",IF(I951&lt;=0.5,"Low",IF(I951&lt;=2,"Moderate","High")))</f>
        <v/>
      </c>
    </row>
    <row r="952" ht="15" customHeight="1" s="12">
      <c r="A952" s="14">
        <f>'Raw Data'!A952</f>
        <v/>
      </c>
      <c r="B952" s="14">
        <f>'Raw Data'!B952</f>
        <v/>
      </c>
      <c r="C952" s="14">
        <f>'Raw Data'!C952</f>
        <v/>
      </c>
      <c r="D952" s="15">
        <f>'Raw Data'!M952</f>
        <v/>
      </c>
      <c r="E952" s="18">
        <f>'Raw Data'!M952/'Raw Data'!L952*100</f>
        <v/>
      </c>
      <c r="F952" s="14">
        <f>IF(E952&gt;15,"Wet Year",IF(E952&lt;-15,"Dry Year","Normal Year"))</f>
        <v/>
      </c>
      <c r="G952" s="16">
        <f>'Raw Data'!I952</f>
        <v/>
      </c>
      <c r="H952" s="14">
        <f>IF(G952&lt;15,"Low Variability",IF(G952&lt;=35,"Moderate Variability","High Variability"))</f>
        <v/>
      </c>
      <c r="I952" s="18">
        <f>'Raw Data'!O952</f>
        <v/>
      </c>
      <c r="J952" s="14">
        <f>IF(I952=0,"No Flood",IF(I952&lt;=0.5,"Low",IF(I952&lt;=2,"Moderate","High")))</f>
        <v/>
      </c>
    </row>
    <row r="953" ht="15" customHeight="1" s="12">
      <c r="A953" s="14">
        <f>'Raw Data'!A953</f>
        <v/>
      </c>
      <c r="B953" s="14">
        <f>'Raw Data'!B953</f>
        <v/>
      </c>
      <c r="C953" s="14">
        <f>'Raw Data'!C953</f>
        <v/>
      </c>
      <c r="D953" s="15">
        <f>'Raw Data'!M953</f>
        <v/>
      </c>
      <c r="E953" s="18">
        <f>'Raw Data'!M953/'Raw Data'!L953*100</f>
        <v/>
      </c>
      <c r="F953" s="14">
        <f>IF(E953&gt;15,"Wet Year",IF(E953&lt;-15,"Dry Year","Normal Year"))</f>
        <v/>
      </c>
      <c r="G953" s="16">
        <f>'Raw Data'!I953</f>
        <v/>
      </c>
      <c r="H953" s="14">
        <f>IF(G953&lt;15,"Low Variability",IF(G953&lt;=35,"Moderate Variability","High Variability"))</f>
        <v/>
      </c>
      <c r="I953" s="18">
        <f>'Raw Data'!O953</f>
        <v/>
      </c>
      <c r="J953" s="14">
        <f>IF(I953=0,"No Flood",IF(I953&lt;=0.5,"Low",IF(I953&lt;=2,"Moderate","High")))</f>
        <v/>
      </c>
    </row>
    <row r="954" ht="15" customHeight="1" s="12">
      <c r="A954" s="14">
        <f>'Raw Data'!A954</f>
        <v/>
      </c>
      <c r="B954" s="14">
        <f>'Raw Data'!B954</f>
        <v/>
      </c>
      <c r="C954" s="14">
        <f>'Raw Data'!C954</f>
        <v/>
      </c>
      <c r="D954" s="15">
        <f>'Raw Data'!M954</f>
        <v/>
      </c>
      <c r="E954" s="18">
        <f>'Raw Data'!M954/'Raw Data'!L954*100</f>
        <v/>
      </c>
      <c r="F954" s="14">
        <f>IF(E954&gt;15,"Wet Year",IF(E954&lt;-15,"Dry Year","Normal Year"))</f>
        <v/>
      </c>
      <c r="G954" s="16">
        <f>'Raw Data'!I954</f>
        <v/>
      </c>
      <c r="H954" s="14">
        <f>IF(G954&lt;15,"Low Variability",IF(G954&lt;=35,"Moderate Variability","High Variability"))</f>
        <v/>
      </c>
      <c r="I954" s="18">
        <f>'Raw Data'!O954</f>
        <v/>
      </c>
      <c r="J954" s="14">
        <f>IF(I954=0,"No Flood",IF(I954&lt;=0.5,"Low",IF(I954&lt;=2,"Moderate","High")))</f>
        <v/>
      </c>
    </row>
    <row r="955" ht="15" customHeight="1" s="12">
      <c r="A955" s="14">
        <f>'Raw Data'!A955</f>
        <v/>
      </c>
      <c r="B955" s="14">
        <f>'Raw Data'!B955</f>
        <v/>
      </c>
      <c r="C955" s="14">
        <f>'Raw Data'!C955</f>
        <v/>
      </c>
      <c r="D955" s="15">
        <f>'Raw Data'!M955</f>
        <v/>
      </c>
      <c r="E955" s="18">
        <f>'Raw Data'!M955/'Raw Data'!L955*100</f>
        <v/>
      </c>
      <c r="F955" s="14">
        <f>IF(E955&gt;15,"Wet Year",IF(E955&lt;-15,"Dry Year","Normal Year"))</f>
        <v/>
      </c>
      <c r="G955" s="16">
        <f>'Raw Data'!I955</f>
        <v/>
      </c>
      <c r="H955" s="14">
        <f>IF(G955&lt;15,"Low Variability",IF(G955&lt;=35,"Moderate Variability","High Variability"))</f>
        <v/>
      </c>
      <c r="I955" s="18">
        <f>'Raw Data'!O955</f>
        <v/>
      </c>
      <c r="J955" s="14">
        <f>IF(I955=0,"No Flood",IF(I955&lt;=0.5,"Low",IF(I955&lt;=2,"Moderate","High")))</f>
        <v/>
      </c>
    </row>
    <row r="956" ht="15" customHeight="1" s="12">
      <c r="A956" s="14">
        <f>'Raw Data'!A956</f>
        <v/>
      </c>
      <c r="B956" s="14">
        <f>'Raw Data'!B956</f>
        <v/>
      </c>
      <c r="C956" s="14">
        <f>'Raw Data'!C956</f>
        <v/>
      </c>
      <c r="D956" s="15">
        <f>'Raw Data'!M956</f>
        <v/>
      </c>
      <c r="E956" s="18">
        <f>'Raw Data'!M956/'Raw Data'!L956*100</f>
        <v/>
      </c>
      <c r="F956" s="14">
        <f>IF(E956&gt;15,"Wet Year",IF(E956&lt;-15,"Dry Year","Normal Year"))</f>
        <v/>
      </c>
      <c r="G956" s="16">
        <f>'Raw Data'!I956</f>
        <v/>
      </c>
      <c r="H956" s="14">
        <f>IF(G956&lt;15,"Low Variability",IF(G956&lt;=35,"Moderate Variability","High Variability"))</f>
        <v/>
      </c>
      <c r="I956" s="18">
        <f>'Raw Data'!O956</f>
        <v/>
      </c>
      <c r="J956" s="14">
        <f>IF(I956=0,"No Flood",IF(I956&lt;=0.5,"Low",IF(I956&lt;=2,"Moderate","High")))</f>
        <v/>
      </c>
    </row>
    <row r="957" ht="15" customHeight="1" s="12">
      <c r="A957" s="14">
        <f>'Raw Data'!A957</f>
        <v/>
      </c>
      <c r="B957" s="14">
        <f>'Raw Data'!B957</f>
        <v/>
      </c>
      <c r="C957" s="14">
        <f>'Raw Data'!C957</f>
        <v/>
      </c>
      <c r="D957" s="15">
        <f>'Raw Data'!M957</f>
        <v/>
      </c>
      <c r="E957" s="18">
        <f>'Raw Data'!M957/'Raw Data'!L957*100</f>
        <v/>
      </c>
      <c r="F957" s="14">
        <f>IF(E957&gt;15,"Wet Year",IF(E957&lt;-15,"Dry Year","Normal Year"))</f>
        <v/>
      </c>
      <c r="G957" s="16">
        <f>'Raw Data'!I957</f>
        <v/>
      </c>
      <c r="H957" s="14">
        <f>IF(G957&lt;15,"Low Variability",IF(G957&lt;=35,"Moderate Variability","High Variability"))</f>
        <v/>
      </c>
      <c r="I957" s="18">
        <f>'Raw Data'!O957</f>
        <v/>
      </c>
      <c r="J957" s="14">
        <f>IF(I957=0,"No Flood",IF(I957&lt;=0.5,"Low",IF(I957&lt;=2,"Moderate","High")))</f>
        <v/>
      </c>
    </row>
    <row r="958" ht="15" customHeight="1" s="12">
      <c r="A958" s="14">
        <f>'Raw Data'!A958</f>
        <v/>
      </c>
      <c r="B958" s="14">
        <f>'Raw Data'!B958</f>
        <v/>
      </c>
      <c r="C958" s="14">
        <f>'Raw Data'!C958</f>
        <v/>
      </c>
      <c r="D958" s="15">
        <f>'Raw Data'!M958</f>
        <v/>
      </c>
      <c r="E958" s="18">
        <f>'Raw Data'!M958/'Raw Data'!L958*100</f>
        <v/>
      </c>
      <c r="F958" s="14">
        <f>IF(E958&gt;15,"Wet Year",IF(E958&lt;-15,"Dry Year","Normal Year"))</f>
        <v/>
      </c>
      <c r="G958" s="16">
        <f>'Raw Data'!I958</f>
        <v/>
      </c>
      <c r="H958" s="14">
        <f>IF(G958&lt;15,"Low Variability",IF(G958&lt;=35,"Moderate Variability","High Variability"))</f>
        <v/>
      </c>
      <c r="I958" s="18">
        <f>'Raw Data'!O958</f>
        <v/>
      </c>
      <c r="J958" s="14">
        <f>IF(I958=0,"No Flood",IF(I958&lt;=0.5,"Low",IF(I958&lt;=2,"Moderate","High")))</f>
        <v/>
      </c>
    </row>
    <row r="959" ht="15" customHeight="1" s="12">
      <c r="A959" s="14">
        <f>'Raw Data'!A959</f>
        <v/>
      </c>
      <c r="B959" s="14">
        <f>'Raw Data'!B959</f>
        <v/>
      </c>
      <c r="C959" s="14">
        <f>'Raw Data'!C959</f>
        <v/>
      </c>
      <c r="D959" s="15">
        <f>'Raw Data'!M959</f>
        <v/>
      </c>
      <c r="E959" s="18">
        <f>'Raw Data'!M959/'Raw Data'!L959*100</f>
        <v/>
      </c>
      <c r="F959" s="14">
        <f>IF(E959&gt;15,"Wet Year",IF(E959&lt;-15,"Dry Year","Normal Year"))</f>
        <v/>
      </c>
      <c r="G959" s="16">
        <f>'Raw Data'!I959</f>
        <v/>
      </c>
      <c r="H959" s="14">
        <f>IF(G959&lt;15,"Low Variability",IF(G959&lt;=35,"Moderate Variability","High Variability"))</f>
        <v/>
      </c>
      <c r="I959" s="18">
        <f>'Raw Data'!O959</f>
        <v/>
      </c>
      <c r="J959" s="14">
        <f>IF(I959=0,"No Flood",IF(I959&lt;=0.5,"Low",IF(I959&lt;=2,"Moderate","High")))</f>
        <v/>
      </c>
    </row>
    <row r="960" ht="15" customHeight="1" s="12">
      <c r="A960" s="14">
        <f>'Raw Data'!A960</f>
        <v/>
      </c>
      <c r="B960" s="14">
        <f>'Raw Data'!B960</f>
        <v/>
      </c>
      <c r="C960" s="14">
        <f>'Raw Data'!C960</f>
        <v/>
      </c>
      <c r="D960" s="15">
        <f>'Raw Data'!M960</f>
        <v/>
      </c>
      <c r="E960" s="18">
        <f>'Raw Data'!M960/'Raw Data'!L960*100</f>
        <v/>
      </c>
      <c r="F960" s="14">
        <f>IF(E960&gt;15,"Wet Year",IF(E960&lt;-15,"Dry Year","Normal Year"))</f>
        <v/>
      </c>
      <c r="G960" s="16">
        <f>'Raw Data'!I960</f>
        <v/>
      </c>
      <c r="H960" s="14">
        <f>IF(G960&lt;15,"Low Variability",IF(G960&lt;=35,"Moderate Variability","High Variability"))</f>
        <v/>
      </c>
      <c r="I960" s="18">
        <f>'Raw Data'!O960</f>
        <v/>
      </c>
      <c r="J960" s="14">
        <f>IF(I960=0,"No Flood",IF(I960&lt;=0.5,"Low",IF(I960&lt;=2,"Moderate","High")))</f>
        <v/>
      </c>
    </row>
    <row r="961" ht="15" customHeight="1" s="12">
      <c r="A961" s="14">
        <f>'Raw Data'!A961</f>
        <v/>
      </c>
      <c r="B961" s="14">
        <f>'Raw Data'!B961</f>
        <v/>
      </c>
      <c r="C961" s="14">
        <f>'Raw Data'!C961</f>
        <v/>
      </c>
      <c r="D961" s="15">
        <f>'Raw Data'!M961</f>
        <v/>
      </c>
      <c r="E961" s="18">
        <f>'Raw Data'!M961/'Raw Data'!L961*100</f>
        <v/>
      </c>
      <c r="F961" s="14">
        <f>IF(E961&gt;15,"Wet Year",IF(E961&lt;-15,"Dry Year","Normal Year"))</f>
        <v/>
      </c>
      <c r="G961" s="16">
        <f>'Raw Data'!I961</f>
        <v/>
      </c>
      <c r="H961" s="14">
        <f>IF(G961&lt;15,"Low Variability",IF(G961&lt;=35,"Moderate Variability","High Variability"))</f>
        <v/>
      </c>
      <c r="I961" s="18">
        <f>'Raw Data'!O961</f>
        <v/>
      </c>
      <c r="J961" s="14">
        <f>IF(I961=0,"No Flood",IF(I961&lt;=0.5,"Low",IF(I961&lt;=2,"Moderate","High")))</f>
        <v/>
      </c>
    </row>
    <row r="962" ht="15" customHeight="1" s="12">
      <c r="A962" s="14">
        <f>'Raw Data'!A962</f>
        <v/>
      </c>
      <c r="B962" s="14">
        <f>'Raw Data'!B962</f>
        <v/>
      </c>
      <c r="C962" s="14">
        <f>'Raw Data'!C962</f>
        <v/>
      </c>
      <c r="D962" s="15">
        <f>'Raw Data'!M962</f>
        <v/>
      </c>
      <c r="E962" s="18">
        <f>'Raw Data'!M962/'Raw Data'!L962*100</f>
        <v/>
      </c>
      <c r="F962" s="14">
        <f>IF(E962&gt;15,"Wet Year",IF(E962&lt;-15,"Dry Year","Normal Year"))</f>
        <v/>
      </c>
      <c r="G962" s="16">
        <f>'Raw Data'!I962</f>
        <v/>
      </c>
      <c r="H962" s="14">
        <f>IF(G962&lt;15,"Low Variability",IF(G962&lt;=35,"Moderate Variability","High Variability"))</f>
        <v/>
      </c>
      <c r="I962" s="18">
        <f>'Raw Data'!O962</f>
        <v/>
      </c>
      <c r="J962" s="14">
        <f>IF(I962=0,"No Flood",IF(I962&lt;=0.5,"Low",IF(I962&lt;=2,"Moderate","High")))</f>
        <v/>
      </c>
    </row>
    <row r="963" ht="15" customHeight="1" s="12">
      <c r="A963" s="14">
        <f>'Raw Data'!A963</f>
        <v/>
      </c>
      <c r="B963" s="14">
        <f>'Raw Data'!B963</f>
        <v/>
      </c>
      <c r="C963" s="14">
        <f>'Raw Data'!C963</f>
        <v/>
      </c>
      <c r="D963" s="15">
        <f>'Raw Data'!M963</f>
        <v/>
      </c>
      <c r="E963" s="18">
        <f>'Raw Data'!M963/'Raw Data'!L963*100</f>
        <v/>
      </c>
      <c r="F963" s="14">
        <f>IF(E963&gt;15,"Wet Year",IF(E963&lt;-15,"Dry Year","Normal Year"))</f>
        <v/>
      </c>
      <c r="G963" s="16">
        <f>'Raw Data'!I963</f>
        <v/>
      </c>
      <c r="H963" s="14">
        <f>IF(G963&lt;15,"Low Variability",IF(G963&lt;=35,"Moderate Variability","High Variability"))</f>
        <v/>
      </c>
      <c r="I963" s="18">
        <f>'Raw Data'!O963</f>
        <v/>
      </c>
      <c r="J963" s="14">
        <f>IF(I963=0,"No Flood",IF(I963&lt;=0.5,"Low",IF(I963&lt;=2,"Moderate","High")))</f>
        <v/>
      </c>
    </row>
    <row r="964" ht="15" customHeight="1" s="12">
      <c r="A964" s="14">
        <f>'Raw Data'!A964</f>
        <v/>
      </c>
      <c r="B964" s="14">
        <f>'Raw Data'!B964</f>
        <v/>
      </c>
      <c r="C964" s="14">
        <f>'Raw Data'!C964</f>
        <v/>
      </c>
      <c r="D964" s="15">
        <f>'Raw Data'!M964</f>
        <v/>
      </c>
      <c r="E964" s="18">
        <f>'Raw Data'!M964/'Raw Data'!L964*100</f>
        <v/>
      </c>
      <c r="F964" s="14">
        <f>IF(E964&gt;15,"Wet Year",IF(E964&lt;-15,"Dry Year","Normal Year"))</f>
        <v/>
      </c>
      <c r="G964" s="16">
        <f>'Raw Data'!I964</f>
        <v/>
      </c>
      <c r="H964" s="14">
        <f>IF(G964&lt;15,"Low Variability",IF(G964&lt;=35,"Moderate Variability","High Variability"))</f>
        <v/>
      </c>
      <c r="I964" s="18">
        <f>'Raw Data'!O964</f>
        <v/>
      </c>
      <c r="J964" s="14">
        <f>IF(I964=0,"No Flood",IF(I964&lt;=0.5,"Low",IF(I964&lt;=2,"Moderate","High")))</f>
        <v/>
      </c>
    </row>
    <row r="965" ht="15" customHeight="1" s="12">
      <c r="A965" s="14">
        <f>'Raw Data'!A965</f>
        <v/>
      </c>
      <c r="B965" s="14">
        <f>'Raw Data'!B965</f>
        <v/>
      </c>
      <c r="C965" s="14">
        <f>'Raw Data'!C965</f>
        <v/>
      </c>
      <c r="D965" s="15">
        <f>'Raw Data'!M965</f>
        <v/>
      </c>
      <c r="E965" s="18">
        <f>'Raw Data'!M965/'Raw Data'!L965*100</f>
        <v/>
      </c>
      <c r="F965" s="14">
        <f>IF(E965&gt;15,"Wet Year",IF(E965&lt;-15,"Dry Year","Normal Year"))</f>
        <v/>
      </c>
      <c r="G965" s="16">
        <f>'Raw Data'!I965</f>
        <v/>
      </c>
      <c r="H965" s="14">
        <f>IF(G965&lt;15,"Low Variability",IF(G965&lt;=35,"Moderate Variability","High Variability"))</f>
        <v/>
      </c>
      <c r="I965" s="18">
        <f>'Raw Data'!O965</f>
        <v/>
      </c>
      <c r="J965" s="14">
        <f>IF(I965=0,"No Flood",IF(I965&lt;=0.5,"Low",IF(I965&lt;=2,"Moderate","High")))</f>
        <v/>
      </c>
    </row>
    <row r="966" ht="15" customHeight="1" s="12">
      <c r="A966" s="14">
        <f>'Raw Data'!A966</f>
        <v/>
      </c>
      <c r="B966" s="14">
        <f>'Raw Data'!B966</f>
        <v/>
      </c>
      <c r="C966" s="14">
        <f>'Raw Data'!C966</f>
        <v/>
      </c>
      <c r="D966" s="15">
        <f>'Raw Data'!M966</f>
        <v/>
      </c>
      <c r="E966" s="18">
        <f>'Raw Data'!M966/'Raw Data'!L966*100</f>
        <v/>
      </c>
      <c r="F966" s="14">
        <f>IF(E966&gt;15,"Wet Year",IF(E966&lt;-15,"Dry Year","Normal Year"))</f>
        <v/>
      </c>
      <c r="G966" s="16">
        <f>'Raw Data'!I966</f>
        <v/>
      </c>
      <c r="H966" s="14">
        <f>IF(G966&lt;15,"Low Variability",IF(G966&lt;=35,"Moderate Variability","High Variability"))</f>
        <v/>
      </c>
      <c r="I966" s="18">
        <f>'Raw Data'!O966</f>
        <v/>
      </c>
      <c r="J966" s="14">
        <f>IF(I966=0,"No Flood",IF(I966&lt;=0.5,"Low",IF(I966&lt;=2,"Moderate","High")))</f>
        <v/>
      </c>
    </row>
    <row r="967" ht="15" customHeight="1" s="12">
      <c r="A967" s="14">
        <f>'Raw Data'!A967</f>
        <v/>
      </c>
      <c r="B967" s="14">
        <f>'Raw Data'!B967</f>
        <v/>
      </c>
      <c r="C967" s="14">
        <f>'Raw Data'!C967</f>
        <v/>
      </c>
      <c r="D967" s="15">
        <f>'Raw Data'!M967</f>
        <v/>
      </c>
      <c r="E967" s="18">
        <f>'Raw Data'!M967/'Raw Data'!L967*100</f>
        <v/>
      </c>
      <c r="F967" s="14">
        <f>IF(E967&gt;15,"Wet Year",IF(E967&lt;-15,"Dry Year","Normal Year"))</f>
        <v/>
      </c>
      <c r="G967" s="16">
        <f>'Raw Data'!I967</f>
        <v/>
      </c>
      <c r="H967" s="14">
        <f>IF(G967&lt;15,"Low Variability",IF(G967&lt;=35,"Moderate Variability","High Variability"))</f>
        <v/>
      </c>
      <c r="I967" s="18">
        <f>'Raw Data'!O967</f>
        <v/>
      </c>
      <c r="J967" s="14">
        <f>IF(I967=0,"No Flood",IF(I967&lt;=0.5,"Low",IF(I967&lt;=2,"Moderate","High")))</f>
        <v/>
      </c>
    </row>
    <row r="968" ht="15" customHeight="1" s="12">
      <c r="A968" s="14">
        <f>'Raw Data'!A968</f>
        <v/>
      </c>
      <c r="B968" s="14">
        <f>'Raw Data'!B968</f>
        <v/>
      </c>
      <c r="C968" s="14">
        <f>'Raw Data'!C968</f>
        <v/>
      </c>
      <c r="D968" s="15">
        <f>'Raw Data'!M968</f>
        <v/>
      </c>
      <c r="E968" s="18">
        <f>'Raw Data'!M968/'Raw Data'!L968*100</f>
        <v/>
      </c>
      <c r="F968" s="14">
        <f>IF(E968&gt;15,"Wet Year",IF(E968&lt;-15,"Dry Year","Normal Year"))</f>
        <v/>
      </c>
      <c r="G968" s="16">
        <f>'Raw Data'!I968</f>
        <v/>
      </c>
      <c r="H968" s="14">
        <f>IF(G968&lt;15,"Low Variability",IF(G968&lt;=35,"Moderate Variability","High Variability"))</f>
        <v/>
      </c>
      <c r="I968" s="18">
        <f>'Raw Data'!O968</f>
        <v/>
      </c>
      <c r="J968" s="14">
        <f>IF(I968=0,"No Flood",IF(I968&lt;=0.5,"Low",IF(I968&lt;=2,"Moderate","High")))</f>
        <v/>
      </c>
    </row>
    <row r="969" ht="15" customHeight="1" s="12">
      <c r="A969" s="14">
        <f>'Raw Data'!A969</f>
        <v/>
      </c>
      <c r="B969" s="14">
        <f>'Raw Data'!B969</f>
        <v/>
      </c>
      <c r="C969" s="14">
        <f>'Raw Data'!C969</f>
        <v/>
      </c>
      <c r="D969" s="15">
        <f>'Raw Data'!M969</f>
        <v/>
      </c>
      <c r="E969" s="18">
        <f>'Raw Data'!M969/'Raw Data'!L969*100</f>
        <v/>
      </c>
      <c r="F969" s="14">
        <f>IF(E969&gt;15,"Wet Year",IF(E969&lt;-15,"Dry Year","Normal Year"))</f>
        <v/>
      </c>
      <c r="G969" s="16">
        <f>'Raw Data'!I969</f>
        <v/>
      </c>
      <c r="H969" s="14">
        <f>IF(G969&lt;15,"Low Variability",IF(G969&lt;=35,"Moderate Variability","High Variability"))</f>
        <v/>
      </c>
      <c r="I969" s="18">
        <f>'Raw Data'!O969</f>
        <v/>
      </c>
      <c r="J969" s="14">
        <f>IF(I969=0,"No Flood",IF(I969&lt;=0.5,"Low",IF(I969&lt;=2,"Moderate","High")))</f>
        <v/>
      </c>
    </row>
    <row r="970" ht="15" customHeight="1" s="12">
      <c r="A970" s="14">
        <f>'Raw Data'!A970</f>
        <v/>
      </c>
      <c r="B970" s="14">
        <f>'Raw Data'!B970</f>
        <v/>
      </c>
      <c r="C970" s="14">
        <f>'Raw Data'!C970</f>
        <v/>
      </c>
      <c r="D970" s="15">
        <f>'Raw Data'!M970</f>
        <v/>
      </c>
      <c r="E970" s="18">
        <f>'Raw Data'!M970/'Raw Data'!L970*100</f>
        <v/>
      </c>
      <c r="F970" s="14">
        <f>IF(E970&gt;15,"Wet Year",IF(E970&lt;-15,"Dry Year","Normal Year"))</f>
        <v/>
      </c>
      <c r="G970" s="16">
        <f>'Raw Data'!I970</f>
        <v/>
      </c>
      <c r="H970" s="14">
        <f>IF(G970&lt;15,"Low Variability",IF(G970&lt;=35,"Moderate Variability","High Variability"))</f>
        <v/>
      </c>
      <c r="I970" s="18">
        <f>'Raw Data'!O970</f>
        <v/>
      </c>
      <c r="J970" s="14">
        <f>IF(I970=0,"No Flood",IF(I970&lt;=0.5,"Low",IF(I970&lt;=2,"Moderate","High")))</f>
        <v/>
      </c>
    </row>
    <row r="971" ht="15" customHeight="1" s="12">
      <c r="A971" s="14">
        <f>'Raw Data'!A971</f>
        <v/>
      </c>
      <c r="B971" s="14">
        <f>'Raw Data'!B971</f>
        <v/>
      </c>
      <c r="C971" s="14">
        <f>'Raw Data'!C971</f>
        <v/>
      </c>
      <c r="D971" s="15">
        <f>'Raw Data'!M971</f>
        <v/>
      </c>
      <c r="E971" s="18">
        <f>'Raw Data'!M971/'Raw Data'!L971*100</f>
        <v/>
      </c>
      <c r="F971" s="14">
        <f>IF(E971&gt;15,"Wet Year",IF(E971&lt;-15,"Dry Year","Normal Year"))</f>
        <v/>
      </c>
      <c r="G971" s="16">
        <f>'Raw Data'!I971</f>
        <v/>
      </c>
      <c r="H971" s="14">
        <f>IF(G971&lt;15,"Low Variability",IF(G971&lt;=35,"Moderate Variability","High Variability"))</f>
        <v/>
      </c>
      <c r="I971" s="18">
        <f>'Raw Data'!O971</f>
        <v/>
      </c>
      <c r="J971" s="14">
        <f>IF(I971=0,"No Flood",IF(I971&lt;=0.5,"Low",IF(I971&lt;=2,"Moderate","High")))</f>
        <v/>
      </c>
    </row>
    <row r="972" ht="15" customHeight="1" s="12">
      <c r="A972" s="14">
        <f>'Raw Data'!A972</f>
        <v/>
      </c>
      <c r="B972" s="14">
        <f>'Raw Data'!B972</f>
        <v/>
      </c>
      <c r="C972" s="14">
        <f>'Raw Data'!C972</f>
        <v/>
      </c>
      <c r="D972" s="15">
        <f>'Raw Data'!M972</f>
        <v/>
      </c>
      <c r="E972" s="18">
        <f>'Raw Data'!M972/'Raw Data'!L972*100</f>
        <v/>
      </c>
      <c r="F972" s="14">
        <f>IF(E972&gt;15,"Wet Year",IF(E972&lt;-15,"Dry Year","Normal Year"))</f>
        <v/>
      </c>
      <c r="G972" s="16">
        <f>'Raw Data'!I972</f>
        <v/>
      </c>
      <c r="H972" s="14">
        <f>IF(G972&lt;15,"Low Variability",IF(G972&lt;=35,"Moderate Variability","High Variability"))</f>
        <v/>
      </c>
      <c r="I972" s="18">
        <f>'Raw Data'!O972</f>
        <v/>
      </c>
      <c r="J972" s="14">
        <f>IF(I972=0,"No Flood",IF(I972&lt;=0.5,"Low",IF(I972&lt;=2,"Moderate","High")))</f>
        <v/>
      </c>
    </row>
    <row r="973" ht="15" customHeight="1" s="12">
      <c r="A973" s="14">
        <f>'Raw Data'!A973</f>
        <v/>
      </c>
      <c r="B973" s="14">
        <f>'Raw Data'!B973</f>
        <v/>
      </c>
      <c r="C973" s="14">
        <f>'Raw Data'!C973</f>
        <v/>
      </c>
      <c r="D973" s="15">
        <f>'Raw Data'!M973</f>
        <v/>
      </c>
      <c r="E973" s="18">
        <f>'Raw Data'!M973/'Raw Data'!L973*100</f>
        <v/>
      </c>
      <c r="F973" s="14">
        <f>IF(E973&gt;15,"Wet Year",IF(E973&lt;-15,"Dry Year","Normal Year"))</f>
        <v/>
      </c>
      <c r="G973" s="16">
        <f>'Raw Data'!I973</f>
        <v/>
      </c>
      <c r="H973" s="14">
        <f>IF(G973&lt;15,"Low Variability",IF(G973&lt;=35,"Moderate Variability","High Variability"))</f>
        <v/>
      </c>
      <c r="I973" s="18">
        <f>'Raw Data'!O973</f>
        <v/>
      </c>
      <c r="J973" s="14">
        <f>IF(I973=0,"No Flood",IF(I973&lt;=0.5,"Low",IF(I973&lt;=2,"Moderate","High")))</f>
        <v/>
      </c>
    </row>
    <row r="974" ht="15" customHeight="1" s="12">
      <c r="A974" s="14">
        <f>'Raw Data'!A974</f>
        <v/>
      </c>
      <c r="B974" s="14">
        <f>'Raw Data'!B974</f>
        <v/>
      </c>
      <c r="C974" s="14">
        <f>'Raw Data'!C974</f>
        <v/>
      </c>
      <c r="D974" s="15">
        <f>'Raw Data'!M974</f>
        <v/>
      </c>
      <c r="E974" s="18">
        <f>'Raw Data'!M974/'Raw Data'!L974*100</f>
        <v/>
      </c>
      <c r="F974" s="14">
        <f>IF(E974&gt;15,"Wet Year",IF(E974&lt;-15,"Dry Year","Normal Year"))</f>
        <v/>
      </c>
      <c r="G974" s="16">
        <f>'Raw Data'!I974</f>
        <v/>
      </c>
      <c r="H974" s="14">
        <f>IF(G974&lt;15,"Low Variability",IF(G974&lt;=35,"Moderate Variability","High Variability"))</f>
        <v/>
      </c>
      <c r="I974" s="18">
        <f>'Raw Data'!O974</f>
        <v/>
      </c>
      <c r="J974" s="14">
        <f>IF(I974=0,"No Flood",IF(I974&lt;=0.5,"Low",IF(I974&lt;=2,"Moderate","High")))</f>
        <v/>
      </c>
    </row>
    <row r="975" ht="15" customHeight="1" s="12">
      <c r="A975" s="14">
        <f>'Raw Data'!A975</f>
        <v/>
      </c>
      <c r="B975" s="14">
        <f>'Raw Data'!B975</f>
        <v/>
      </c>
      <c r="C975" s="14">
        <f>'Raw Data'!C975</f>
        <v/>
      </c>
      <c r="D975" s="15">
        <f>'Raw Data'!M975</f>
        <v/>
      </c>
      <c r="E975" s="18">
        <f>'Raw Data'!M975/'Raw Data'!L975*100</f>
        <v/>
      </c>
      <c r="F975" s="14">
        <f>IF(E975&gt;15,"Wet Year",IF(E975&lt;-15,"Dry Year","Normal Year"))</f>
        <v/>
      </c>
      <c r="G975" s="16">
        <f>'Raw Data'!I975</f>
        <v/>
      </c>
      <c r="H975" s="14">
        <f>IF(G975&lt;15,"Low Variability",IF(G975&lt;=35,"Moderate Variability","High Variability"))</f>
        <v/>
      </c>
      <c r="I975" s="18">
        <f>'Raw Data'!O975</f>
        <v/>
      </c>
      <c r="J975" s="14">
        <f>IF(I975=0,"No Flood",IF(I975&lt;=0.5,"Low",IF(I975&lt;=2,"Moderate","High")))</f>
        <v/>
      </c>
    </row>
    <row r="976" ht="15" customHeight="1" s="12">
      <c r="A976" s="14">
        <f>'Raw Data'!A976</f>
        <v/>
      </c>
      <c r="B976" s="14">
        <f>'Raw Data'!B976</f>
        <v/>
      </c>
      <c r="C976" s="14">
        <f>'Raw Data'!C976</f>
        <v/>
      </c>
      <c r="D976" s="15">
        <f>'Raw Data'!M976</f>
        <v/>
      </c>
      <c r="E976" s="18">
        <f>'Raw Data'!M976/'Raw Data'!L976*100</f>
        <v/>
      </c>
      <c r="F976" s="14">
        <f>IF(E976&gt;15,"Wet Year",IF(E976&lt;-15,"Dry Year","Normal Year"))</f>
        <v/>
      </c>
      <c r="G976" s="16">
        <f>'Raw Data'!I976</f>
        <v/>
      </c>
      <c r="H976" s="14">
        <f>IF(G976&lt;15,"Low Variability",IF(G976&lt;=35,"Moderate Variability","High Variability"))</f>
        <v/>
      </c>
      <c r="I976" s="18">
        <f>'Raw Data'!O976</f>
        <v/>
      </c>
      <c r="J976" s="14">
        <f>IF(I976=0,"No Flood",IF(I976&lt;=0.5,"Low",IF(I976&lt;=2,"Moderate","High")))</f>
        <v/>
      </c>
    </row>
    <row r="977" ht="15" customHeight="1" s="12">
      <c r="A977" s="14">
        <f>'Raw Data'!A977</f>
        <v/>
      </c>
      <c r="B977" s="14">
        <f>'Raw Data'!B977</f>
        <v/>
      </c>
      <c r="C977" s="14">
        <f>'Raw Data'!C977</f>
        <v/>
      </c>
      <c r="D977" s="15">
        <f>'Raw Data'!M977</f>
        <v/>
      </c>
      <c r="E977" s="18">
        <f>'Raw Data'!M977/'Raw Data'!L977*100</f>
        <v/>
      </c>
      <c r="F977" s="14">
        <f>IF(E977&gt;15,"Wet Year",IF(E977&lt;-15,"Dry Year","Normal Year"))</f>
        <v/>
      </c>
      <c r="G977" s="16">
        <f>'Raw Data'!I977</f>
        <v/>
      </c>
      <c r="H977" s="14">
        <f>IF(G977&lt;15,"Low Variability",IF(G977&lt;=35,"Moderate Variability","High Variability"))</f>
        <v/>
      </c>
      <c r="I977" s="18">
        <f>'Raw Data'!O977</f>
        <v/>
      </c>
      <c r="J977" s="14">
        <f>IF(I977=0,"No Flood",IF(I977&lt;=0.5,"Low",IF(I977&lt;=2,"Moderate","High")))</f>
        <v/>
      </c>
    </row>
    <row r="978" ht="15" customHeight="1" s="12">
      <c r="A978" s="14">
        <f>'Raw Data'!A978</f>
        <v/>
      </c>
      <c r="B978" s="14">
        <f>'Raw Data'!B978</f>
        <v/>
      </c>
      <c r="C978" s="14">
        <f>'Raw Data'!C978</f>
        <v/>
      </c>
      <c r="D978" s="15">
        <f>'Raw Data'!M978</f>
        <v/>
      </c>
      <c r="E978" s="18">
        <f>'Raw Data'!M978/'Raw Data'!L978*100</f>
        <v/>
      </c>
      <c r="F978" s="14">
        <f>IF(E978&gt;15,"Wet Year",IF(E978&lt;-15,"Dry Year","Normal Year"))</f>
        <v/>
      </c>
      <c r="G978" s="16">
        <f>'Raw Data'!I978</f>
        <v/>
      </c>
      <c r="H978" s="14">
        <f>IF(G978&lt;15,"Low Variability",IF(G978&lt;=35,"Moderate Variability","High Variability"))</f>
        <v/>
      </c>
      <c r="I978" s="18">
        <f>'Raw Data'!O978</f>
        <v/>
      </c>
      <c r="J978" s="14">
        <f>IF(I978=0,"No Flood",IF(I978&lt;=0.5,"Low",IF(I978&lt;=2,"Moderate","High")))</f>
        <v/>
      </c>
    </row>
    <row r="979" ht="15" customHeight="1" s="12">
      <c r="A979" s="14">
        <f>'Raw Data'!A979</f>
        <v/>
      </c>
      <c r="B979" s="14">
        <f>'Raw Data'!B979</f>
        <v/>
      </c>
      <c r="C979" s="14">
        <f>'Raw Data'!C979</f>
        <v/>
      </c>
      <c r="D979" s="15">
        <f>'Raw Data'!M979</f>
        <v/>
      </c>
      <c r="E979" s="18">
        <f>'Raw Data'!M979/'Raw Data'!L979*100</f>
        <v/>
      </c>
      <c r="F979" s="14">
        <f>IF(E979&gt;15,"Wet Year",IF(E979&lt;-15,"Dry Year","Normal Year"))</f>
        <v/>
      </c>
      <c r="G979" s="16">
        <f>'Raw Data'!I979</f>
        <v/>
      </c>
      <c r="H979" s="14">
        <f>IF(G979&lt;15,"Low Variability",IF(G979&lt;=35,"Moderate Variability","High Variability"))</f>
        <v/>
      </c>
      <c r="I979" s="18">
        <f>'Raw Data'!O979</f>
        <v/>
      </c>
      <c r="J979" s="14">
        <f>IF(I979=0,"No Flood",IF(I979&lt;=0.5,"Low",IF(I979&lt;=2,"Moderate","High")))</f>
        <v/>
      </c>
    </row>
    <row r="980" ht="15" customHeight="1" s="12">
      <c r="A980" s="14">
        <f>'Raw Data'!A980</f>
        <v/>
      </c>
      <c r="B980" s="14">
        <f>'Raw Data'!B980</f>
        <v/>
      </c>
      <c r="C980" s="14">
        <f>'Raw Data'!C980</f>
        <v/>
      </c>
      <c r="D980" s="15">
        <f>'Raw Data'!M980</f>
        <v/>
      </c>
      <c r="E980" s="18">
        <f>'Raw Data'!M980/'Raw Data'!L980*100</f>
        <v/>
      </c>
      <c r="F980" s="14">
        <f>IF(E980&gt;15,"Wet Year",IF(E980&lt;-15,"Dry Year","Normal Year"))</f>
        <v/>
      </c>
      <c r="G980" s="16">
        <f>'Raw Data'!I980</f>
        <v/>
      </c>
      <c r="H980" s="14">
        <f>IF(G980&lt;15,"Low Variability",IF(G980&lt;=35,"Moderate Variability","High Variability"))</f>
        <v/>
      </c>
      <c r="I980" s="18">
        <f>'Raw Data'!O980</f>
        <v/>
      </c>
      <c r="J980" s="14">
        <f>IF(I980=0,"No Flood",IF(I980&lt;=0.5,"Low",IF(I980&lt;=2,"Moderate","High")))</f>
        <v/>
      </c>
    </row>
    <row r="981" ht="15" customHeight="1" s="12">
      <c r="A981" s="14">
        <f>'Raw Data'!A981</f>
        <v/>
      </c>
      <c r="B981" s="14">
        <f>'Raw Data'!B981</f>
        <v/>
      </c>
      <c r="C981" s="14">
        <f>'Raw Data'!C981</f>
        <v/>
      </c>
      <c r="D981" s="15">
        <f>'Raw Data'!M981</f>
        <v/>
      </c>
      <c r="E981" s="18">
        <f>'Raw Data'!M981/'Raw Data'!L981*100</f>
        <v/>
      </c>
      <c r="F981" s="14">
        <f>IF(E981&gt;15,"Wet Year",IF(E981&lt;-15,"Dry Year","Normal Year"))</f>
        <v/>
      </c>
      <c r="G981" s="16">
        <f>'Raw Data'!I981</f>
        <v/>
      </c>
      <c r="H981" s="14">
        <f>IF(G981&lt;15,"Low Variability",IF(G981&lt;=35,"Moderate Variability","High Variability"))</f>
        <v/>
      </c>
      <c r="I981" s="18">
        <f>'Raw Data'!O981</f>
        <v/>
      </c>
      <c r="J981" s="14">
        <f>IF(I981=0,"No Flood",IF(I981&lt;=0.5,"Low",IF(I981&lt;=2,"Moderate","High")))</f>
        <v/>
      </c>
    </row>
    <row r="982" ht="15" customHeight="1" s="12">
      <c r="A982" s="14">
        <f>'Raw Data'!A982</f>
        <v/>
      </c>
      <c r="B982" s="14">
        <f>'Raw Data'!B982</f>
        <v/>
      </c>
      <c r="C982" s="14">
        <f>'Raw Data'!C982</f>
        <v/>
      </c>
      <c r="D982" s="15">
        <f>'Raw Data'!M982</f>
        <v/>
      </c>
      <c r="E982" s="18">
        <f>'Raw Data'!M982/'Raw Data'!L982*100</f>
        <v/>
      </c>
      <c r="F982" s="14">
        <f>IF(E982&gt;15,"Wet Year",IF(E982&lt;-15,"Dry Year","Normal Year"))</f>
        <v/>
      </c>
      <c r="G982" s="16">
        <f>'Raw Data'!I982</f>
        <v/>
      </c>
      <c r="H982" s="14">
        <f>IF(G982&lt;15,"Low Variability",IF(G982&lt;=35,"Moderate Variability","High Variability"))</f>
        <v/>
      </c>
      <c r="I982" s="18">
        <f>'Raw Data'!O982</f>
        <v/>
      </c>
      <c r="J982" s="14">
        <f>IF(I982=0,"No Flood",IF(I982&lt;=0.5,"Low",IF(I982&lt;=2,"Moderate","High")))</f>
        <v/>
      </c>
    </row>
    <row r="983" ht="15" customHeight="1" s="12">
      <c r="A983" s="14">
        <f>'Raw Data'!A983</f>
        <v/>
      </c>
      <c r="B983" s="14">
        <f>'Raw Data'!B983</f>
        <v/>
      </c>
      <c r="C983" s="14">
        <f>'Raw Data'!C983</f>
        <v/>
      </c>
      <c r="D983" s="15">
        <f>'Raw Data'!M983</f>
        <v/>
      </c>
      <c r="E983" s="18">
        <f>'Raw Data'!M983/'Raw Data'!L983*100</f>
        <v/>
      </c>
      <c r="F983" s="14">
        <f>IF(E983&gt;15,"Wet Year",IF(E983&lt;-15,"Dry Year","Normal Year"))</f>
        <v/>
      </c>
      <c r="G983" s="16">
        <f>'Raw Data'!I983</f>
        <v/>
      </c>
      <c r="H983" s="14">
        <f>IF(G983&lt;15,"Low Variability",IF(G983&lt;=35,"Moderate Variability","High Variability"))</f>
        <v/>
      </c>
      <c r="I983" s="18">
        <f>'Raw Data'!O983</f>
        <v/>
      </c>
      <c r="J983" s="14">
        <f>IF(I983=0,"No Flood",IF(I983&lt;=0.5,"Low",IF(I983&lt;=2,"Moderate","High")))</f>
        <v/>
      </c>
    </row>
    <row r="984" ht="15" customHeight="1" s="12">
      <c r="A984" s="14">
        <f>'Raw Data'!A984</f>
        <v/>
      </c>
      <c r="B984" s="14">
        <f>'Raw Data'!B984</f>
        <v/>
      </c>
      <c r="C984" s="14">
        <f>'Raw Data'!C984</f>
        <v/>
      </c>
      <c r="D984" s="15">
        <f>'Raw Data'!M984</f>
        <v/>
      </c>
      <c r="E984" s="18">
        <f>'Raw Data'!M984/'Raw Data'!L984*100</f>
        <v/>
      </c>
      <c r="F984" s="14">
        <f>IF(E984&gt;15,"Wet Year",IF(E984&lt;-15,"Dry Year","Normal Year"))</f>
        <v/>
      </c>
      <c r="G984" s="16">
        <f>'Raw Data'!I984</f>
        <v/>
      </c>
      <c r="H984" s="14">
        <f>IF(G984&lt;15,"Low Variability",IF(G984&lt;=35,"Moderate Variability","High Variability"))</f>
        <v/>
      </c>
      <c r="I984" s="18">
        <f>'Raw Data'!O984</f>
        <v/>
      </c>
      <c r="J984" s="14">
        <f>IF(I984=0,"No Flood",IF(I984&lt;=0.5,"Low",IF(I984&lt;=2,"Moderate","High")))</f>
        <v/>
      </c>
    </row>
    <row r="985" ht="15" customHeight="1" s="12">
      <c r="A985" s="14">
        <f>'Raw Data'!A985</f>
        <v/>
      </c>
      <c r="B985" s="14">
        <f>'Raw Data'!B985</f>
        <v/>
      </c>
      <c r="C985" s="14">
        <f>'Raw Data'!C985</f>
        <v/>
      </c>
      <c r="D985" s="15">
        <f>'Raw Data'!M985</f>
        <v/>
      </c>
      <c r="E985" s="18">
        <f>'Raw Data'!M985/'Raw Data'!L985*100</f>
        <v/>
      </c>
      <c r="F985" s="14">
        <f>IF(E985&gt;15,"Wet Year",IF(E985&lt;-15,"Dry Year","Normal Year"))</f>
        <v/>
      </c>
      <c r="G985" s="16">
        <f>'Raw Data'!I985</f>
        <v/>
      </c>
      <c r="H985" s="14">
        <f>IF(G985&lt;15,"Low Variability",IF(G985&lt;=35,"Moderate Variability","High Variability"))</f>
        <v/>
      </c>
      <c r="I985" s="18">
        <f>'Raw Data'!O985</f>
        <v/>
      </c>
      <c r="J985" s="14">
        <f>IF(I985=0,"No Flood",IF(I985&lt;=0.5,"Low",IF(I985&lt;=2,"Moderate","High")))</f>
        <v/>
      </c>
    </row>
    <row r="986" ht="15" customHeight="1" s="12">
      <c r="A986" s="14">
        <f>'Raw Data'!A986</f>
        <v/>
      </c>
      <c r="B986" s="14">
        <f>'Raw Data'!B986</f>
        <v/>
      </c>
      <c r="C986" s="14">
        <f>'Raw Data'!C986</f>
        <v/>
      </c>
      <c r="D986" s="15">
        <f>'Raw Data'!M986</f>
        <v/>
      </c>
      <c r="E986" s="18">
        <f>'Raw Data'!M986/'Raw Data'!L986*100</f>
        <v/>
      </c>
      <c r="F986" s="14">
        <f>IF(E986&gt;15,"Wet Year",IF(E986&lt;-15,"Dry Year","Normal Year"))</f>
        <v/>
      </c>
      <c r="G986" s="16">
        <f>'Raw Data'!I986</f>
        <v/>
      </c>
      <c r="H986" s="14">
        <f>IF(G986&lt;15,"Low Variability",IF(G986&lt;=35,"Moderate Variability","High Variability"))</f>
        <v/>
      </c>
      <c r="I986" s="18">
        <f>'Raw Data'!O986</f>
        <v/>
      </c>
      <c r="J986" s="14">
        <f>IF(I986=0,"No Flood",IF(I986&lt;=0.5,"Low",IF(I986&lt;=2,"Moderate","High")))</f>
        <v/>
      </c>
    </row>
    <row r="987" ht="15" customHeight="1" s="12">
      <c r="A987" s="14">
        <f>'Raw Data'!A987</f>
        <v/>
      </c>
      <c r="B987" s="14">
        <f>'Raw Data'!B987</f>
        <v/>
      </c>
      <c r="C987" s="14">
        <f>'Raw Data'!C987</f>
        <v/>
      </c>
      <c r="D987" s="15">
        <f>'Raw Data'!M987</f>
        <v/>
      </c>
      <c r="E987" s="18">
        <f>'Raw Data'!M987/'Raw Data'!L987*100</f>
        <v/>
      </c>
      <c r="F987" s="14">
        <f>IF(E987&gt;15,"Wet Year",IF(E987&lt;-15,"Dry Year","Normal Year"))</f>
        <v/>
      </c>
      <c r="G987" s="16">
        <f>'Raw Data'!I987</f>
        <v/>
      </c>
      <c r="H987" s="14">
        <f>IF(G987&lt;15,"Low Variability",IF(G987&lt;=35,"Moderate Variability","High Variability"))</f>
        <v/>
      </c>
      <c r="I987" s="18">
        <f>'Raw Data'!O987</f>
        <v/>
      </c>
      <c r="J987" s="14">
        <f>IF(I987=0,"No Flood",IF(I987&lt;=0.5,"Low",IF(I987&lt;=2,"Moderate","High")))</f>
        <v/>
      </c>
    </row>
    <row r="988" ht="15" customHeight="1" s="12">
      <c r="A988" s="14">
        <f>'Raw Data'!A988</f>
        <v/>
      </c>
      <c r="B988" s="14">
        <f>'Raw Data'!B988</f>
        <v/>
      </c>
      <c r="C988" s="14">
        <f>'Raw Data'!C988</f>
        <v/>
      </c>
      <c r="D988" s="15">
        <f>'Raw Data'!M988</f>
        <v/>
      </c>
      <c r="E988" s="18">
        <f>'Raw Data'!M988/'Raw Data'!L988*100</f>
        <v/>
      </c>
      <c r="F988" s="14">
        <f>IF(E988&gt;15,"Wet Year",IF(E988&lt;-15,"Dry Year","Normal Year"))</f>
        <v/>
      </c>
      <c r="G988" s="16">
        <f>'Raw Data'!I988</f>
        <v/>
      </c>
      <c r="H988" s="14">
        <f>IF(G988&lt;15,"Low Variability",IF(G988&lt;=35,"Moderate Variability","High Variability"))</f>
        <v/>
      </c>
      <c r="I988" s="18">
        <f>'Raw Data'!O988</f>
        <v/>
      </c>
      <c r="J988" s="14">
        <f>IF(I988=0,"No Flood",IF(I988&lt;=0.5,"Low",IF(I988&lt;=2,"Moderate","High")))</f>
        <v/>
      </c>
    </row>
    <row r="989" ht="15" customHeight="1" s="12">
      <c r="A989" s="14">
        <f>'Raw Data'!A989</f>
        <v/>
      </c>
      <c r="B989" s="14">
        <f>'Raw Data'!B989</f>
        <v/>
      </c>
      <c r="C989" s="14">
        <f>'Raw Data'!C989</f>
        <v/>
      </c>
      <c r="D989" s="15">
        <f>'Raw Data'!M989</f>
        <v/>
      </c>
      <c r="E989" s="18">
        <f>'Raw Data'!M989/'Raw Data'!L989*100</f>
        <v/>
      </c>
      <c r="F989" s="14">
        <f>IF(E989&gt;15,"Wet Year",IF(E989&lt;-15,"Dry Year","Normal Year"))</f>
        <v/>
      </c>
      <c r="G989" s="16">
        <f>'Raw Data'!I989</f>
        <v/>
      </c>
      <c r="H989" s="14">
        <f>IF(G989&lt;15,"Low Variability",IF(G989&lt;=35,"Moderate Variability","High Variability"))</f>
        <v/>
      </c>
      <c r="I989" s="18">
        <f>'Raw Data'!O989</f>
        <v/>
      </c>
      <c r="J989" s="14">
        <f>IF(I989=0,"No Flood",IF(I989&lt;=0.5,"Low",IF(I989&lt;=2,"Moderate","High")))</f>
        <v/>
      </c>
    </row>
    <row r="990" ht="15" customHeight="1" s="12">
      <c r="A990" s="14">
        <f>'Raw Data'!A990</f>
        <v/>
      </c>
      <c r="B990" s="14">
        <f>'Raw Data'!B990</f>
        <v/>
      </c>
      <c r="C990" s="14">
        <f>'Raw Data'!C990</f>
        <v/>
      </c>
      <c r="D990" s="15">
        <f>'Raw Data'!M990</f>
        <v/>
      </c>
      <c r="E990" s="18">
        <f>'Raw Data'!M990/'Raw Data'!L990*100</f>
        <v/>
      </c>
      <c r="F990" s="14">
        <f>IF(E990&gt;15,"Wet Year",IF(E990&lt;-15,"Dry Year","Normal Year"))</f>
        <v/>
      </c>
      <c r="G990" s="16">
        <f>'Raw Data'!I990</f>
        <v/>
      </c>
      <c r="H990" s="14">
        <f>IF(G990&lt;15,"Low Variability",IF(G990&lt;=35,"Moderate Variability","High Variability"))</f>
        <v/>
      </c>
      <c r="I990" s="18">
        <f>'Raw Data'!O990</f>
        <v/>
      </c>
      <c r="J990" s="14">
        <f>IF(I990=0,"No Flood",IF(I990&lt;=0.5,"Low",IF(I990&lt;=2,"Moderate","High")))</f>
        <v/>
      </c>
    </row>
    <row r="991" ht="15" customHeight="1" s="12">
      <c r="A991" s="14">
        <f>'Raw Data'!A991</f>
        <v/>
      </c>
      <c r="B991" s="14">
        <f>'Raw Data'!B991</f>
        <v/>
      </c>
      <c r="C991" s="14">
        <f>'Raw Data'!C991</f>
        <v/>
      </c>
      <c r="D991" s="15">
        <f>'Raw Data'!M991</f>
        <v/>
      </c>
      <c r="E991" s="18">
        <f>'Raw Data'!M991/'Raw Data'!L991*100</f>
        <v/>
      </c>
      <c r="F991" s="14">
        <f>IF(E991&gt;15,"Wet Year",IF(E991&lt;-15,"Dry Year","Normal Year"))</f>
        <v/>
      </c>
      <c r="G991" s="16">
        <f>'Raw Data'!I991</f>
        <v/>
      </c>
      <c r="H991" s="14">
        <f>IF(G991&lt;15,"Low Variability",IF(G991&lt;=35,"Moderate Variability","High Variability"))</f>
        <v/>
      </c>
      <c r="I991" s="18">
        <f>'Raw Data'!O991</f>
        <v/>
      </c>
      <c r="J991" s="14">
        <f>IF(I991=0,"No Flood",IF(I991&lt;=0.5,"Low",IF(I991&lt;=2,"Moderate","High")))</f>
        <v/>
      </c>
    </row>
    <row r="992" ht="15" customHeight="1" s="12">
      <c r="A992" s="14">
        <f>'Raw Data'!A992</f>
        <v/>
      </c>
      <c r="B992" s="14">
        <f>'Raw Data'!B992</f>
        <v/>
      </c>
      <c r="C992" s="14">
        <f>'Raw Data'!C992</f>
        <v/>
      </c>
      <c r="D992" s="15">
        <f>'Raw Data'!M992</f>
        <v/>
      </c>
      <c r="E992" s="18">
        <f>'Raw Data'!M992/'Raw Data'!L992*100</f>
        <v/>
      </c>
      <c r="F992" s="14">
        <f>IF(E992&gt;15,"Wet Year",IF(E992&lt;-15,"Dry Year","Normal Year"))</f>
        <v/>
      </c>
      <c r="G992" s="16">
        <f>'Raw Data'!I992</f>
        <v/>
      </c>
      <c r="H992" s="14">
        <f>IF(G992&lt;15,"Low Variability",IF(G992&lt;=35,"Moderate Variability","High Variability"))</f>
        <v/>
      </c>
      <c r="I992" s="18">
        <f>'Raw Data'!O992</f>
        <v/>
      </c>
      <c r="J992" s="14">
        <f>IF(I992=0,"No Flood",IF(I992&lt;=0.5,"Low",IF(I992&lt;=2,"Moderate","High")))</f>
        <v/>
      </c>
    </row>
    <row r="993" ht="15" customHeight="1" s="12">
      <c r="A993" s="14">
        <f>'Raw Data'!A993</f>
        <v/>
      </c>
      <c r="B993" s="14">
        <f>'Raw Data'!B993</f>
        <v/>
      </c>
      <c r="C993" s="14">
        <f>'Raw Data'!C993</f>
        <v/>
      </c>
      <c r="D993" s="15">
        <f>'Raw Data'!M993</f>
        <v/>
      </c>
      <c r="E993" s="18">
        <f>'Raw Data'!M993/'Raw Data'!L993*100</f>
        <v/>
      </c>
      <c r="F993" s="14">
        <f>IF(E993&gt;15,"Wet Year",IF(E993&lt;-15,"Dry Year","Normal Year"))</f>
        <v/>
      </c>
      <c r="G993" s="16">
        <f>'Raw Data'!I993</f>
        <v/>
      </c>
      <c r="H993" s="14">
        <f>IF(G993&lt;15,"Low Variability",IF(G993&lt;=35,"Moderate Variability","High Variability"))</f>
        <v/>
      </c>
      <c r="I993" s="18">
        <f>'Raw Data'!O993</f>
        <v/>
      </c>
      <c r="J993" s="14">
        <f>IF(I993=0,"No Flood",IF(I993&lt;=0.5,"Low",IF(I993&lt;=2,"Moderate","High")))</f>
        <v/>
      </c>
    </row>
    <row r="994" ht="15" customHeight="1" s="12">
      <c r="A994" s="14">
        <f>'Raw Data'!A994</f>
        <v/>
      </c>
      <c r="B994" s="14">
        <f>'Raw Data'!B994</f>
        <v/>
      </c>
      <c r="C994" s="14">
        <f>'Raw Data'!C994</f>
        <v/>
      </c>
      <c r="D994" s="15">
        <f>'Raw Data'!M994</f>
        <v/>
      </c>
      <c r="E994" s="18">
        <f>'Raw Data'!M994/'Raw Data'!L994*100</f>
        <v/>
      </c>
      <c r="F994" s="14">
        <f>IF(E994&gt;15,"Wet Year",IF(E994&lt;-15,"Dry Year","Normal Year"))</f>
        <v/>
      </c>
      <c r="G994" s="16">
        <f>'Raw Data'!I994</f>
        <v/>
      </c>
      <c r="H994" s="14">
        <f>IF(G994&lt;15,"Low Variability",IF(G994&lt;=35,"Moderate Variability","High Variability"))</f>
        <v/>
      </c>
      <c r="I994" s="18">
        <f>'Raw Data'!O994</f>
        <v/>
      </c>
      <c r="J994" s="14">
        <f>IF(I994=0,"No Flood",IF(I994&lt;=0.5,"Low",IF(I994&lt;=2,"Moderate","High")))</f>
        <v/>
      </c>
    </row>
    <row r="995" ht="15" customHeight="1" s="12">
      <c r="A995" s="14">
        <f>'Raw Data'!A995</f>
        <v/>
      </c>
      <c r="B995" s="14">
        <f>'Raw Data'!B995</f>
        <v/>
      </c>
      <c r="C995" s="14">
        <f>'Raw Data'!C995</f>
        <v/>
      </c>
      <c r="D995" s="15">
        <f>'Raw Data'!M995</f>
        <v/>
      </c>
      <c r="E995" s="18">
        <f>'Raw Data'!M995/'Raw Data'!L995*100</f>
        <v/>
      </c>
      <c r="F995" s="14">
        <f>IF(E995&gt;15,"Wet Year",IF(E995&lt;-15,"Dry Year","Normal Year"))</f>
        <v/>
      </c>
      <c r="G995" s="16">
        <f>'Raw Data'!I995</f>
        <v/>
      </c>
      <c r="H995" s="14">
        <f>IF(G995&lt;15,"Low Variability",IF(G995&lt;=35,"Moderate Variability","High Variability"))</f>
        <v/>
      </c>
      <c r="I995" s="18">
        <f>'Raw Data'!O995</f>
        <v/>
      </c>
      <c r="J995" s="14">
        <f>IF(I995=0,"No Flood",IF(I995&lt;=0.5,"Low",IF(I995&lt;=2,"Moderate","High")))</f>
        <v/>
      </c>
    </row>
    <row r="996" ht="15" customHeight="1" s="12">
      <c r="A996" s="14">
        <f>'Raw Data'!A996</f>
        <v/>
      </c>
      <c r="B996" s="14">
        <f>'Raw Data'!B996</f>
        <v/>
      </c>
      <c r="C996" s="14">
        <f>'Raw Data'!C996</f>
        <v/>
      </c>
      <c r="D996" s="15">
        <f>'Raw Data'!M996</f>
        <v/>
      </c>
      <c r="E996" s="18">
        <f>'Raw Data'!M996/'Raw Data'!L996*100</f>
        <v/>
      </c>
      <c r="F996" s="14">
        <f>IF(E996&gt;15,"Wet Year",IF(E996&lt;-15,"Dry Year","Normal Year"))</f>
        <v/>
      </c>
      <c r="G996" s="16">
        <f>'Raw Data'!I996</f>
        <v/>
      </c>
      <c r="H996" s="14">
        <f>IF(G996&lt;15,"Low Variability",IF(G996&lt;=35,"Moderate Variability","High Variability"))</f>
        <v/>
      </c>
      <c r="I996" s="18">
        <f>'Raw Data'!O996</f>
        <v/>
      </c>
      <c r="J996" s="14">
        <f>IF(I996=0,"No Flood",IF(I996&lt;=0.5,"Low",IF(I996&lt;=2,"Moderate","High")))</f>
        <v/>
      </c>
    </row>
    <row r="997" ht="15" customHeight="1" s="12">
      <c r="A997" s="14">
        <f>'Raw Data'!A997</f>
        <v/>
      </c>
      <c r="B997" s="14">
        <f>'Raw Data'!B997</f>
        <v/>
      </c>
      <c r="C997" s="14">
        <f>'Raw Data'!C997</f>
        <v/>
      </c>
      <c r="D997" s="15">
        <f>'Raw Data'!M997</f>
        <v/>
      </c>
      <c r="E997" s="18">
        <f>'Raw Data'!M997/'Raw Data'!L997*100</f>
        <v/>
      </c>
      <c r="F997" s="14">
        <f>IF(E997&gt;15,"Wet Year",IF(E997&lt;-15,"Dry Year","Normal Year"))</f>
        <v/>
      </c>
      <c r="G997" s="16">
        <f>'Raw Data'!I997</f>
        <v/>
      </c>
      <c r="H997" s="14">
        <f>IF(G997&lt;15,"Low Variability",IF(G997&lt;=35,"Moderate Variability","High Variability"))</f>
        <v/>
      </c>
      <c r="I997" s="18">
        <f>'Raw Data'!O997</f>
        <v/>
      </c>
      <c r="J997" s="14">
        <f>IF(I997=0,"No Flood",IF(I997&lt;=0.5,"Low",IF(I997&lt;=2,"Moderate","High")))</f>
        <v/>
      </c>
    </row>
    <row r="998" ht="15" customHeight="1" s="12">
      <c r="A998" s="14">
        <f>'Raw Data'!A998</f>
        <v/>
      </c>
      <c r="B998" s="14">
        <f>'Raw Data'!B998</f>
        <v/>
      </c>
      <c r="C998" s="14">
        <f>'Raw Data'!C998</f>
        <v/>
      </c>
      <c r="D998" s="15">
        <f>'Raw Data'!M998</f>
        <v/>
      </c>
      <c r="E998" s="18">
        <f>'Raw Data'!M998/'Raw Data'!L998*100</f>
        <v/>
      </c>
      <c r="F998" s="14">
        <f>IF(E998&gt;15,"Wet Year",IF(E998&lt;-15,"Dry Year","Normal Year"))</f>
        <v/>
      </c>
      <c r="G998" s="16">
        <f>'Raw Data'!I998</f>
        <v/>
      </c>
      <c r="H998" s="14">
        <f>IF(G998&lt;15,"Low Variability",IF(G998&lt;=35,"Moderate Variability","High Variability"))</f>
        <v/>
      </c>
      <c r="I998" s="18">
        <f>'Raw Data'!O998</f>
        <v/>
      </c>
      <c r="J998" s="14">
        <f>IF(I998=0,"No Flood",IF(I998&lt;=0.5,"Low",IF(I998&lt;=2,"Moderate","High")))</f>
        <v/>
      </c>
    </row>
    <row r="999" ht="15" customHeight="1" s="12">
      <c r="A999" s="14">
        <f>'Raw Data'!A999</f>
        <v/>
      </c>
      <c r="B999" s="14">
        <f>'Raw Data'!B999</f>
        <v/>
      </c>
      <c r="C999" s="14">
        <f>'Raw Data'!C999</f>
        <v/>
      </c>
      <c r="D999" s="15">
        <f>'Raw Data'!M999</f>
        <v/>
      </c>
      <c r="E999" s="18">
        <f>'Raw Data'!M999/'Raw Data'!L999*100</f>
        <v/>
      </c>
      <c r="F999" s="14">
        <f>IF(E999&gt;15,"Wet Year",IF(E999&lt;-15,"Dry Year","Normal Year"))</f>
        <v/>
      </c>
      <c r="G999" s="16">
        <f>'Raw Data'!I999</f>
        <v/>
      </c>
      <c r="H999" s="14">
        <f>IF(G999&lt;15,"Low Variability",IF(G999&lt;=35,"Moderate Variability","High Variability"))</f>
        <v/>
      </c>
      <c r="I999" s="18">
        <f>'Raw Data'!O999</f>
        <v/>
      </c>
      <c r="J999" s="14">
        <f>IF(I999=0,"No Flood",IF(I999&lt;=0.5,"Low",IF(I999&lt;=2,"Moderate","High")))</f>
        <v/>
      </c>
    </row>
    <row r="1000" ht="15" customHeight="1" s="12">
      <c r="A1000" s="14">
        <f>'Raw Data'!A1000</f>
        <v/>
      </c>
      <c r="B1000" s="14">
        <f>'Raw Data'!B1000</f>
        <v/>
      </c>
      <c r="C1000" s="14">
        <f>'Raw Data'!C1000</f>
        <v/>
      </c>
      <c r="D1000" s="15">
        <f>'Raw Data'!M1000</f>
        <v/>
      </c>
      <c r="E1000" s="18">
        <f>'Raw Data'!M1000/'Raw Data'!L1000*100</f>
        <v/>
      </c>
      <c r="F1000" s="14">
        <f>IF(E1000&gt;15,"Wet Year",IF(E1000&lt;-15,"Dry Year","Normal Year"))</f>
        <v/>
      </c>
      <c r="G1000" s="16">
        <f>'Raw Data'!I1000</f>
        <v/>
      </c>
      <c r="H1000" s="14">
        <f>IF(G1000&lt;15,"Low Variability",IF(G1000&lt;=35,"Moderate Variability","High Variability"))</f>
        <v/>
      </c>
      <c r="I1000" s="18">
        <f>'Raw Data'!O1000</f>
        <v/>
      </c>
      <c r="J1000" s="14">
        <f>IF(I1000=0,"No Flood",IF(I1000&lt;=0.5,"Low",IF(I1000&lt;=2,"Moderate","High")))</f>
        <v/>
      </c>
    </row>
    <row r="1001" ht="15" customHeight="1" s="12">
      <c r="A1001" s="14">
        <f>'Raw Data'!A1001</f>
        <v/>
      </c>
      <c r="B1001" s="14">
        <f>'Raw Data'!B1001</f>
        <v/>
      </c>
      <c r="C1001" s="14">
        <f>'Raw Data'!C1001</f>
        <v/>
      </c>
      <c r="D1001" s="15">
        <f>'Raw Data'!M1001</f>
        <v/>
      </c>
      <c r="E1001" s="18">
        <f>'Raw Data'!M1001/'Raw Data'!L1001*100</f>
        <v/>
      </c>
      <c r="F1001" s="14">
        <f>IF(E1001&gt;15,"Wet Year",IF(E1001&lt;-15,"Dry Year","Normal Year"))</f>
        <v/>
      </c>
      <c r="G1001" s="16">
        <f>'Raw Data'!I1001</f>
        <v/>
      </c>
      <c r="H1001" s="14">
        <f>IF(G1001&lt;15,"Low Variability",IF(G1001&lt;=35,"Moderate Variability","High Variability"))</f>
        <v/>
      </c>
      <c r="I1001" s="18">
        <f>'Raw Data'!O1001</f>
        <v/>
      </c>
      <c r="J1001" s="14">
        <f>IF(I1001=0,"No Flood",IF(I1001&lt;=0.5,"Low",IF(I1001&lt;=2,"Moderate","High")))</f>
        <v/>
      </c>
    </row>
    <row r="1002" ht="15" customHeight="1" s="12">
      <c r="A1002" s="14">
        <f>'Raw Data'!A1002</f>
        <v/>
      </c>
      <c r="B1002" s="14">
        <f>'Raw Data'!B1002</f>
        <v/>
      </c>
      <c r="C1002" s="14">
        <f>'Raw Data'!C1002</f>
        <v/>
      </c>
      <c r="D1002" s="15">
        <f>'Raw Data'!M1002</f>
        <v/>
      </c>
      <c r="E1002" s="18">
        <f>'Raw Data'!M1002/'Raw Data'!L1002*100</f>
        <v/>
      </c>
      <c r="F1002" s="14">
        <f>IF(E1002&gt;15,"Wet Year",IF(E1002&lt;-15,"Dry Year","Normal Year"))</f>
        <v/>
      </c>
      <c r="G1002" s="16">
        <f>'Raw Data'!I1002</f>
        <v/>
      </c>
      <c r="H1002" s="14">
        <f>IF(G1002&lt;15,"Low Variability",IF(G1002&lt;=35,"Moderate Variability","High Variability"))</f>
        <v/>
      </c>
      <c r="I1002" s="18">
        <f>'Raw Data'!O1002</f>
        <v/>
      </c>
      <c r="J1002" s="14">
        <f>IF(I1002=0,"No Flood",IF(I1002&lt;=0.5,"Low",IF(I1002&lt;=2,"Moderate","High")))</f>
        <v/>
      </c>
    </row>
    <row r="1003" ht="15" customHeight="1" s="12">
      <c r="A1003" s="14">
        <f>'Raw Data'!A1003</f>
        <v/>
      </c>
      <c r="B1003" s="14">
        <f>'Raw Data'!B1003</f>
        <v/>
      </c>
      <c r="C1003" s="14">
        <f>'Raw Data'!C1003</f>
        <v/>
      </c>
      <c r="D1003" s="15">
        <f>'Raw Data'!M1003</f>
        <v/>
      </c>
      <c r="E1003" s="18">
        <f>'Raw Data'!M1003/'Raw Data'!L1003*100</f>
        <v/>
      </c>
      <c r="F1003" s="14">
        <f>IF(E1003&gt;15,"Wet Year",IF(E1003&lt;-15,"Dry Year","Normal Year"))</f>
        <v/>
      </c>
      <c r="G1003" s="16">
        <f>'Raw Data'!I1003</f>
        <v/>
      </c>
      <c r="H1003" s="14">
        <f>IF(G1003&lt;15,"Low Variability",IF(G1003&lt;=35,"Moderate Variability","High Variability"))</f>
        <v/>
      </c>
      <c r="I1003" s="18">
        <f>'Raw Data'!O1003</f>
        <v/>
      </c>
      <c r="J1003" s="14">
        <f>IF(I1003=0,"No Flood",IF(I1003&lt;=0.5,"Low",IF(I1003&lt;=2,"Moderate","High")))</f>
        <v/>
      </c>
    </row>
    <row r="1004" ht="15" customHeight="1" s="12">
      <c r="A1004" s="14">
        <f>'Raw Data'!A1004</f>
        <v/>
      </c>
      <c r="B1004" s="14">
        <f>'Raw Data'!B1004</f>
        <v/>
      </c>
      <c r="C1004" s="14">
        <f>'Raw Data'!C1004</f>
        <v/>
      </c>
      <c r="D1004" s="15">
        <f>'Raw Data'!M1004</f>
        <v/>
      </c>
      <c r="E1004" s="18">
        <f>'Raw Data'!M1004/'Raw Data'!L1004*100</f>
        <v/>
      </c>
      <c r="F1004" s="14">
        <f>IF(E1004&gt;15,"Wet Year",IF(E1004&lt;-15,"Dry Year","Normal Year"))</f>
        <v/>
      </c>
      <c r="G1004" s="16">
        <f>'Raw Data'!I1004</f>
        <v/>
      </c>
      <c r="H1004" s="14">
        <f>IF(G1004&lt;15,"Low Variability",IF(G1004&lt;=35,"Moderate Variability","High Variability"))</f>
        <v/>
      </c>
      <c r="I1004" s="18">
        <f>'Raw Data'!O1004</f>
        <v/>
      </c>
      <c r="J1004" s="14">
        <f>IF(I1004=0,"No Flood",IF(I1004&lt;=0.5,"Low",IF(I1004&lt;=2,"Moderate","High")))</f>
        <v/>
      </c>
    </row>
    <row r="1005" ht="15" customHeight="1" s="12">
      <c r="A1005" s="14">
        <f>'Raw Data'!A1005</f>
        <v/>
      </c>
      <c r="B1005" s="14">
        <f>'Raw Data'!B1005</f>
        <v/>
      </c>
      <c r="C1005" s="14">
        <f>'Raw Data'!C1005</f>
        <v/>
      </c>
      <c r="D1005" s="15">
        <f>'Raw Data'!M1005</f>
        <v/>
      </c>
      <c r="E1005" s="18">
        <f>'Raw Data'!M1005/'Raw Data'!L1005*100</f>
        <v/>
      </c>
      <c r="F1005" s="14">
        <f>IF(E1005&gt;15,"Wet Year",IF(E1005&lt;-15,"Dry Year","Normal Year"))</f>
        <v/>
      </c>
      <c r="G1005" s="16">
        <f>'Raw Data'!I1005</f>
        <v/>
      </c>
      <c r="H1005" s="14">
        <f>IF(G1005&lt;15,"Low Variability",IF(G1005&lt;=35,"Moderate Variability","High Variability"))</f>
        <v/>
      </c>
      <c r="I1005" s="18">
        <f>'Raw Data'!O1005</f>
        <v/>
      </c>
      <c r="J1005" s="14">
        <f>IF(I1005=0,"No Flood",IF(I1005&lt;=0.5,"Low",IF(I1005&lt;=2,"Moderate","High")))</f>
        <v/>
      </c>
    </row>
    <row r="1006" ht="15" customHeight="1" s="12">
      <c r="A1006" s="14">
        <f>'Raw Data'!A1006</f>
        <v/>
      </c>
      <c r="B1006" s="14">
        <f>'Raw Data'!B1006</f>
        <v/>
      </c>
      <c r="C1006" s="14">
        <f>'Raw Data'!C1006</f>
        <v/>
      </c>
      <c r="D1006" s="15">
        <f>'Raw Data'!M1006</f>
        <v/>
      </c>
      <c r="E1006" s="18">
        <f>'Raw Data'!M1006/'Raw Data'!L1006*100</f>
        <v/>
      </c>
      <c r="F1006" s="14">
        <f>IF(E1006&gt;15,"Wet Year",IF(E1006&lt;-15,"Dry Year","Normal Year"))</f>
        <v/>
      </c>
      <c r="G1006" s="16">
        <f>'Raw Data'!I1006</f>
        <v/>
      </c>
      <c r="H1006" s="14">
        <f>IF(G1006&lt;15,"Low Variability",IF(G1006&lt;=35,"Moderate Variability","High Variability"))</f>
        <v/>
      </c>
      <c r="I1006" s="18">
        <f>'Raw Data'!O1006</f>
        <v/>
      </c>
      <c r="J1006" s="14">
        <f>IF(I1006=0,"No Flood",IF(I1006&lt;=0.5,"Low",IF(I1006&lt;=2,"Moderate","High")))</f>
        <v/>
      </c>
    </row>
    <row r="1007" ht="15" customHeight="1" s="12">
      <c r="A1007" s="14">
        <f>'Raw Data'!A1007</f>
        <v/>
      </c>
      <c r="B1007" s="14">
        <f>'Raw Data'!B1007</f>
        <v/>
      </c>
      <c r="C1007" s="14">
        <f>'Raw Data'!C1007</f>
        <v/>
      </c>
      <c r="D1007" s="15">
        <f>'Raw Data'!M1007</f>
        <v/>
      </c>
      <c r="E1007" s="18">
        <f>'Raw Data'!M1007/'Raw Data'!L1007*100</f>
        <v/>
      </c>
      <c r="F1007" s="14">
        <f>IF(E1007&gt;15,"Wet Year",IF(E1007&lt;-15,"Dry Year","Normal Year"))</f>
        <v/>
      </c>
      <c r="G1007" s="16">
        <f>'Raw Data'!I1007</f>
        <v/>
      </c>
      <c r="H1007" s="14">
        <f>IF(G1007&lt;15,"Low Variability",IF(G1007&lt;=35,"Moderate Variability","High Variability"))</f>
        <v/>
      </c>
      <c r="I1007" s="18">
        <f>'Raw Data'!O1007</f>
        <v/>
      </c>
      <c r="J1007" s="14">
        <f>IF(I1007=0,"No Flood",IF(I1007&lt;=0.5,"Low",IF(I1007&lt;=2,"Moderate","High")))</f>
        <v/>
      </c>
    </row>
    <row r="1008" ht="15" customHeight="1" s="12">
      <c r="A1008" s="14">
        <f>'Raw Data'!A1008</f>
        <v/>
      </c>
      <c r="B1008" s="14">
        <f>'Raw Data'!B1008</f>
        <v/>
      </c>
      <c r="C1008" s="14">
        <f>'Raw Data'!C1008</f>
        <v/>
      </c>
      <c r="D1008" s="15">
        <f>'Raw Data'!M1008</f>
        <v/>
      </c>
      <c r="E1008" s="18">
        <f>'Raw Data'!M1008/'Raw Data'!L1008*100</f>
        <v/>
      </c>
      <c r="F1008" s="14">
        <f>IF(E1008&gt;15,"Wet Year",IF(E1008&lt;-15,"Dry Year","Normal Year"))</f>
        <v/>
      </c>
      <c r="G1008" s="16">
        <f>'Raw Data'!I1008</f>
        <v/>
      </c>
      <c r="H1008" s="14">
        <f>IF(G1008&lt;15,"Low Variability",IF(G1008&lt;=35,"Moderate Variability","High Variability"))</f>
        <v/>
      </c>
      <c r="I1008" s="18">
        <f>'Raw Data'!O1008</f>
        <v/>
      </c>
      <c r="J1008" s="14">
        <f>IF(I1008=0,"No Flood",IF(I1008&lt;=0.5,"Low",IF(I1008&lt;=2,"Moderate","High")))</f>
        <v/>
      </c>
    </row>
    <row r="1009" ht="15" customHeight="1" s="12">
      <c r="A1009" s="14">
        <f>'Raw Data'!A1009</f>
        <v/>
      </c>
      <c r="B1009" s="14">
        <f>'Raw Data'!B1009</f>
        <v/>
      </c>
      <c r="C1009" s="14">
        <f>'Raw Data'!C1009</f>
        <v/>
      </c>
      <c r="D1009" s="15">
        <f>'Raw Data'!M1009</f>
        <v/>
      </c>
      <c r="E1009" s="18">
        <f>'Raw Data'!M1009/'Raw Data'!L1009*100</f>
        <v/>
      </c>
      <c r="F1009" s="14">
        <f>IF(E1009&gt;15,"Wet Year",IF(E1009&lt;-15,"Dry Year","Normal Year"))</f>
        <v/>
      </c>
      <c r="G1009" s="16">
        <f>'Raw Data'!I1009</f>
        <v/>
      </c>
      <c r="H1009" s="14">
        <f>IF(G1009&lt;15,"Low Variability",IF(G1009&lt;=35,"Moderate Variability","High Variability"))</f>
        <v/>
      </c>
      <c r="I1009" s="18">
        <f>'Raw Data'!O1009</f>
        <v/>
      </c>
      <c r="J1009" s="14">
        <f>IF(I1009=0,"No Flood",IF(I1009&lt;=0.5,"Low",IF(I1009&lt;=2,"Moderate","High")))</f>
        <v/>
      </c>
    </row>
    <row r="1010" ht="15" customHeight="1" s="12">
      <c r="A1010" s="14">
        <f>'Raw Data'!A1010</f>
        <v/>
      </c>
      <c r="B1010" s="14">
        <f>'Raw Data'!B1010</f>
        <v/>
      </c>
      <c r="C1010" s="14">
        <f>'Raw Data'!C1010</f>
        <v/>
      </c>
      <c r="D1010" s="15">
        <f>'Raw Data'!M1010</f>
        <v/>
      </c>
      <c r="E1010" s="18">
        <f>'Raw Data'!M1010/'Raw Data'!L1010*100</f>
        <v/>
      </c>
      <c r="F1010" s="14">
        <f>IF(E1010&gt;15,"Wet Year",IF(E1010&lt;-15,"Dry Year","Normal Year"))</f>
        <v/>
      </c>
      <c r="G1010" s="16">
        <f>'Raw Data'!I1010</f>
        <v/>
      </c>
      <c r="H1010" s="14">
        <f>IF(G1010&lt;15,"Low Variability",IF(G1010&lt;=35,"Moderate Variability","High Variability"))</f>
        <v/>
      </c>
      <c r="I1010" s="18">
        <f>'Raw Data'!O1010</f>
        <v/>
      </c>
      <c r="J1010" s="14">
        <f>IF(I1010=0,"No Flood",IF(I1010&lt;=0.5,"Low",IF(I1010&lt;=2,"Moderate","High")))</f>
        <v/>
      </c>
    </row>
    <row r="1011" ht="15" customHeight="1" s="12">
      <c r="A1011" s="14">
        <f>'Raw Data'!A1011</f>
        <v/>
      </c>
      <c r="B1011" s="14">
        <f>'Raw Data'!B1011</f>
        <v/>
      </c>
      <c r="C1011" s="14">
        <f>'Raw Data'!C1011</f>
        <v/>
      </c>
      <c r="D1011" s="15">
        <f>'Raw Data'!M1011</f>
        <v/>
      </c>
      <c r="E1011" s="18">
        <f>'Raw Data'!M1011/'Raw Data'!L1011*100</f>
        <v/>
      </c>
      <c r="F1011" s="14">
        <f>IF(E1011&gt;15,"Wet Year",IF(E1011&lt;-15,"Dry Year","Normal Year"))</f>
        <v/>
      </c>
      <c r="G1011" s="16">
        <f>'Raw Data'!I1011</f>
        <v/>
      </c>
      <c r="H1011" s="14">
        <f>IF(G1011&lt;15,"Low Variability",IF(G1011&lt;=35,"Moderate Variability","High Variability"))</f>
        <v/>
      </c>
      <c r="I1011" s="18">
        <f>'Raw Data'!O1011</f>
        <v/>
      </c>
      <c r="J1011" s="14">
        <f>IF(I1011=0,"No Flood",IF(I1011&lt;=0.5,"Low",IF(I1011&lt;=2,"Moderate","High")))</f>
        <v/>
      </c>
    </row>
    <row r="1012" ht="15" customHeight="1" s="12">
      <c r="A1012" s="14">
        <f>'Raw Data'!A1012</f>
        <v/>
      </c>
      <c r="B1012" s="14">
        <f>'Raw Data'!B1012</f>
        <v/>
      </c>
      <c r="C1012" s="14">
        <f>'Raw Data'!C1012</f>
        <v/>
      </c>
      <c r="D1012" s="15">
        <f>'Raw Data'!M1012</f>
        <v/>
      </c>
      <c r="E1012" s="18">
        <f>'Raw Data'!M1012/'Raw Data'!L1012*100</f>
        <v/>
      </c>
      <c r="F1012" s="14">
        <f>IF(E1012&gt;15,"Wet Year",IF(E1012&lt;-15,"Dry Year","Normal Year"))</f>
        <v/>
      </c>
      <c r="G1012" s="16">
        <f>'Raw Data'!I1012</f>
        <v/>
      </c>
      <c r="H1012" s="14">
        <f>IF(G1012&lt;15,"Low Variability",IF(G1012&lt;=35,"Moderate Variability","High Variability"))</f>
        <v/>
      </c>
      <c r="I1012" s="18">
        <f>'Raw Data'!O1012</f>
        <v/>
      </c>
      <c r="J1012" s="14">
        <f>IF(I1012=0,"No Flood",IF(I1012&lt;=0.5,"Low",IF(I1012&lt;=2,"Moderate","High")))</f>
        <v/>
      </c>
    </row>
    <row r="1013" ht="15" customHeight="1" s="12">
      <c r="A1013" s="14">
        <f>'Raw Data'!A1013</f>
        <v/>
      </c>
      <c r="B1013" s="14">
        <f>'Raw Data'!B1013</f>
        <v/>
      </c>
      <c r="C1013" s="14">
        <f>'Raw Data'!C1013</f>
        <v/>
      </c>
      <c r="D1013" s="15">
        <f>'Raw Data'!M1013</f>
        <v/>
      </c>
      <c r="E1013" s="18">
        <f>'Raw Data'!M1013/'Raw Data'!L1013*100</f>
        <v/>
      </c>
      <c r="F1013" s="14">
        <f>IF(E1013&gt;15,"Wet Year",IF(E1013&lt;-15,"Dry Year","Normal Year"))</f>
        <v/>
      </c>
      <c r="G1013" s="16">
        <f>'Raw Data'!I1013</f>
        <v/>
      </c>
      <c r="H1013" s="14">
        <f>IF(G1013&lt;15,"Low Variability",IF(G1013&lt;=35,"Moderate Variability","High Variability"))</f>
        <v/>
      </c>
      <c r="I1013" s="18">
        <f>'Raw Data'!O1013</f>
        <v/>
      </c>
      <c r="J1013" s="14">
        <f>IF(I1013=0,"No Flood",IF(I1013&lt;=0.5,"Low",IF(I1013&lt;=2,"Moderate","High")))</f>
        <v/>
      </c>
    </row>
    <row r="1014" ht="15" customHeight="1" s="12">
      <c r="A1014" s="14">
        <f>'Raw Data'!A1014</f>
        <v/>
      </c>
      <c r="B1014" s="14">
        <f>'Raw Data'!B1014</f>
        <v/>
      </c>
      <c r="C1014" s="14">
        <f>'Raw Data'!C1014</f>
        <v/>
      </c>
      <c r="D1014" s="15">
        <f>'Raw Data'!M1014</f>
        <v/>
      </c>
      <c r="E1014" s="18">
        <f>'Raw Data'!M1014/'Raw Data'!L1014*100</f>
        <v/>
      </c>
      <c r="F1014" s="14">
        <f>IF(E1014&gt;15,"Wet Year",IF(E1014&lt;-15,"Dry Year","Normal Year"))</f>
        <v/>
      </c>
      <c r="G1014" s="16">
        <f>'Raw Data'!I1014</f>
        <v/>
      </c>
      <c r="H1014" s="14">
        <f>IF(G1014&lt;15,"Low Variability",IF(G1014&lt;=35,"Moderate Variability","High Variability"))</f>
        <v/>
      </c>
      <c r="I1014" s="18">
        <f>'Raw Data'!O1014</f>
        <v/>
      </c>
      <c r="J1014" s="14">
        <f>IF(I1014=0,"No Flood",IF(I1014&lt;=0.5,"Low",IF(I1014&lt;=2,"Moderate","High")))</f>
        <v/>
      </c>
    </row>
    <row r="1015" ht="15" customHeight="1" s="12">
      <c r="A1015" s="14">
        <f>'Raw Data'!A1015</f>
        <v/>
      </c>
      <c r="B1015" s="14">
        <f>'Raw Data'!B1015</f>
        <v/>
      </c>
      <c r="C1015" s="14">
        <f>'Raw Data'!C1015</f>
        <v/>
      </c>
      <c r="D1015" s="15">
        <f>'Raw Data'!M1015</f>
        <v/>
      </c>
      <c r="E1015" s="18">
        <f>'Raw Data'!M1015/'Raw Data'!L1015*100</f>
        <v/>
      </c>
      <c r="F1015" s="14">
        <f>IF(E1015&gt;15,"Wet Year",IF(E1015&lt;-15,"Dry Year","Normal Year"))</f>
        <v/>
      </c>
      <c r="G1015" s="16">
        <f>'Raw Data'!I1015</f>
        <v/>
      </c>
      <c r="H1015" s="14">
        <f>IF(G1015&lt;15,"Low Variability",IF(G1015&lt;=35,"Moderate Variability","High Variability"))</f>
        <v/>
      </c>
      <c r="I1015" s="18">
        <f>'Raw Data'!O1015</f>
        <v/>
      </c>
      <c r="J1015" s="14">
        <f>IF(I1015=0,"No Flood",IF(I1015&lt;=0.5,"Low",IF(I1015&lt;=2,"Moderate","High")))</f>
        <v/>
      </c>
    </row>
    <row r="1016" ht="15" customHeight="1" s="12">
      <c r="A1016" s="14">
        <f>'Raw Data'!A1016</f>
        <v/>
      </c>
      <c r="B1016" s="14">
        <f>'Raw Data'!B1016</f>
        <v/>
      </c>
      <c r="C1016" s="14">
        <f>'Raw Data'!C1016</f>
        <v/>
      </c>
      <c r="D1016" s="15">
        <f>'Raw Data'!M1016</f>
        <v/>
      </c>
      <c r="E1016" s="18">
        <f>'Raw Data'!M1016/'Raw Data'!L1016*100</f>
        <v/>
      </c>
      <c r="F1016" s="14">
        <f>IF(E1016&gt;15,"Wet Year",IF(E1016&lt;-15,"Dry Year","Normal Year"))</f>
        <v/>
      </c>
      <c r="G1016" s="16">
        <f>'Raw Data'!I1016</f>
        <v/>
      </c>
      <c r="H1016" s="14">
        <f>IF(G1016&lt;15,"Low Variability",IF(G1016&lt;=35,"Moderate Variability","High Variability"))</f>
        <v/>
      </c>
      <c r="I1016" s="18">
        <f>'Raw Data'!O1016</f>
        <v/>
      </c>
      <c r="J1016" s="14">
        <f>IF(I1016=0,"No Flood",IF(I1016&lt;=0.5,"Low",IF(I1016&lt;=2,"Moderate","High")))</f>
        <v/>
      </c>
    </row>
    <row r="1017" ht="15" customHeight="1" s="12">
      <c r="A1017" s="14">
        <f>'Raw Data'!A1017</f>
        <v/>
      </c>
      <c r="B1017" s="14">
        <f>'Raw Data'!B1017</f>
        <v/>
      </c>
      <c r="C1017" s="14">
        <f>'Raw Data'!C1017</f>
        <v/>
      </c>
      <c r="D1017" s="15">
        <f>'Raw Data'!M1017</f>
        <v/>
      </c>
      <c r="E1017" s="18">
        <f>'Raw Data'!M1017/'Raw Data'!L1017*100</f>
        <v/>
      </c>
      <c r="F1017" s="14">
        <f>IF(E1017&gt;15,"Wet Year",IF(E1017&lt;-15,"Dry Year","Normal Year"))</f>
        <v/>
      </c>
      <c r="G1017" s="16">
        <f>'Raw Data'!I1017</f>
        <v/>
      </c>
      <c r="H1017" s="14">
        <f>IF(G1017&lt;15,"Low Variability",IF(G1017&lt;=35,"Moderate Variability","High Variability"))</f>
        <v/>
      </c>
      <c r="I1017" s="18">
        <f>'Raw Data'!O1017</f>
        <v/>
      </c>
      <c r="J1017" s="14">
        <f>IF(I1017=0,"No Flood",IF(I1017&lt;=0.5,"Low",IF(I1017&lt;=2,"Moderate","High")))</f>
        <v/>
      </c>
    </row>
    <row r="1018" ht="15" customHeight="1" s="12">
      <c r="A1018" s="14">
        <f>'Raw Data'!A1018</f>
        <v/>
      </c>
      <c r="B1018" s="14">
        <f>'Raw Data'!B1018</f>
        <v/>
      </c>
      <c r="C1018" s="14">
        <f>'Raw Data'!C1018</f>
        <v/>
      </c>
      <c r="D1018" s="15">
        <f>'Raw Data'!M1018</f>
        <v/>
      </c>
      <c r="E1018" s="18">
        <f>'Raw Data'!M1018/'Raw Data'!L1018*100</f>
        <v/>
      </c>
      <c r="F1018" s="14">
        <f>IF(E1018&gt;15,"Wet Year",IF(E1018&lt;-15,"Dry Year","Normal Year"))</f>
        <v/>
      </c>
      <c r="G1018" s="16">
        <f>'Raw Data'!I1018</f>
        <v/>
      </c>
      <c r="H1018" s="14">
        <f>IF(G1018&lt;15,"Low Variability",IF(G1018&lt;=35,"Moderate Variability","High Variability"))</f>
        <v/>
      </c>
      <c r="I1018" s="18">
        <f>'Raw Data'!O1018</f>
        <v/>
      </c>
      <c r="J1018" s="14">
        <f>IF(I1018=0,"No Flood",IF(I1018&lt;=0.5,"Low",IF(I1018&lt;=2,"Moderate","High")))</f>
        <v/>
      </c>
    </row>
    <row r="1019" ht="15" customHeight="1" s="12">
      <c r="A1019" s="14">
        <f>'Raw Data'!A1019</f>
        <v/>
      </c>
      <c r="B1019" s="14">
        <f>'Raw Data'!B1019</f>
        <v/>
      </c>
      <c r="C1019" s="14">
        <f>'Raw Data'!C1019</f>
        <v/>
      </c>
      <c r="D1019" s="15">
        <f>'Raw Data'!M1019</f>
        <v/>
      </c>
      <c r="E1019" s="18">
        <f>'Raw Data'!M1019/'Raw Data'!L1019*100</f>
        <v/>
      </c>
      <c r="F1019" s="14">
        <f>IF(E1019&gt;15,"Wet Year",IF(E1019&lt;-15,"Dry Year","Normal Year"))</f>
        <v/>
      </c>
      <c r="G1019" s="16">
        <f>'Raw Data'!I1019</f>
        <v/>
      </c>
      <c r="H1019" s="14">
        <f>IF(G1019&lt;15,"Low Variability",IF(G1019&lt;=35,"Moderate Variability","High Variability"))</f>
        <v/>
      </c>
      <c r="I1019" s="18">
        <f>'Raw Data'!O1019</f>
        <v/>
      </c>
      <c r="J1019" s="14">
        <f>IF(I1019=0,"No Flood",IF(I1019&lt;=0.5,"Low",IF(I1019&lt;=2,"Moderate","High")))</f>
        <v/>
      </c>
    </row>
    <row r="1020" ht="15" customHeight="1" s="12">
      <c r="A1020" s="14">
        <f>'Raw Data'!A1020</f>
        <v/>
      </c>
      <c r="B1020" s="14">
        <f>'Raw Data'!B1020</f>
        <v/>
      </c>
      <c r="C1020" s="14">
        <f>'Raw Data'!C1020</f>
        <v/>
      </c>
      <c r="D1020" s="15">
        <f>'Raw Data'!M1020</f>
        <v/>
      </c>
      <c r="E1020" s="18">
        <f>'Raw Data'!M1020/'Raw Data'!L1020*100</f>
        <v/>
      </c>
      <c r="F1020" s="14">
        <f>IF(E1020&gt;15,"Wet Year",IF(E1020&lt;-15,"Dry Year","Normal Year"))</f>
        <v/>
      </c>
      <c r="G1020" s="16">
        <f>'Raw Data'!I1020</f>
        <v/>
      </c>
      <c r="H1020" s="14">
        <f>IF(G1020&lt;15,"Low Variability",IF(G1020&lt;=35,"Moderate Variability","High Variability"))</f>
        <v/>
      </c>
      <c r="I1020" s="18">
        <f>'Raw Data'!O1020</f>
        <v/>
      </c>
      <c r="J1020" s="14">
        <f>IF(I1020=0,"No Flood",IF(I1020&lt;=0.5,"Low",IF(I1020&lt;=2,"Moderate","High")))</f>
        <v/>
      </c>
    </row>
    <row r="1021" ht="15" customHeight="1" s="12">
      <c r="A1021" s="14">
        <f>'Raw Data'!A1021</f>
        <v/>
      </c>
      <c r="B1021" s="14">
        <f>'Raw Data'!B1021</f>
        <v/>
      </c>
      <c r="C1021" s="14">
        <f>'Raw Data'!C1021</f>
        <v/>
      </c>
      <c r="D1021" s="15">
        <f>'Raw Data'!M1021</f>
        <v/>
      </c>
      <c r="E1021" s="18">
        <f>'Raw Data'!M1021/'Raw Data'!L1021*100</f>
        <v/>
      </c>
      <c r="F1021" s="14">
        <f>IF(E1021&gt;15,"Wet Year",IF(E1021&lt;-15,"Dry Year","Normal Year"))</f>
        <v/>
      </c>
      <c r="G1021" s="16">
        <f>'Raw Data'!I1021</f>
        <v/>
      </c>
      <c r="H1021" s="14">
        <f>IF(G1021&lt;15,"Low Variability",IF(G1021&lt;=35,"Moderate Variability","High Variability"))</f>
        <v/>
      </c>
      <c r="I1021" s="18">
        <f>'Raw Data'!O1021</f>
        <v/>
      </c>
      <c r="J1021" s="14">
        <f>IF(I1021=0,"No Flood",IF(I1021&lt;=0.5,"Low",IF(I1021&lt;=2,"Moderate","High")))</f>
        <v/>
      </c>
    </row>
    <row r="1022" ht="15" customHeight="1" s="12">
      <c r="A1022" s="14">
        <f>'Raw Data'!A1022</f>
        <v/>
      </c>
      <c r="B1022" s="14">
        <f>'Raw Data'!B1022</f>
        <v/>
      </c>
      <c r="C1022" s="14">
        <f>'Raw Data'!C1022</f>
        <v/>
      </c>
      <c r="D1022" s="15">
        <f>'Raw Data'!M1022</f>
        <v/>
      </c>
      <c r="E1022" s="18">
        <f>'Raw Data'!M1022/'Raw Data'!L1022*100</f>
        <v/>
      </c>
      <c r="F1022" s="14">
        <f>IF(E1022&gt;15,"Wet Year",IF(E1022&lt;-15,"Dry Year","Normal Year"))</f>
        <v/>
      </c>
      <c r="G1022" s="16">
        <f>'Raw Data'!I1022</f>
        <v/>
      </c>
      <c r="H1022" s="14">
        <f>IF(G1022&lt;15,"Low Variability",IF(G1022&lt;=35,"Moderate Variability","High Variability"))</f>
        <v/>
      </c>
      <c r="I1022" s="18">
        <f>'Raw Data'!O1022</f>
        <v/>
      </c>
      <c r="J1022" s="14">
        <f>IF(I1022=0,"No Flood",IF(I1022&lt;=0.5,"Low",IF(I1022&lt;=2,"Moderate","High")))</f>
        <v/>
      </c>
    </row>
    <row r="1023" ht="15" customHeight="1" s="12">
      <c r="A1023" s="14">
        <f>'Raw Data'!A1023</f>
        <v/>
      </c>
      <c r="B1023" s="14">
        <f>'Raw Data'!B1023</f>
        <v/>
      </c>
      <c r="C1023" s="14">
        <f>'Raw Data'!C1023</f>
        <v/>
      </c>
      <c r="D1023" s="15">
        <f>'Raw Data'!M1023</f>
        <v/>
      </c>
      <c r="E1023" s="18">
        <f>'Raw Data'!M1023/'Raw Data'!L1023*100</f>
        <v/>
      </c>
      <c r="F1023" s="14">
        <f>IF(E1023&gt;15,"Wet Year",IF(E1023&lt;-15,"Dry Year","Normal Year"))</f>
        <v/>
      </c>
      <c r="G1023" s="16">
        <f>'Raw Data'!I1023</f>
        <v/>
      </c>
      <c r="H1023" s="14">
        <f>IF(G1023&lt;15,"Low Variability",IF(G1023&lt;=35,"Moderate Variability","High Variability"))</f>
        <v/>
      </c>
      <c r="I1023" s="18">
        <f>'Raw Data'!O1023</f>
        <v/>
      </c>
      <c r="J1023" s="14">
        <f>IF(I1023=0,"No Flood",IF(I1023&lt;=0.5,"Low",IF(I1023&lt;=2,"Moderate","High")))</f>
        <v/>
      </c>
    </row>
    <row r="1024" ht="15" customHeight="1" s="12">
      <c r="A1024" s="14">
        <f>'Raw Data'!A1024</f>
        <v/>
      </c>
      <c r="B1024" s="14">
        <f>'Raw Data'!B1024</f>
        <v/>
      </c>
      <c r="C1024" s="14">
        <f>'Raw Data'!C1024</f>
        <v/>
      </c>
      <c r="D1024" s="15">
        <f>'Raw Data'!M1024</f>
        <v/>
      </c>
      <c r="E1024" s="18">
        <f>'Raw Data'!M1024/'Raw Data'!L1024*100</f>
        <v/>
      </c>
      <c r="F1024" s="14">
        <f>IF(E1024&gt;15,"Wet Year",IF(E1024&lt;-15,"Dry Year","Normal Year"))</f>
        <v/>
      </c>
      <c r="G1024" s="16">
        <f>'Raw Data'!I1024</f>
        <v/>
      </c>
      <c r="H1024" s="14">
        <f>IF(G1024&lt;15,"Low Variability",IF(G1024&lt;=35,"Moderate Variability","High Variability"))</f>
        <v/>
      </c>
      <c r="I1024" s="18">
        <f>'Raw Data'!O1024</f>
        <v/>
      </c>
      <c r="J1024" s="14">
        <f>IF(I1024=0,"No Flood",IF(I1024&lt;=0.5,"Low",IF(I1024&lt;=2,"Moderate","High")))</f>
        <v/>
      </c>
    </row>
    <row r="1025" ht="15" customHeight="1" s="12">
      <c r="A1025" s="14">
        <f>'Raw Data'!A1025</f>
        <v/>
      </c>
      <c r="B1025" s="14">
        <f>'Raw Data'!B1025</f>
        <v/>
      </c>
      <c r="C1025" s="14">
        <f>'Raw Data'!C1025</f>
        <v/>
      </c>
      <c r="D1025" s="15">
        <f>'Raw Data'!M1025</f>
        <v/>
      </c>
      <c r="E1025" s="18">
        <f>'Raw Data'!M1025/'Raw Data'!L1025*100</f>
        <v/>
      </c>
      <c r="F1025" s="14">
        <f>IF(E1025&gt;15,"Wet Year",IF(E1025&lt;-15,"Dry Year","Normal Year"))</f>
        <v/>
      </c>
      <c r="G1025" s="16">
        <f>'Raw Data'!I1025</f>
        <v/>
      </c>
      <c r="H1025" s="14">
        <f>IF(G1025&lt;15,"Low Variability",IF(G1025&lt;=35,"Moderate Variability","High Variability"))</f>
        <v/>
      </c>
      <c r="I1025" s="18">
        <f>'Raw Data'!O1025</f>
        <v/>
      </c>
      <c r="J1025" s="14">
        <f>IF(I1025=0,"No Flood",IF(I1025&lt;=0.5,"Low",IF(I1025&lt;=2,"Moderate","High")))</f>
        <v/>
      </c>
    </row>
    <row r="1026" ht="15" customHeight="1" s="12">
      <c r="A1026" s="14">
        <f>'Raw Data'!A1026</f>
        <v/>
      </c>
      <c r="B1026" s="14">
        <f>'Raw Data'!B1026</f>
        <v/>
      </c>
      <c r="C1026" s="14">
        <f>'Raw Data'!C1026</f>
        <v/>
      </c>
      <c r="D1026" s="15">
        <f>'Raw Data'!M1026</f>
        <v/>
      </c>
      <c r="E1026" s="18">
        <f>'Raw Data'!M1026/'Raw Data'!L1026*100</f>
        <v/>
      </c>
      <c r="F1026" s="14">
        <f>IF(E1026&gt;15,"Wet Year",IF(E1026&lt;-15,"Dry Year","Normal Year"))</f>
        <v/>
      </c>
      <c r="G1026" s="16">
        <f>'Raw Data'!I1026</f>
        <v/>
      </c>
      <c r="H1026" s="14">
        <f>IF(G1026&lt;15,"Low Variability",IF(G1026&lt;=35,"Moderate Variability","High Variability"))</f>
        <v/>
      </c>
      <c r="I1026" s="18">
        <f>'Raw Data'!O1026</f>
        <v/>
      </c>
      <c r="J1026" s="14">
        <f>IF(I1026=0,"No Flood",IF(I1026&lt;=0.5,"Low",IF(I1026&lt;=2,"Moderate","High")))</f>
        <v/>
      </c>
    </row>
    <row r="1027" ht="15" customHeight="1" s="12">
      <c r="A1027" s="14">
        <f>'Raw Data'!A1027</f>
        <v/>
      </c>
      <c r="B1027" s="14">
        <f>'Raw Data'!B1027</f>
        <v/>
      </c>
      <c r="C1027" s="14">
        <f>'Raw Data'!C1027</f>
        <v/>
      </c>
      <c r="D1027" s="15">
        <f>'Raw Data'!M1027</f>
        <v/>
      </c>
      <c r="E1027" s="18">
        <f>'Raw Data'!M1027/'Raw Data'!L1027*100</f>
        <v/>
      </c>
      <c r="F1027" s="14">
        <f>IF(E1027&gt;15,"Wet Year",IF(E1027&lt;-15,"Dry Year","Normal Year"))</f>
        <v/>
      </c>
      <c r="G1027" s="16">
        <f>'Raw Data'!I1027</f>
        <v/>
      </c>
      <c r="H1027" s="14">
        <f>IF(G1027&lt;15,"Low Variability",IF(G1027&lt;=35,"Moderate Variability","High Variability"))</f>
        <v/>
      </c>
      <c r="I1027" s="18">
        <f>'Raw Data'!O1027</f>
        <v/>
      </c>
      <c r="J1027" s="14">
        <f>IF(I1027=0,"No Flood",IF(I1027&lt;=0.5,"Low",IF(I1027&lt;=2,"Moderate","High")))</f>
        <v/>
      </c>
    </row>
    <row r="1028" ht="15" customHeight="1" s="12">
      <c r="A1028" s="14">
        <f>'Raw Data'!A1028</f>
        <v/>
      </c>
      <c r="B1028" s="14">
        <f>'Raw Data'!B1028</f>
        <v/>
      </c>
      <c r="C1028" s="14">
        <f>'Raw Data'!C1028</f>
        <v/>
      </c>
      <c r="D1028" s="15">
        <f>'Raw Data'!M1028</f>
        <v/>
      </c>
      <c r="E1028" s="18">
        <f>'Raw Data'!M1028/'Raw Data'!L1028*100</f>
        <v/>
      </c>
      <c r="F1028" s="14">
        <f>IF(E1028&gt;15,"Wet Year",IF(E1028&lt;-15,"Dry Year","Normal Year"))</f>
        <v/>
      </c>
      <c r="G1028" s="16">
        <f>'Raw Data'!I1028</f>
        <v/>
      </c>
      <c r="H1028" s="14">
        <f>IF(G1028&lt;15,"Low Variability",IF(G1028&lt;=35,"Moderate Variability","High Variability"))</f>
        <v/>
      </c>
      <c r="I1028" s="18">
        <f>'Raw Data'!O1028</f>
        <v/>
      </c>
      <c r="J1028" s="14">
        <f>IF(I1028=0,"No Flood",IF(I1028&lt;=0.5,"Low",IF(I1028&lt;=2,"Moderate","High")))</f>
        <v/>
      </c>
    </row>
    <row r="1029" ht="15" customHeight="1" s="12">
      <c r="A1029" s="14">
        <f>'Raw Data'!A1029</f>
        <v/>
      </c>
      <c r="B1029" s="14">
        <f>'Raw Data'!B1029</f>
        <v/>
      </c>
      <c r="C1029" s="14">
        <f>'Raw Data'!C1029</f>
        <v/>
      </c>
      <c r="D1029" s="15">
        <f>'Raw Data'!M1029</f>
        <v/>
      </c>
      <c r="E1029" s="18">
        <f>'Raw Data'!M1029/'Raw Data'!L1029*100</f>
        <v/>
      </c>
      <c r="F1029" s="14">
        <f>IF(E1029&gt;15,"Wet Year",IF(E1029&lt;-15,"Dry Year","Normal Year"))</f>
        <v/>
      </c>
      <c r="G1029" s="16">
        <f>'Raw Data'!I1029</f>
        <v/>
      </c>
      <c r="H1029" s="14">
        <f>IF(G1029&lt;15,"Low Variability",IF(G1029&lt;=35,"Moderate Variability","High Variability"))</f>
        <v/>
      </c>
      <c r="I1029" s="18">
        <f>'Raw Data'!O1029</f>
        <v/>
      </c>
      <c r="J1029" s="14">
        <f>IF(I1029=0,"No Flood",IF(I1029&lt;=0.5,"Low",IF(I1029&lt;=2,"Moderate","High")))</f>
        <v/>
      </c>
    </row>
    <row r="1030" ht="15" customHeight="1" s="12">
      <c r="A1030" s="14">
        <f>'Raw Data'!A1030</f>
        <v/>
      </c>
      <c r="B1030" s="14">
        <f>'Raw Data'!B1030</f>
        <v/>
      </c>
      <c r="C1030" s="14">
        <f>'Raw Data'!C1030</f>
        <v/>
      </c>
      <c r="D1030" s="15">
        <f>'Raw Data'!M1030</f>
        <v/>
      </c>
      <c r="E1030" s="18">
        <f>'Raw Data'!M1030/'Raw Data'!L1030*100</f>
        <v/>
      </c>
      <c r="F1030" s="14">
        <f>IF(E1030&gt;15,"Wet Year",IF(E1030&lt;-15,"Dry Year","Normal Year"))</f>
        <v/>
      </c>
      <c r="G1030" s="16">
        <f>'Raw Data'!I1030</f>
        <v/>
      </c>
      <c r="H1030" s="14">
        <f>IF(G1030&lt;15,"Low Variability",IF(G1030&lt;=35,"Moderate Variability","High Variability"))</f>
        <v/>
      </c>
      <c r="I1030" s="18">
        <f>'Raw Data'!O1030</f>
        <v/>
      </c>
      <c r="J1030" s="14">
        <f>IF(I1030=0,"No Flood",IF(I1030&lt;=0.5,"Low",IF(I1030&lt;=2,"Moderate","High")))</f>
        <v/>
      </c>
    </row>
    <row r="1031" ht="15" customHeight="1" s="12">
      <c r="A1031" s="14">
        <f>'Raw Data'!A1031</f>
        <v/>
      </c>
      <c r="B1031" s="14">
        <f>'Raw Data'!B1031</f>
        <v/>
      </c>
      <c r="C1031" s="14">
        <f>'Raw Data'!C1031</f>
        <v/>
      </c>
      <c r="D1031" s="15">
        <f>'Raw Data'!M1031</f>
        <v/>
      </c>
      <c r="E1031" s="18">
        <f>'Raw Data'!M1031/'Raw Data'!L1031*100</f>
        <v/>
      </c>
      <c r="F1031" s="14">
        <f>IF(E1031&gt;15,"Wet Year",IF(E1031&lt;-15,"Dry Year","Normal Year"))</f>
        <v/>
      </c>
      <c r="G1031" s="16">
        <f>'Raw Data'!I1031</f>
        <v/>
      </c>
      <c r="H1031" s="14">
        <f>IF(G1031&lt;15,"Low Variability",IF(G1031&lt;=35,"Moderate Variability","High Variability"))</f>
        <v/>
      </c>
      <c r="I1031" s="18">
        <f>'Raw Data'!O1031</f>
        <v/>
      </c>
      <c r="J1031" s="14">
        <f>IF(I1031=0,"No Flood",IF(I1031&lt;=0.5,"Low",IF(I1031&lt;=2,"Moderate","High")))</f>
        <v/>
      </c>
    </row>
    <row r="1032" ht="15" customHeight="1" s="12">
      <c r="A1032" s="14">
        <f>'Raw Data'!A1032</f>
        <v/>
      </c>
      <c r="B1032" s="14">
        <f>'Raw Data'!B1032</f>
        <v/>
      </c>
      <c r="C1032" s="14">
        <f>'Raw Data'!C1032</f>
        <v/>
      </c>
      <c r="D1032" s="15">
        <f>'Raw Data'!M1032</f>
        <v/>
      </c>
      <c r="E1032" s="18">
        <f>'Raw Data'!M1032/'Raw Data'!L1032*100</f>
        <v/>
      </c>
      <c r="F1032" s="14">
        <f>IF(E1032&gt;15,"Wet Year",IF(E1032&lt;-15,"Dry Year","Normal Year"))</f>
        <v/>
      </c>
      <c r="G1032" s="16">
        <f>'Raw Data'!I1032</f>
        <v/>
      </c>
      <c r="H1032" s="14">
        <f>IF(G1032&lt;15,"Low Variability",IF(G1032&lt;=35,"Moderate Variability","High Variability"))</f>
        <v/>
      </c>
      <c r="I1032" s="18">
        <f>'Raw Data'!O1032</f>
        <v/>
      </c>
      <c r="J1032" s="14">
        <f>IF(I1032=0,"No Flood",IF(I1032&lt;=0.5,"Low",IF(I1032&lt;=2,"Moderate","High")))</f>
        <v/>
      </c>
    </row>
    <row r="1033" ht="15" customHeight="1" s="12">
      <c r="A1033" s="14">
        <f>'Raw Data'!A1033</f>
        <v/>
      </c>
      <c r="B1033" s="14">
        <f>'Raw Data'!B1033</f>
        <v/>
      </c>
      <c r="C1033" s="14">
        <f>'Raw Data'!C1033</f>
        <v/>
      </c>
      <c r="D1033" s="15">
        <f>'Raw Data'!M1033</f>
        <v/>
      </c>
      <c r="E1033" s="18">
        <f>'Raw Data'!M1033/'Raw Data'!L1033*100</f>
        <v/>
      </c>
      <c r="F1033" s="14">
        <f>IF(E1033&gt;15,"Wet Year",IF(E1033&lt;-15,"Dry Year","Normal Year"))</f>
        <v/>
      </c>
      <c r="G1033" s="16">
        <f>'Raw Data'!I1033</f>
        <v/>
      </c>
      <c r="H1033" s="14">
        <f>IF(G1033&lt;15,"Low Variability",IF(G1033&lt;=35,"Moderate Variability","High Variability"))</f>
        <v/>
      </c>
      <c r="I1033" s="18">
        <f>'Raw Data'!O1033</f>
        <v/>
      </c>
      <c r="J1033" s="14">
        <f>IF(I1033=0,"No Flood",IF(I1033&lt;=0.5,"Low",IF(I1033&lt;=2,"Moderate","High")))</f>
        <v/>
      </c>
    </row>
    <row r="1034" ht="15" customHeight="1" s="12">
      <c r="A1034" s="14">
        <f>'Raw Data'!A1034</f>
        <v/>
      </c>
      <c r="B1034" s="14">
        <f>'Raw Data'!B1034</f>
        <v/>
      </c>
      <c r="C1034" s="14">
        <f>'Raw Data'!C1034</f>
        <v/>
      </c>
      <c r="D1034" s="15">
        <f>'Raw Data'!M1034</f>
        <v/>
      </c>
      <c r="E1034" s="18">
        <f>'Raw Data'!M1034/'Raw Data'!L1034*100</f>
        <v/>
      </c>
      <c r="F1034" s="14">
        <f>IF(E1034&gt;15,"Wet Year",IF(E1034&lt;-15,"Dry Year","Normal Year"))</f>
        <v/>
      </c>
      <c r="G1034" s="16">
        <f>'Raw Data'!I1034</f>
        <v/>
      </c>
      <c r="H1034" s="14">
        <f>IF(G1034&lt;15,"Low Variability",IF(G1034&lt;=35,"Moderate Variability","High Variability"))</f>
        <v/>
      </c>
      <c r="I1034" s="18">
        <f>'Raw Data'!O1034</f>
        <v/>
      </c>
      <c r="J1034" s="14">
        <f>IF(I1034=0,"No Flood",IF(I1034&lt;=0.5,"Low",IF(I1034&lt;=2,"Moderate","High")))</f>
        <v/>
      </c>
    </row>
    <row r="1035" ht="15" customHeight="1" s="12">
      <c r="A1035" s="14">
        <f>'Raw Data'!A1035</f>
        <v/>
      </c>
      <c r="B1035" s="14">
        <f>'Raw Data'!B1035</f>
        <v/>
      </c>
      <c r="C1035" s="14">
        <f>'Raw Data'!C1035</f>
        <v/>
      </c>
      <c r="D1035" s="15">
        <f>'Raw Data'!M1035</f>
        <v/>
      </c>
      <c r="E1035" s="18">
        <f>'Raw Data'!M1035/'Raw Data'!L1035*100</f>
        <v/>
      </c>
      <c r="F1035" s="14">
        <f>IF(E1035&gt;15,"Wet Year",IF(E1035&lt;-15,"Dry Year","Normal Year"))</f>
        <v/>
      </c>
      <c r="G1035" s="16">
        <f>'Raw Data'!I1035</f>
        <v/>
      </c>
      <c r="H1035" s="14">
        <f>IF(G1035&lt;15,"Low Variability",IF(G1035&lt;=35,"Moderate Variability","High Variability"))</f>
        <v/>
      </c>
      <c r="I1035" s="18">
        <f>'Raw Data'!O1035</f>
        <v/>
      </c>
      <c r="J1035" s="14">
        <f>IF(I1035=0,"No Flood",IF(I1035&lt;=0.5,"Low",IF(I1035&lt;=2,"Moderate","High")))</f>
        <v/>
      </c>
    </row>
    <row r="1036" ht="15" customHeight="1" s="12">
      <c r="A1036" s="14">
        <f>'Raw Data'!A1036</f>
        <v/>
      </c>
      <c r="B1036" s="14">
        <f>'Raw Data'!B1036</f>
        <v/>
      </c>
      <c r="C1036" s="14">
        <f>'Raw Data'!C1036</f>
        <v/>
      </c>
      <c r="D1036" s="15">
        <f>'Raw Data'!M1036</f>
        <v/>
      </c>
      <c r="E1036" s="18">
        <f>'Raw Data'!M1036/'Raw Data'!L1036*100</f>
        <v/>
      </c>
      <c r="F1036" s="14">
        <f>IF(E1036&gt;15,"Wet Year",IF(E1036&lt;-15,"Dry Year","Normal Year"))</f>
        <v/>
      </c>
      <c r="G1036" s="16">
        <f>'Raw Data'!I1036</f>
        <v/>
      </c>
      <c r="H1036" s="14">
        <f>IF(G1036&lt;15,"Low Variability",IF(G1036&lt;=35,"Moderate Variability","High Variability"))</f>
        <v/>
      </c>
      <c r="I1036" s="18">
        <f>'Raw Data'!O1036</f>
        <v/>
      </c>
      <c r="J1036" s="14">
        <f>IF(I1036=0,"No Flood",IF(I1036&lt;=0.5,"Low",IF(I1036&lt;=2,"Moderate","High")))</f>
        <v/>
      </c>
    </row>
    <row r="1037" ht="15" customHeight="1" s="12">
      <c r="A1037" s="14">
        <f>'Raw Data'!A1037</f>
        <v/>
      </c>
      <c r="B1037" s="14">
        <f>'Raw Data'!B1037</f>
        <v/>
      </c>
      <c r="C1037" s="14">
        <f>'Raw Data'!C1037</f>
        <v/>
      </c>
      <c r="D1037" s="15">
        <f>'Raw Data'!M1037</f>
        <v/>
      </c>
      <c r="E1037" s="18">
        <f>'Raw Data'!M1037/'Raw Data'!L1037*100</f>
        <v/>
      </c>
      <c r="F1037" s="14">
        <f>IF(E1037&gt;15,"Wet Year",IF(E1037&lt;-15,"Dry Year","Normal Year"))</f>
        <v/>
      </c>
      <c r="G1037" s="16">
        <f>'Raw Data'!I1037</f>
        <v/>
      </c>
      <c r="H1037" s="14">
        <f>IF(G1037&lt;15,"Low Variability",IF(G1037&lt;=35,"Moderate Variability","High Variability"))</f>
        <v/>
      </c>
      <c r="I1037" s="18">
        <f>'Raw Data'!O1037</f>
        <v/>
      </c>
      <c r="J1037" s="14">
        <f>IF(I1037=0,"No Flood",IF(I1037&lt;=0.5,"Low",IF(I1037&lt;=2,"Moderate","High")))</f>
        <v/>
      </c>
    </row>
    <row r="1038" ht="15" customHeight="1" s="12">
      <c r="A1038" s="14">
        <f>'Raw Data'!A1038</f>
        <v/>
      </c>
      <c r="B1038" s="14">
        <f>'Raw Data'!B1038</f>
        <v/>
      </c>
      <c r="C1038" s="14">
        <f>'Raw Data'!C1038</f>
        <v/>
      </c>
      <c r="D1038" s="15">
        <f>'Raw Data'!M1038</f>
        <v/>
      </c>
      <c r="E1038" s="18">
        <f>'Raw Data'!M1038/'Raw Data'!L1038*100</f>
        <v/>
      </c>
      <c r="F1038" s="14">
        <f>IF(E1038&gt;15,"Wet Year",IF(E1038&lt;-15,"Dry Year","Normal Year"))</f>
        <v/>
      </c>
      <c r="G1038" s="16">
        <f>'Raw Data'!I1038</f>
        <v/>
      </c>
      <c r="H1038" s="14">
        <f>IF(G1038&lt;15,"Low Variability",IF(G1038&lt;=35,"Moderate Variability","High Variability"))</f>
        <v/>
      </c>
      <c r="I1038" s="18">
        <f>'Raw Data'!O1038</f>
        <v/>
      </c>
      <c r="J1038" s="14">
        <f>IF(I1038=0,"No Flood",IF(I1038&lt;=0.5,"Low",IF(I1038&lt;=2,"Moderate","High")))</f>
        <v/>
      </c>
    </row>
    <row r="1039" ht="15" customHeight="1" s="12">
      <c r="A1039" s="14">
        <f>'Raw Data'!A1039</f>
        <v/>
      </c>
      <c r="B1039" s="14">
        <f>'Raw Data'!B1039</f>
        <v/>
      </c>
      <c r="C1039" s="14">
        <f>'Raw Data'!C1039</f>
        <v/>
      </c>
      <c r="D1039" s="15">
        <f>'Raw Data'!M1039</f>
        <v/>
      </c>
      <c r="E1039" s="18">
        <f>'Raw Data'!M1039/'Raw Data'!L1039*100</f>
        <v/>
      </c>
      <c r="F1039" s="14">
        <f>IF(E1039&gt;15,"Wet Year",IF(E1039&lt;-15,"Dry Year","Normal Year"))</f>
        <v/>
      </c>
      <c r="G1039" s="16">
        <f>'Raw Data'!I1039</f>
        <v/>
      </c>
      <c r="H1039" s="14">
        <f>IF(G1039&lt;15,"Low Variability",IF(G1039&lt;=35,"Moderate Variability","High Variability"))</f>
        <v/>
      </c>
      <c r="I1039" s="18">
        <f>'Raw Data'!O1039</f>
        <v/>
      </c>
      <c r="J1039" s="14">
        <f>IF(I1039=0,"No Flood",IF(I1039&lt;=0.5,"Low",IF(I1039&lt;=2,"Moderate","High")))</f>
        <v/>
      </c>
    </row>
    <row r="1040" ht="15" customHeight="1" s="12">
      <c r="A1040" s="14">
        <f>'Raw Data'!A1040</f>
        <v/>
      </c>
      <c r="B1040" s="14">
        <f>'Raw Data'!B1040</f>
        <v/>
      </c>
      <c r="C1040" s="14">
        <f>'Raw Data'!C1040</f>
        <v/>
      </c>
      <c r="D1040" s="15">
        <f>'Raw Data'!M1040</f>
        <v/>
      </c>
      <c r="E1040" s="18">
        <f>'Raw Data'!M1040/'Raw Data'!L1040*100</f>
        <v/>
      </c>
      <c r="F1040" s="14">
        <f>IF(E1040&gt;15,"Wet Year",IF(E1040&lt;-15,"Dry Year","Normal Year"))</f>
        <v/>
      </c>
      <c r="G1040" s="16">
        <f>'Raw Data'!I1040</f>
        <v/>
      </c>
      <c r="H1040" s="14">
        <f>IF(G1040&lt;15,"Low Variability",IF(G1040&lt;=35,"Moderate Variability","High Variability"))</f>
        <v/>
      </c>
      <c r="I1040" s="18">
        <f>'Raw Data'!O1040</f>
        <v/>
      </c>
      <c r="J1040" s="14">
        <f>IF(I1040=0,"No Flood",IF(I1040&lt;=0.5,"Low",IF(I1040&lt;=2,"Moderate","High")))</f>
        <v/>
      </c>
    </row>
    <row r="1041" ht="15" customHeight="1" s="12">
      <c r="A1041" s="14">
        <f>'Raw Data'!A1041</f>
        <v/>
      </c>
      <c r="B1041" s="14">
        <f>'Raw Data'!B1041</f>
        <v/>
      </c>
      <c r="C1041" s="14">
        <f>'Raw Data'!C1041</f>
        <v/>
      </c>
      <c r="D1041" s="15">
        <f>'Raw Data'!M1041</f>
        <v/>
      </c>
      <c r="E1041" s="18">
        <f>'Raw Data'!M1041/'Raw Data'!L1041*100</f>
        <v/>
      </c>
      <c r="F1041" s="14">
        <f>IF(E1041&gt;15,"Wet Year",IF(E1041&lt;-15,"Dry Year","Normal Year"))</f>
        <v/>
      </c>
      <c r="G1041" s="16">
        <f>'Raw Data'!I1041</f>
        <v/>
      </c>
      <c r="H1041" s="14">
        <f>IF(G1041&lt;15,"Low Variability",IF(G1041&lt;=35,"Moderate Variability","High Variability"))</f>
        <v/>
      </c>
      <c r="I1041" s="18">
        <f>'Raw Data'!O1041</f>
        <v/>
      </c>
      <c r="J1041" s="14">
        <f>IF(I1041=0,"No Flood",IF(I1041&lt;=0.5,"Low",IF(I1041&lt;=2,"Moderate","High")))</f>
        <v/>
      </c>
    </row>
    <row r="1042" ht="15" customHeight="1" s="12">
      <c r="A1042" s="14">
        <f>'Raw Data'!A1042</f>
        <v/>
      </c>
      <c r="B1042" s="14">
        <f>'Raw Data'!B1042</f>
        <v/>
      </c>
      <c r="C1042" s="14">
        <f>'Raw Data'!C1042</f>
        <v/>
      </c>
      <c r="D1042" s="15">
        <f>'Raw Data'!M1042</f>
        <v/>
      </c>
      <c r="E1042" s="18">
        <f>'Raw Data'!M1042/'Raw Data'!L1042*100</f>
        <v/>
      </c>
      <c r="F1042" s="14">
        <f>IF(E1042&gt;15,"Wet Year",IF(E1042&lt;-15,"Dry Year","Normal Year"))</f>
        <v/>
      </c>
      <c r="G1042" s="16">
        <f>'Raw Data'!I1042</f>
        <v/>
      </c>
      <c r="H1042" s="14">
        <f>IF(G1042&lt;15,"Low Variability",IF(G1042&lt;=35,"Moderate Variability","High Variability"))</f>
        <v/>
      </c>
      <c r="I1042" s="18">
        <f>'Raw Data'!O1042</f>
        <v/>
      </c>
      <c r="J1042" s="14">
        <f>IF(I1042=0,"No Flood",IF(I1042&lt;=0.5,"Low",IF(I1042&lt;=2,"Moderate","High")))</f>
        <v/>
      </c>
    </row>
    <row r="1043" ht="15" customHeight="1" s="12">
      <c r="A1043" s="14">
        <f>'Raw Data'!A1043</f>
        <v/>
      </c>
      <c r="B1043" s="14">
        <f>'Raw Data'!B1043</f>
        <v/>
      </c>
      <c r="C1043" s="14">
        <f>'Raw Data'!C1043</f>
        <v/>
      </c>
      <c r="D1043" s="15">
        <f>'Raw Data'!M1043</f>
        <v/>
      </c>
      <c r="E1043" s="18">
        <f>'Raw Data'!M1043/'Raw Data'!L1043*100</f>
        <v/>
      </c>
      <c r="F1043" s="14">
        <f>IF(E1043&gt;15,"Wet Year",IF(E1043&lt;-15,"Dry Year","Normal Year"))</f>
        <v/>
      </c>
      <c r="G1043" s="16">
        <f>'Raw Data'!I1043</f>
        <v/>
      </c>
      <c r="H1043" s="14">
        <f>IF(G1043&lt;15,"Low Variability",IF(G1043&lt;=35,"Moderate Variability","High Variability"))</f>
        <v/>
      </c>
      <c r="I1043" s="18">
        <f>'Raw Data'!O1043</f>
        <v/>
      </c>
      <c r="J1043" s="14">
        <f>IF(I1043=0,"No Flood",IF(I1043&lt;=0.5,"Low",IF(I1043&lt;=2,"Moderate","High")))</f>
        <v/>
      </c>
    </row>
    <row r="1044" ht="15" customHeight="1" s="12">
      <c r="A1044" s="14">
        <f>'Raw Data'!A1044</f>
        <v/>
      </c>
      <c r="B1044" s="14">
        <f>'Raw Data'!B1044</f>
        <v/>
      </c>
      <c r="C1044" s="14">
        <f>'Raw Data'!C1044</f>
        <v/>
      </c>
      <c r="D1044" s="15">
        <f>'Raw Data'!M1044</f>
        <v/>
      </c>
      <c r="E1044" s="18">
        <f>'Raw Data'!M1044/'Raw Data'!L1044*100</f>
        <v/>
      </c>
      <c r="F1044" s="14">
        <f>IF(E1044&gt;15,"Wet Year",IF(E1044&lt;-15,"Dry Year","Normal Year"))</f>
        <v/>
      </c>
      <c r="G1044" s="16">
        <f>'Raw Data'!I1044</f>
        <v/>
      </c>
      <c r="H1044" s="14">
        <f>IF(G1044&lt;15,"Low Variability",IF(G1044&lt;=35,"Moderate Variability","High Variability"))</f>
        <v/>
      </c>
      <c r="I1044" s="18">
        <f>'Raw Data'!O1044</f>
        <v/>
      </c>
      <c r="J1044" s="14">
        <f>IF(I1044=0,"No Flood",IF(I1044&lt;=0.5,"Low",IF(I1044&lt;=2,"Moderate","High")))</f>
        <v/>
      </c>
    </row>
    <row r="1045" ht="15" customHeight="1" s="12">
      <c r="A1045" s="14">
        <f>'Raw Data'!A1045</f>
        <v/>
      </c>
      <c r="B1045" s="14">
        <f>'Raw Data'!B1045</f>
        <v/>
      </c>
      <c r="C1045" s="14">
        <f>'Raw Data'!C1045</f>
        <v/>
      </c>
      <c r="D1045" s="15">
        <f>'Raw Data'!M1045</f>
        <v/>
      </c>
      <c r="E1045" s="18">
        <f>'Raw Data'!M1045/'Raw Data'!L1045*100</f>
        <v/>
      </c>
      <c r="F1045" s="14">
        <f>IF(E1045&gt;15,"Wet Year",IF(E1045&lt;-15,"Dry Year","Normal Year"))</f>
        <v/>
      </c>
      <c r="G1045" s="16">
        <f>'Raw Data'!I1045</f>
        <v/>
      </c>
      <c r="H1045" s="14">
        <f>IF(G1045&lt;15,"Low Variability",IF(G1045&lt;=35,"Moderate Variability","High Variability"))</f>
        <v/>
      </c>
      <c r="I1045" s="18">
        <f>'Raw Data'!O1045</f>
        <v/>
      </c>
      <c r="J1045" s="14">
        <f>IF(I1045=0,"No Flood",IF(I1045&lt;=0.5,"Low",IF(I1045&lt;=2,"Moderate","High")))</f>
        <v/>
      </c>
    </row>
    <row r="1046" ht="15" customHeight="1" s="12">
      <c r="A1046" s="14">
        <f>'Raw Data'!A1046</f>
        <v/>
      </c>
      <c r="B1046" s="14">
        <f>'Raw Data'!B1046</f>
        <v/>
      </c>
      <c r="C1046" s="14">
        <f>'Raw Data'!C1046</f>
        <v/>
      </c>
      <c r="D1046" s="15">
        <f>'Raw Data'!M1046</f>
        <v/>
      </c>
      <c r="E1046" s="18">
        <f>'Raw Data'!M1046/'Raw Data'!L1046*100</f>
        <v/>
      </c>
      <c r="F1046" s="14">
        <f>IF(E1046&gt;15,"Wet Year",IF(E1046&lt;-15,"Dry Year","Normal Year"))</f>
        <v/>
      </c>
      <c r="G1046" s="16">
        <f>'Raw Data'!I1046</f>
        <v/>
      </c>
      <c r="H1046" s="14">
        <f>IF(G1046&lt;15,"Low Variability",IF(G1046&lt;=35,"Moderate Variability","High Variability"))</f>
        <v/>
      </c>
      <c r="I1046" s="18">
        <f>'Raw Data'!O1046</f>
        <v/>
      </c>
      <c r="J1046" s="14">
        <f>IF(I1046=0,"No Flood",IF(I1046&lt;=0.5,"Low",IF(I1046&lt;=2,"Moderate","High")))</f>
        <v/>
      </c>
    </row>
    <row r="1047" ht="15" customHeight="1" s="12">
      <c r="A1047" s="14">
        <f>'Raw Data'!A1047</f>
        <v/>
      </c>
      <c r="B1047" s="14">
        <f>'Raw Data'!B1047</f>
        <v/>
      </c>
      <c r="C1047" s="14">
        <f>'Raw Data'!C1047</f>
        <v/>
      </c>
      <c r="D1047" s="15">
        <f>'Raw Data'!M1047</f>
        <v/>
      </c>
      <c r="E1047" s="18">
        <f>'Raw Data'!M1047/'Raw Data'!L1047*100</f>
        <v/>
      </c>
      <c r="F1047" s="14">
        <f>IF(E1047&gt;15,"Wet Year",IF(E1047&lt;-15,"Dry Year","Normal Year"))</f>
        <v/>
      </c>
      <c r="G1047" s="16">
        <f>'Raw Data'!I1047</f>
        <v/>
      </c>
      <c r="H1047" s="14">
        <f>IF(G1047&lt;15,"Low Variability",IF(G1047&lt;=35,"Moderate Variability","High Variability"))</f>
        <v/>
      </c>
      <c r="I1047" s="18">
        <f>'Raw Data'!O1047</f>
        <v/>
      </c>
      <c r="J1047" s="14">
        <f>IF(I1047=0,"No Flood",IF(I1047&lt;=0.5,"Low",IF(I1047&lt;=2,"Moderate","High")))</f>
        <v/>
      </c>
    </row>
    <row r="1048" ht="15" customHeight="1" s="12">
      <c r="A1048" s="14">
        <f>'Raw Data'!A1048</f>
        <v/>
      </c>
      <c r="B1048" s="14">
        <f>'Raw Data'!B1048</f>
        <v/>
      </c>
      <c r="C1048" s="14">
        <f>'Raw Data'!C1048</f>
        <v/>
      </c>
      <c r="D1048" s="15">
        <f>'Raw Data'!M1048</f>
        <v/>
      </c>
      <c r="E1048" s="18">
        <f>'Raw Data'!M1048/'Raw Data'!L1048*100</f>
        <v/>
      </c>
      <c r="F1048" s="14">
        <f>IF(E1048&gt;15,"Wet Year",IF(E1048&lt;-15,"Dry Year","Normal Year"))</f>
        <v/>
      </c>
      <c r="G1048" s="16">
        <f>'Raw Data'!I1048</f>
        <v/>
      </c>
      <c r="H1048" s="14">
        <f>IF(G1048&lt;15,"Low Variability",IF(G1048&lt;=35,"Moderate Variability","High Variability"))</f>
        <v/>
      </c>
      <c r="I1048" s="18">
        <f>'Raw Data'!O1048</f>
        <v/>
      </c>
      <c r="J1048" s="14">
        <f>IF(I1048=0,"No Flood",IF(I1048&lt;=0.5,"Low",IF(I1048&lt;=2,"Moderate","High")))</f>
        <v/>
      </c>
    </row>
    <row r="1049" ht="15" customHeight="1" s="12">
      <c r="A1049" s="14">
        <f>'Raw Data'!A1049</f>
        <v/>
      </c>
      <c r="B1049" s="14">
        <f>'Raw Data'!B1049</f>
        <v/>
      </c>
      <c r="C1049" s="14">
        <f>'Raw Data'!C1049</f>
        <v/>
      </c>
      <c r="D1049" s="15">
        <f>'Raw Data'!M1049</f>
        <v/>
      </c>
      <c r="E1049" s="18">
        <f>'Raw Data'!M1049/'Raw Data'!L1049*100</f>
        <v/>
      </c>
      <c r="F1049" s="14">
        <f>IF(E1049&gt;15,"Wet Year",IF(E1049&lt;-15,"Dry Year","Normal Year"))</f>
        <v/>
      </c>
      <c r="G1049" s="16">
        <f>'Raw Data'!I1049</f>
        <v/>
      </c>
      <c r="H1049" s="14">
        <f>IF(G1049&lt;15,"Low Variability",IF(G1049&lt;=35,"Moderate Variability","High Variability"))</f>
        <v/>
      </c>
      <c r="I1049" s="18">
        <f>'Raw Data'!O1049</f>
        <v/>
      </c>
      <c r="J1049" s="14">
        <f>IF(I1049=0,"No Flood",IF(I1049&lt;=0.5,"Low",IF(I1049&lt;=2,"Moderate","High")))</f>
        <v/>
      </c>
    </row>
    <row r="1050" ht="15" customHeight="1" s="12">
      <c r="A1050" s="14">
        <f>'Raw Data'!A1050</f>
        <v/>
      </c>
      <c r="B1050" s="14">
        <f>'Raw Data'!B1050</f>
        <v/>
      </c>
      <c r="C1050" s="14">
        <f>'Raw Data'!C1050</f>
        <v/>
      </c>
      <c r="D1050" s="15">
        <f>'Raw Data'!M1050</f>
        <v/>
      </c>
      <c r="E1050" s="18">
        <f>'Raw Data'!M1050/'Raw Data'!L1050*100</f>
        <v/>
      </c>
      <c r="F1050" s="14">
        <f>IF(E1050&gt;15,"Wet Year",IF(E1050&lt;-15,"Dry Year","Normal Year"))</f>
        <v/>
      </c>
      <c r="G1050" s="16">
        <f>'Raw Data'!I1050</f>
        <v/>
      </c>
      <c r="H1050" s="14">
        <f>IF(G1050&lt;15,"Low Variability",IF(G1050&lt;=35,"Moderate Variability","High Variability"))</f>
        <v/>
      </c>
      <c r="I1050" s="18">
        <f>'Raw Data'!O1050</f>
        <v/>
      </c>
      <c r="J1050" s="14">
        <f>IF(I1050=0,"No Flood",IF(I1050&lt;=0.5,"Low",IF(I1050&lt;=2,"Moderate","High")))</f>
        <v/>
      </c>
    </row>
    <row r="1051" ht="15" customHeight="1" s="12">
      <c r="A1051" s="14">
        <f>'Raw Data'!A1051</f>
        <v/>
      </c>
      <c r="B1051" s="14">
        <f>'Raw Data'!B1051</f>
        <v/>
      </c>
      <c r="C1051" s="14">
        <f>'Raw Data'!C1051</f>
        <v/>
      </c>
      <c r="D1051" s="15">
        <f>'Raw Data'!M1051</f>
        <v/>
      </c>
      <c r="E1051" s="18">
        <f>'Raw Data'!M1051/'Raw Data'!L1051*100</f>
        <v/>
      </c>
      <c r="F1051" s="14">
        <f>IF(E1051&gt;15,"Wet Year",IF(E1051&lt;-15,"Dry Year","Normal Year"))</f>
        <v/>
      </c>
      <c r="G1051" s="16">
        <f>'Raw Data'!I1051</f>
        <v/>
      </c>
      <c r="H1051" s="14">
        <f>IF(G1051&lt;15,"Low Variability",IF(G1051&lt;=35,"Moderate Variability","High Variability"))</f>
        <v/>
      </c>
      <c r="I1051" s="18">
        <f>'Raw Data'!O1051</f>
        <v/>
      </c>
      <c r="J1051" s="14">
        <f>IF(I1051=0,"No Flood",IF(I1051&lt;=0.5,"Low",IF(I1051&lt;=2,"Moderate","High")))</f>
        <v/>
      </c>
    </row>
    <row r="1052" ht="15" customHeight="1" s="12">
      <c r="A1052" s="14">
        <f>'Raw Data'!A1052</f>
        <v/>
      </c>
      <c r="B1052" s="14">
        <f>'Raw Data'!B1052</f>
        <v/>
      </c>
      <c r="C1052" s="14">
        <f>'Raw Data'!C1052</f>
        <v/>
      </c>
      <c r="D1052" s="15">
        <f>'Raw Data'!M1052</f>
        <v/>
      </c>
      <c r="E1052" s="18">
        <f>'Raw Data'!M1052/'Raw Data'!L1052*100</f>
        <v/>
      </c>
      <c r="F1052" s="14">
        <f>IF(E1052&gt;15,"Wet Year",IF(E1052&lt;-15,"Dry Year","Normal Year"))</f>
        <v/>
      </c>
      <c r="G1052" s="16">
        <f>'Raw Data'!I1052</f>
        <v/>
      </c>
      <c r="H1052" s="14">
        <f>IF(G1052&lt;15,"Low Variability",IF(G1052&lt;=35,"Moderate Variability","High Variability"))</f>
        <v/>
      </c>
      <c r="I1052" s="18">
        <f>'Raw Data'!O1052</f>
        <v/>
      </c>
      <c r="J1052" s="14">
        <f>IF(I1052=0,"No Flood",IF(I1052&lt;=0.5,"Low",IF(I1052&lt;=2,"Moderate","High")))</f>
        <v/>
      </c>
    </row>
    <row r="1053" ht="15" customHeight="1" s="12">
      <c r="A1053" s="14">
        <f>'Raw Data'!A1053</f>
        <v/>
      </c>
      <c r="B1053" s="14">
        <f>'Raw Data'!B1053</f>
        <v/>
      </c>
      <c r="C1053" s="14">
        <f>'Raw Data'!C1053</f>
        <v/>
      </c>
      <c r="D1053" s="15">
        <f>'Raw Data'!M1053</f>
        <v/>
      </c>
      <c r="E1053" s="18">
        <f>'Raw Data'!M1053/'Raw Data'!L1053*100</f>
        <v/>
      </c>
      <c r="F1053" s="14">
        <f>IF(E1053&gt;15,"Wet Year",IF(E1053&lt;-15,"Dry Year","Normal Year"))</f>
        <v/>
      </c>
      <c r="G1053" s="16">
        <f>'Raw Data'!I1053</f>
        <v/>
      </c>
      <c r="H1053" s="14">
        <f>IF(G1053&lt;15,"Low Variability",IF(G1053&lt;=35,"Moderate Variability","High Variability"))</f>
        <v/>
      </c>
      <c r="I1053" s="18">
        <f>'Raw Data'!O1053</f>
        <v/>
      </c>
      <c r="J1053" s="14">
        <f>IF(I1053=0,"No Flood",IF(I1053&lt;=0.5,"Low",IF(I1053&lt;=2,"Moderate","High")))</f>
        <v/>
      </c>
    </row>
    <row r="1054" ht="15" customHeight="1" s="12">
      <c r="A1054" s="14">
        <f>'Raw Data'!A1054</f>
        <v/>
      </c>
      <c r="B1054" s="14">
        <f>'Raw Data'!B1054</f>
        <v/>
      </c>
      <c r="C1054" s="14">
        <f>'Raw Data'!C1054</f>
        <v/>
      </c>
      <c r="D1054" s="15">
        <f>'Raw Data'!M1054</f>
        <v/>
      </c>
      <c r="E1054" s="18">
        <f>'Raw Data'!M1054/'Raw Data'!L1054*100</f>
        <v/>
      </c>
      <c r="F1054" s="14">
        <f>IF(E1054&gt;15,"Wet Year",IF(E1054&lt;-15,"Dry Year","Normal Year"))</f>
        <v/>
      </c>
      <c r="G1054" s="16">
        <f>'Raw Data'!I1054</f>
        <v/>
      </c>
      <c r="H1054" s="14">
        <f>IF(G1054&lt;15,"Low Variability",IF(G1054&lt;=35,"Moderate Variability","High Variability"))</f>
        <v/>
      </c>
      <c r="I1054" s="18">
        <f>'Raw Data'!O1054</f>
        <v/>
      </c>
      <c r="J1054" s="14">
        <f>IF(I1054=0,"No Flood",IF(I1054&lt;=0.5,"Low",IF(I1054&lt;=2,"Moderate","High")))</f>
        <v/>
      </c>
    </row>
    <row r="1055" ht="15" customHeight="1" s="12">
      <c r="A1055" s="14">
        <f>'Raw Data'!A1055</f>
        <v/>
      </c>
      <c r="B1055" s="14">
        <f>'Raw Data'!B1055</f>
        <v/>
      </c>
      <c r="C1055" s="14">
        <f>'Raw Data'!C1055</f>
        <v/>
      </c>
      <c r="D1055" s="15">
        <f>'Raw Data'!M1055</f>
        <v/>
      </c>
      <c r="E1055" s="18">
        <f>'Raw Data'!M1055/'Raw Data'!L1055*100</f>
        <v/>
      </c>
      <c r="F1055" s="14">
        <f>IF(E1055&gt;15,"Wet Year",IF(E1055&lt;-15,"Dry Year","Normal Year"))</f>
        <v/>
      </c>
      <c r="G1055" s="16">
        <f>'Raw Data'!I1055</f>
        <v/>
      </c>
      <c r="H1055" s="14">
        <f>IF(G1055&lt;15,"Low Variability",IF(G1055&lt;=35,"Moderate Variability","High Variability"))</f>
        <v/>
      </c>
      <c r="I1055" s="18">
        <f>'Raw Data'!O1055</f>
        <v/>
      </c>
      <c r="J1055" s="14">
        <f>IF(I1055=0,"No Flood",IF(I1055&lt;=0.5,"Low",IF(I1055&lt;=2,"Moderate","High")))</f>
        <v/>
      </c>
    </row>
    <row r="1056" ht="15" customHeight="1" s="12">
      <c r="A1056" s="14">
        <f>'Raw Data'!A1056</f>
        <v/>
      </c>
      <c r="B1056" s="14">
        <f>'Raw Data'!B1056</f>
        <v/>
      </c>
      <c r="C1056" s="14">
        <f>'Raw Data'!C1056</f>
        <v/>
      </c>
      <c r="D1056" s="15">
        <f>'Raw Data'!M1056</f>
        <v/>
      </c>
      <c r="E1056" s="18">
        <f>'Raw Data'!M1056/'Raw Data'!L1056*100</f>
        <v/>
      </c>
      <c r="F1056" s="14">
        <f>IF(E1056&gt;15,"Wet Year",IF(E1056&lt;-15,"Dry Year","Normal Year"))</f>
        <v/>
      </c>
      <c r="G1056" s="16">
        <f>'Raw Data'!I1056</f>
        <v/>
      </c>
      <c r="H1056" s="14">
        <f>IF(G1056&lt;15,"Low Variability",IF(G1056&lt;=35,"Moderate Variability","High Variability"))</f>
        <v/>
      </c>
      <c r="I1056" s="18">
        <f>'Raw Data'!O1056</f>
        <v/>
      </c>
      <c r="J1056" s="14">
        <f>IF(I1056=0,"No Flood",IF(I1056&lt;=0.5,"Low",IF(I1056&lt;=2,"Moderate","High")))</f>
        <v/>
      </c>
    </row>
    <row r="1057" ht="15" customHeight="1" s="12">
      <c r="A1057" s="14">
        <f>'Raw Data'!A1057</f>
        <v/>
      </c>
      <c r="B1057" s="14">
        <f>'Raw Data'!B1057</f>
        <v/>
      </c>
      <c r="C1057" s="14">
        <f>'Raw Data'!C1057</f>
        <v/>
      </c>
      <c r="D1057" s="15">
        <f>'Raw Data'!M1057</f>
        <v/>
      </c>
      <c r="E1057" s="18">
        <f>'Raw Data'!M1057/'Raw Data'!L1057*100</f>
        <v/>
      </c>
      <c r="F1057" s="14">
        <f>IF(E1057&gt;15,"Wet Year",IF(E1057&lt;-15,"Dry Year","Normal Year"))</f>
        <v/>
      </c>
      <c r="G1057" s="16">
        <f>'Raw Data'!I1057</f>
        <v/>
      </c>
      <c r="H1057" s="14">
        <f>IF(G1057&lt;15,"Low Variability",IF(G1057&lt;=35,"Moderate Variability","High Variability"))</f>
        <v/>
      </c>
      <c r="I1057" s="18">
        <f>'Raw Data'!O1057</f>
        <v/>
      </c>
      <c r="J1057" s="14">
        <f>IF(I1057=0,"No Flood",IF(I1057&lt;=0.5,"Low",IF(I1057&lt;=2,"Moderate","High")))</f>
        <v/>
      </c>
    </row>
    <row r="1058" ht="15" customHeight="1" s="12">
      <c r="A1058" s="14">
        <f>'Raw Data'!A1058</f>
        <v/>
      </c>
      <c r="B1058" s="14">
        <f>'Raw Data'!B1058</f>
        <v/>
      </c>
      <c r="C1058" s="14">
        <f>'Raw Data'!C1058</f>
        <v/>
      </c>
      <c r="D1058" s="15">
        <f>'Raw Data'!M1058</f>
        <v/>
      </c>
      <c r="E1058" s="18">
        <f>'Raw Data'!M1058/'Raw Data'!L1058*100</f>
        <v/>
      </c>
      <c r="F1058" s="14">
        <f>IF(E1058&gt;15,"Wet Year",IF(E1058&lt;-15,"Dry Year","Normal Year"))</f>
        <v/>
      </c>
      <c r="G1058" s="16">
        <f>'Raw Data'!I1058</f>
        <v/>
      </c>
      <c r="H1058" s="14">
        <f>IF(G1058&lt;15,"Low Variability",IF(G1058&lt;=35,"Moderate Variability","High Variability"))</f>
        <v/>
      </c>
      <c r="I1058" s="18">
        <f>'Raw Data'!O1058</f>
        <v/>
      </c>
      <c r="J1058" s="14">
        <f>IF(I1058=0,"No Flood",IF(I1058&lt;=0.5,"Low",IF(I1058&lt;=2,"Moderate","High")))</f>
        <v/>
      </c>
    </row>
    <row r="1059" ht="15" customHeight="1" s="12">
      <c r="A1059" s="14">
        <f>'Raw Data'!A1059</f>
        <v/>
      </c>
      <c r="B1059" s="14">
        <f>'Raw Data'!B1059</f>
        <v/>
      </c>
      <c r="C1059" s="14">
        <f>'Raw Data'!C1059</f>
        <v/>
      </c>
      <c r="D1059" s="15">
        <f>'Raw Data'!M1059</f>
        <v/>
      </c>
      <c r="E1059" s="18">
        <f>'Raw Data'!M1059/'Raw Data'!L1059*100</f>
        <v/>
      </c>
      <c r="F1059" s="14">
        <f>IF(E1059&gt;15,"Wet Year",IF(E1059&lt;-15,"Dry Year","Normal Year"))</f>
        <v/>
      </c>
      <c r="G1059" s="16">
        <f>'Raw Data'!I1059</f>
        <v/>
      </c>
      <c r="H1059" s="14">
        <f>IF(G1059&lt;15,"Low Variability",IF(G1059&lt;=35,"Moderate Variability","High Variability"))</f>
        <v/>
      </c>
      <c r="I1059" s="18">
        <f>'Raw Data'!O1059</f>
        <v/>
      </c>
      <c r="J1059" s="14">
        <f>IF(I1059=0,"No Flood",IF(I1059&lt;=0.5,"Low",IF(I1059&lt;=2,"Moderate","High")))</f>
        <v/>
      </c>
    </row>
    <row r="1060" ht="15" customHeight="1" s="12">
      <c r="A1060" s="14">
        <f>'Raw Data'!A1060</f>
        <v/>
      </c>
      <c r="B1060" s="14">
        <f>'Raw Data'!B1060</f>
        <v/>
      </c>
      <c r="C1060" s="14">
        <f>'Raw Data'!C1060</f>
        <v/>
      </c>
      <c r="D1060" s="15">
        <f>'Raw Data'!M1060</f>
        <v/>
      </c>
      <c r="E1060" s="18">
        <f>'Raw Data'!M1060/'Raw Data'!L1060*100</f>
        <v/>
      </c>
      <c r="F1060" s="14">
        <f>IF(E1060&gt;15,"Wet Year",IF(E1060&lt;-15,"Dry Year","Normal Year"))</f>
        <v/>
      </c>
      <c r="G1060" s="16">
        <f>'Raw Data'!I1060</f>
        <v/>
      </c>
      <c r="H1060" s="14">
        <f>IF(G1060&lt;15,"Low Variability",IF(G1060&lt;=35,"Moderate Variability","High Variability"))</f>
        <v/>
      </c>
      <c r="I1060" s="18">
        <f>'Raw Data'!O1060</f>
        <v/>
      </c>
      <c r="J1060" s="14">
        <f>IF(I1060=0,"No Flood",IF(I1060&lt;=0.5,"Low",IF(I1060&lt;=2,"Moderate","High")))</f>
        <v/>
      </c>
    </row>
    <row r="1061" ht="15" customHeight="1" s="12">
      <c r="A1061" s="14">
        <f>'Raw Data'!A1061</f>
        <v/>
      </c>
      <c r="B1061" s="14">
        <f>'Raw Data'!B1061</f>
        <v/>
      </c>
      <c r="C1061" s="14">
        <f>'Raw Data'!C1061</f>
        <v/>
      </c>
      <c r="D1061" s="15">
        <f>'Raw Data'!M1061</f>
        <v/>
      </c>
      <c r="E1061" s="18">
        <f>'Raw Data'!M1061/'Raw Data'!L1061*100</f>
        <v/>
      </c>
      <c r="F1061" s="14">
        <f>IF(E1061&gt;15,"Wet Year",IF(E1061&lt;-15,"Dry Year","Normal Year"))</f>
        <v/>
      </c>
      <c r="G1061" s="16">
        <f>'Raw Data'!I1061</f>
        <v/>
      </c>
      <c r="H1061" s="14">
        <f>IF(G1061&lt;15,"Low Variability",IF(G1061&lt;=35,"Moderate Variability","High Variability"))</f>
        <v/>
      </c>
      <c r="I1061" s="18">
        <f>'Raw Data'!O1061</f>
        <v/>
      </c>
      <c r="J1061" s="14">
        <f>IF(I1061=0,"No Flood",IF(I1061&lt;=0.5,"Low",IF(I1061&lt;=2,"Moderate","High")))</f>
        <v/>
      </c>
    </row>
    <row r="1062" ht="15" customHeight="1" s="12">
      <c r="A1062" s="14">
        <f>'Raw Data'!A1062</f>
        <v/>
      </c>
      <c r="B1062" s="14">
        <f>'Raw Data'!B1062</f>
        <v/>
      </c>
      <c r="C1062" s="14">
        <f>'Raw Data'!C1062</f>
        <v/>
      </c>
      <c r="D1062" s="15">
        <f>'Raw Data'!M1062</f>
        <v/>
      </c>
      <c r="E1062" s="18">
        <f>'Raw Data'!M1062/'Raw Data'!L1062*100</f>
        <v/>
      </c>
      <c r="F1062" s="14">
        <f>IF(E1062&gt;15,"Wet Year",IF(E1062&lt;-15,"Dry Year","Normal Year"))</f>
        <v/>
      </c>
      <c r="G1062" s="16">
        <f>'Raw Data'!I1062</f>
        <v/>
      </c>
      <c r="H1062" s="14">
        <f>IF(G1062&lt;15,"Low Variability",IF(G1062&lt;=35,"Moderate Variability","High Variability"))</f>
        <v/>
      </c>
      <c r="I1062" s="18">
        <f>'Raw Data'!O1062</f>
        <v/>
      </c>
      <c r="J1062" s="14">
        <f>IF(I1062=0,"No Flood",IF(I1062&lt;=0.5,"Low",IF(I1062&lt;=2,"Moderate","High")))</f>
        <v/>
      </c>
    </row>
    <row r="1063" ht="15" customHeight="1" s="12">
      <c r="A1063" s="14">
        <f>'Raw Data'!A1063</f>
        <v/>
      </c>
      <c r="B1063" s="14">
        <f>'Raw Data'!B1063</f>
        <v/>
      </c>
      <c r="C1063" s="14">
        <f>'Raw Data'!C1063</f>
        <v/>
      </c>
      <c r="D1063" s="15">
        <f>'Raw Data'!M1063</f>
        <v/>
      </c>
      <c r="E1063" s="18">
        <f>'Raw Data'!M1063/'Raw Data'!L1063*100</f>
        <v/>
      </c>
      <c r="F1063" s="14">
        <f>IF(E1063&gt;15,"Wet Year",IF(E1063&lt;-15,"Dry Year","Normal Year"))</f>
        <v/>
      </c>
      <c r="G1063" s="16">
        <f>'Raw Data'!I1063</f>
        <v/>
      </c>
      <c r="H1063" s="14">
        <f>IF(G1063&lt;15,"Low Variability",IF(G1063&lt;=35,"Moderate Variability","High Variability"))</f>
        <v/>
      </c>
      <c r="I1063" s="18">
        <f>'Raw Data'!O1063</f>
        <v/>
      </c>
      <c r="J1063" s="14">
        <f>IF(I1063=0,"No Flood",IF(I1063&lt;=0.5,"Low",IF(I1063&lt;=2,"Moderate","High")))</f>
        <v/>
      </c>
    </row>
    <row r="1064" ht="15" customHeight="1" s="12">
      <c r="A1064" s="14">
        <f>'Raw Data'!A1064</f>
        <v/>
      </c>
      <c r="B1064" s="14">
        <f>'Raw Data'!B1064</f>
        <v/>
      </c>
      <c r="C1064" s="14">
        <f>'Raw Data'!C1064</f>
        <v/>
      </c>
      <c r="D1064" s="15">
        <f>'Raw Data'!M1064</f>
        <v/>
      </c>
      <c r="E1064" s="18">
        <f>'Raw Data'!M1064/'Raw Data'!L1064*100</f>
        <v/>
      </c>
      <c r="F1064" s="14">
        <f>IF(E1064&gt;15,"Wet Year",IF(E1064&lt;-15,"Dry Year","Normal Year"))</f>
        <v/>
      </c>
      <c r="G1064" s="16">
        <f>'Raw Data'!I1064</f>
        <v/>
      </c>
      <c r="H1064" s="14">
        <f>IF(G1064&lt;15,"Low Variability",IF(G1064&lt;=35,"Moderate Variability","High Variability"))</f>
        <v/>
      </c>
      <c r="I1064" s="18">
        <f>'Raw Data'!O1064</f>
        <v/>
      </c>
      <c r="J1064" s="14">
        <f>IF(I1064=0,"No Flood",IF(I1064&lt;=0.5,"Low",IF(I1064&lt;=2,"Moderate","High")))</f>
        <v/>
      </c>
    </row>
    <row r="1065" ht="15" customHeight="1" s="12">
      <c r="A1065" s="14">
        <f>'Raw Data'!A1065</f>
        <v/>
      </c>
      <c r="B1065" s="14">
        <f>'Raw Data'!B1065</f>
        <v/>
      </c>
      <c r="C1065" s="14">
        <f>'Raw Data'!C1065</f>
        <v/>
      </c>
      <c r="D1065" s="15">
        <f>'Raw Data'!M1065</f>
        <v/>
      </c>
      <c r="E1065" s="18">
        <f>'Raw Data'!M1065/'Raw Data'!L1065*100</f>
        <v/>
      </c>
      <c r="F1065" s="14">
        <f>IF(E1065&gt;15,"Wet Year",IF(E1065&lt;-15,"Dry Year","Normal Year"))</f>
        <v/>
      </c>
      <c r="G1065" s="16">
        <f>'Raw Data'!I1065</f>
        <v/>
      </c>
      <c r="H1065" s="14">
        <f>IF(G1065&lt;15,"Low Variability",IF(G1065&lt;=35,"Moderate Variability","High Variability"))</f>
        <v/>
      </c>
      <c r="I1065" s="18">
        <f>'Raw Data'!O1065</f>
        <v/>
      </c>
      <c r="J1065" s="14">
        <f>IF(I1065=0,"No Flood",IF(I1065&lt;=0.5,"Low",IF(I1065&lt;=2,"Moderate","High")))</f>
        <v/>
      </c>
    </row>
    <row r="1066" ht="15" customHeight="1" s="12">
      <c r="A1066" s="14">
        <f>'Raw Data'!A1066</f>
        <v/>
      </c>
      <c r="B1066" s="14">
        <f>'Raw Data'!B1066</f>
        <v/>
      </c>
      <c r="C1066" s="14">
        <f>'Raw Data'!C1066</f>
        <v/>
      </c>
      <c r="D1066" s="15">
        <f>'Raw Data'!M1066</f>
        <v/>
      </c>
      <c r="E1066" s="18">
        <f>'Raw Data'!M1066/'Raw Data'!L1066*100</f>
        <v/>
      </c>
      <c r="F1066" s="14">
        <f>IF(E1066&gt;15,"Wet Year",IF(E1066&lt;-15,"Dry Year","Normal Year"))</f>
        <v/>
      </c>
      <c r="G1066" s="16">
        <f>'Raw Data'!I1066</f>
        <v/>
      </c>
      <c r="H1066" s="14">
        <f>IF(G1066&lt;15,"Low Variability",IF(G1066&lt;=35,"Moderate Variability","High Variability"))</f>
        <v/>
      </c>
      <c r="I1066" s="18">
        <f>'Raw Data'!O1066</f>
        <v/>
      </c>
      <c r="J1066" s="14">
        <f>IF(I1066=0,"No Flood",IF(I1066&lt;=0.5,"Low",IF(I1066&lt;=2,"Moderate","High")))</f>
        <v/>
      </c>
    </row>
    <row r="1067" ht="15" customHeight="1" s="12">
      <c r="A1067" s="14">
        <f>'Raw Data'!A1067</f>
        <v/>
      </c>
      <c r="B1067" s="14">
        <f>'Raw Data'!B1067</f>
        <v/>
      </c>
      <c r="C1067" s="14">
        <f>'Raw Data'!C1067</f>
        <v/>
      </c>
      <c r="D1067" s="15">
        <f>'Raw Data'!M1067</f>
        <v/>
      </c>
      <c r="E1067" s="18">
        <f>'Raw Data'!M1067/'Raw Data'!L1067*100</f>
        <v/>
      </c>
      <c r="F1067" s="14">
        <f>IF(E1067&gt;15,"Wet Year",IF(E1067&lt;-15,"Dry Year","Normal Year"))</f>
        <v/>
      </c>
      <c r="G1067" s="16">
        <f>'Raw Data'!I1067</f>
        <v/>
      </c>
      <c r="H1067" s="14">
        <f>IF(G1067&lt;15,"Low Variability",IF(G1067&lt;=35,"Moderate Variability","High Variability"))</f>
        <v/>
      </c>
      <c r="I1067" s="18">
        <f>'Raw Data'!O1067</f>
        <v/>
      </c>
      <c r="J1067" s="14">
        <f>IF(I1067=0,"No Flood",IF(I1067&lt;=0.5,"Low",IF(I1067&lt;=2,"Moderate","High")))</f>
        <v/>
      </c>
    </row>
    <row r="1068" ht="15" customHeight="1" s="12">
      <c r="A1068" s="14">
        <f>'Raw Data'!A1068</f>
        <v/>
      </c>
      <c r="B1068" s="14">
        <f>'Raw Data'!B1068</f>
        <v/>
      </c>
      <c r="C1068" s="14">
        <f>'Raw Data'!C1068</f>
        <v/>
      </c>
      <c r="D1068" s="15">
        <f>'Raw Data'!M1068</f>
        <v/>
      </c>
      <c r="E1068" s="18">
        <f>'Raw Data'!M1068/'Raw Data'!L1068*100</f>
        <v/>
      </c>
      <c r="F1068" s="14">
        <f>IF(E1068&gt;15,"Wet Year",IF(E1068&lt;-15,"Dry Year","Normal Year"))</f>
        <v/>
      </c>
      <c r="G1068" s="16">
        <f>'Raw Data'!I1068</f>
        <v/>
      </c>
      <c r="H1068" s="14">
        <f>IF(G1068&lt;15,"Low Variability",IF(G1068&lt;=35,"Moderate Variability","High Variability"))</f>
        <v/>
      </c>
      <c r="I1068" s="18">
        <f>'Raw Data'!O1068</f>
        <v/>
      </c>
      <c r="J1068" s="14">
        <f>IF(I1068=0,"No Flood",IF(I1068&lt;=0.5,"Low",IF(I1068&lt;=2,"Moderate","High")))</f>
        <v/>
      </c>
    </row>
    <row r="1069" ht="15" customHeight="1" s="12">
      <c r="A1069" s="14">
        <f>'Raw Data'!A1069</f>
        <v/>
      </c>
      <c r="B1069" s="14">
        <f>'Raw Data'!B1069</f>
        <v/>
      </c>
      <c r="C1069" s="14">
        <f>'Raw Data'!C1069</f>
        <v/>
      </c>
      <c r="D1069" s="15">
        <f>'Raw Data'!M1069</f>
        <v/>
      </c>
      <c r="E1069" s="18">
        <f>'Raw Data'!M1069/'Raw Data'!L1069*100</f>
        <v/>
      </c>
      <c r="F1069" s="14">
        <f>IF(E1069&gt;15,"Wet Year",IF(E1069&lt;-15,"Dry Year","Normal Year"))</f>
        <v/>
      </c>
      <c r="G1069" s="16">
        <f>'Raw Data'!I1069</f>
        <v/>
      </c>
      <c r="H1069" s="14">
        <f>IF(G1069&lt;15,"Low Variability",IF(G1069&lt;=35,"Moderate Variability","High Variability"))</f>
        <v/>
      </c>
      <c r="I1069" s="18">
        <f>'Raw Data'!O1069</f>
        <v/>
      </c>
      <c r="J1069" s="14">
        <f>IF(I1069=0,"No Flood",IF(I1069&lt;=0.5,"Low",IF(I1069&lt;=2,"Moderate","High")))</f>
        <v/>
      </c>
    </row>
    <row r="1070" ht="15" customHeight="1" s="12">
      <c r="A1070" s="14">
        <f>'Raw Data'!A1070</f>
        <v/>
      </c>
      <c r="B1070" s="14">
        <f>'Raw Data'!B1070</f>
        <v/>
      </c>
      <c r="C1070" s="14">
        <f>'Raw Data'!C1070</f>
        <v/>
      </c>
      <c r="D1070" s="15">
        <f>'Raw Data'!M1070</f>
        <v/>
      </c>
      <c r="E1070" s="18">
        <f>'Raw Data'!M1070/'Raw Data'!L1070*100</f>
        <v/>
      </c>
      <c r="F1070" s="14">
        <f>IF(E1070&gt;15,"Wet Year",IF(E1070&lt;-15,"Dry Year","Normal Year"))</f>
        <v/>
      </c>
      <c r="G1070" s="16">
        <f>'Raw Data'!I1070</f>
        <v/>
      </c>
      <c r="H1070" s="14">
        <f>IF(G1070&lt;15,"Low Variability",IF(G1070&lt;=35,"Moderate Variability","High Variability"))</f>
        <v/>
      </c>
      <c r="I1070" s="18">
        <f>'Raw Data'!O1070</f>
        <v/>
      </c>
      <c r="J1070" s="14">
        <f>IF(I1070=0,"No Flood",IF(I1070&lt;=0.5,"Low",IF(I1070&lt;=2,"Moderate","High")))</f>
        <v/>
      </c>
    </row>
    <row r="1071" ht="15" customHeight="1" s="12">
      <c r="A1071" s="14">
        <f>'Raw Data'!A1071</f>
        <v/>
      </c>
      <c r="B1071" s="14">
        <f>'Raw Data'!B1071</f>
        <v/>
      </c>
      <c r="C1071" s="14">
        <f>'Raw Data'!C1071</f>
        <v/>
      </c>
      <c r="D1071" s="15">
        <f>'Raw Data'!M1071</f>
        <v/>
      </c>
      <c r="E1071" s="18">
        <f>'Raw Data'!M1071/'Raw Data'!L1071*100</f>
        <v/>
      </c>
      <c r="F1071" s="14">
        <f>IF(E1071&gt;15,"Wet Year",IF(E1071&lt;-15,"Dry Year","Normal Year"))</f>
        <v/>
      </c>
      <c r="G1071" s="16">
        <f>'Raw Data'!I1071</f>
        <v/>
      </c>
      <c r="H1071" s="14">
        <f>IF(G1071&lt;15,"Low Variability",IF(G1071&lt;=35,"Moderate Variability","High Variability"))</f>
        <v/>
      </c>
      <c r="I1071" s="18">
        <f>'Raw Data'!O1071</f>
        <v/>
      </c>
      <c r="J1071" s="14">
        <f>IF(I1071=0,"No Flood",IF(I1071&lt;=0.5,"Low",IF(I1071&lt;=2,"Moderate","High")))</f>
        <v/>
      </c>
    </row>
    <row r="1072" ht="15" customHeight="1" s="12">
      <c r="A1072" s="14">
        <f>'Raw Data'!A1072</f>
        <v/>
      </c>
      <c r="B1072" s="14">
        <f>'Raw Data'!B1072</f>
        <v/>
      </c>
      <c r="C1072" s="14">
        <f>'Raw Data'!C1072</f>
        <v/>
      </c>
      <c r="D1072" s="15">
        <f>'Raw Data'!M1072</f>
        <v/>
      </c>
      <c r="E1072" s="18">
        <f>'Raw Data'!M1072/'Raw Data'!L1072*100</f>
        <v/>
      </c>
      <c r="F1072" s="14">
        <f>IF(E1072&gt;15,"Wet Year",IF(E1072&lt;-15,"Dry Year","Normal Year"))</f>
        <v/>
      </c>
      <c r="G1072" s="16">
        <f>'Raw Data'!I1072</f>
        <v/>
      </c>
      <c r="H1072" s="14">
        <f>IF(G1072&lt;15,"Low Variability",IF(G1072&lt;=35,"Moderate Variability","High Variability"))</f>
        <v/>
      </c>
      <c r="I1072" s="18">
        <f>'Raw Data'!O1072</f>
        <v/>
      </c>
      <c r="J1072" s="14">
        <f>IF(I1072=0,"No Flood",IF(I1072&lt;=0.5,"Low",IF(I1072&lt;=2,"Moderate","High")))</f>
        <v/>
      </c>
    </row>
    <row r="1073" ht="15" customHeight="1" s="12">
      <c r="A1073" s="14">
        <f>'Raw Data'!A1073</f>
        <v/>
      </c>
      <c r="B1073" s="14">
        <f>'Raw Data'!B1073</f>
        <v/>
      </c>
      <c r="C1073" s="14">
        <f>'Raw Data'!C1073</f>
        <v/>
      </c>
      <c r="D1073" s="15">
        <f>'Raw Data'!M1073</f>
        <v/>
      </c>
      <c r="E1073" s="18">
        <f>'Raw Data'!M1073/'Raw Data'!L1073*100</f>
        <v/>
      </c>
      <c r="F1073" s="14">
        <f>IF(E1073&gt;15,"Wet Year",IF(E1073&lt;-15,"Dry Year","Normal Year"))</f>
        <v/>
      </c>
      <c r="G1073" s="16">
        <f>'Raw Data'!I1073</f>
        <v/>
      </c>
      <c r="H1073" s="14">
        <f>IF(G1073&lt;15,"Low Variability",IF(G1073&lt;=35,"Moderate Variability","High Variability"))</f>
        <v/>
      </c>
      <c r="I1073" s="18">
        <f>'Raw Data'!O1073</f>
        <v/>
      </c>
      <c r="J1073" s="14">
        <f>IF(I1073=0,"No Flood",IF(I1073&lt;=0.5,"Low",IF(I1073&lt;=2,"Moderate","High")))</f>
        <v/>
      </c>
    </row>
    <row r="1074" ht="15" customHeight="1" s="12">
      <c r="A1074" s="14">
        <f>'Raw Data'!A1074</f>
        <v/>
      </c>
      <c r="B1074" s="14">
        <f>'Raw Data'!B1074</f>
        <v/>
      </c>
      <c r="C1074" s="14">
        <f>'Raw Data'!C1074</f>
        <v/>
      </c>
      <c r="D1074" s="15">
        <f>'Raw Data'!M1074</f>
        <v/>
      </c>
      <c r="E1074" s="18">
        <f>'Raw Data'!M1074/'Raw Data'!L1074*100</f>
        <v/>
      </c>
      <c r="F1074" s="14">
        <f>IF(E1074&gt;15,"Wet Year",IF(E1074&lt;-15,"Dry Year","Normal Year"))</f>
        <v/>
      </c>
      <c r="G1074" s="16">
        <f>'Raw Data'!I1074</f>
        <v/>
      </c>
      <c r="H1074" s="14">
        <f>IF(G1074&lt;15,"Low Variability",IF(G1074&lt;=35,"Moderate Variability","High Variability"))</f>
        <v/>
      </c>
      <c r="I1074" s="18">
        <f>'Raw Data'!O1074</f>
        <v/>
      </c>
      <c r="J1074" s="14">
        <f>IF(I1074=0,"No Flood",IF(I1074&lt;=0.5,"Low",IF(I1074&lt;=2,"Moderate","High")))</f>
        <v/>
      </c>
    </row>
    <row r="1075" ht="15" customHeight="1" s="12">
      <c r="A1075" s="14">
        <f>'Raw Data'!A1075</f>
        <v/>
      </c>
      <c r="B1075" s="14">
        <f>'Raw Data'!B1075</f>
        <v/>
      </c>
      <c r="C1075" s="14">
        <f>'Raw Data'!C1075</f>
        <v/>
      </c>
      <c r="D1075" s="15">
        <f>'Raw Data'!M1075</f>
        <v/>
      </c>
      <c r="E1075" s="18">
        <f>'Raw Data'!M1075/'Raw Data'!L1075*100</f>
        <v/>
      </c>
      <c r="F1075" s="14">
        <f>IF(E1075&gt;15,"Wet Year",IF(E1075&lt;-15,"Dry Year","Normal Year"))</f>
        <v/>
      </c>
      <c r="G1075" s="16">
        <f>'Raw Data'!I1075</f>
        <v/>
      </c>
      <c r="H1075" s="14">
        <f>IF(G1075&lt;15,"Low Variability",IF(G1075&lt;=35,"Moderate Variability","High Variability"))</f>
        <v/>
      </c>
      <c r="I1075" s="18">
        <f>'Raw Data'!O1075</f>
        <v/>
      </c>
      <c r="J1075" s="14">
        <f>IF(I1075=0,"No Flood",IF(I1075&lt;=0.5,"Low",IF(I1075&lt;=2,"Moderate","High")))</f>
        <v/>
      </c>
    </row>
    <row r="1076" ht="15" customHeight="1" s="12">
      <c r="A1076" s="14">
        <f>'Raw Data'!A1076</f>
        <v/>
      </c>
      <c r="B1076" s="14">
        <f>'Raw Data'!B1076</f>
        <v/>
      </c>
      <c r="C1076" s="14">
        <f>'Raw Data'!C1076</f>
        <v/>
      </c>
      <c r="D1076" s="15">
        <f>'Raw Data'!M1076</f>
        <v/>
      </c>
      <c r="E1076" s="18">
        <f>'Raw Data'!M1076/'Raw Data'!L1076*100</f>
        <v/>
      </c>
      <c r="F1076" s="14">
        <f>IF(E1076&gt;15,"Wet Year",IF(E1076&lt;-15,"Dry Year","Normal Year"))</f>
        <v/>
      </c>
      <c r="G1076" s="16">
        <f>'Raw Data'!I1076</f>
        <v/>
      </c>
      <c r="H1076" s="14">
        <f>IF(G1076&lt;15,"Low Variability",IF(G1076&lt;=35,"Moderate Variability","High Variability"))</f>
        <v/>
      </c>
      <c r="I1076" s="18">
        <f>'Raw Data'!O1076</f>
        <v/>
      </c>
      <c r="J1076" s="14">
        <f>IF(I1076=0,"No Flood",IF(I1076&lt;=0.5,"Low",IF(I1076&lt;=2,"Moderate","High")))</f>
        <v/>
      </c>
    </row>
    <row r="1077" ht="15" customHeight="1" s="12">
      <c r="A1077" s="14">
        <f>'Raw Data'!A1077</f>
        <v/>
      </c>
      <c r="B1077" s="14">
        <f>'Raw Data'!B1077</f>
        <v/>
      </c>
      <c r="C1077" s="14">
        <f>'Raw Data'!C1077</f>
        <v/>
      </c>
      <c r="D1077" s="15">
        <f>'Raw Data'!M1077</f>
        <v/>
      </c>
      <c r="E1077" s="18">
        <f>'Raw Data'!M1077/'Raw Data'!L1077*100</f>
        <v/>
      </c>
      <c r="F1077" s="14">
        <f>IF(E1077&gt;15,"Wet Year",IF(E1077&lt;-15,"Dry Year","Normal Year"))</f>
        <v/>
      </c>
      <c r="G1077" s="16">
        <f>'Raw Data'!I1077</f>
        <v/>
      </c>
      <c r="H1077" s="14">
        <f>IF(G1077&lt;15,"Low Variability",IF(G1077&lt;=35,"Moderate Variability","High Variability"))</f>
        <v/>
      </c>
      <c r="I1077" s="18">
        <f>'Raw Data'!O1077</f>
        <v/>
      </c>
      <c r="J1077" s="14">
        <f>IF(I1077=0,"No Flood",IF(I1077&lt;=0.5,"Low",IF(I1077&lt;=2,"Moderate","High")))</f>
        <v/>
      </c>
    </row>
    <row r="1078" ht="15" customHeight="1" s="12">
      <c r="A1078" s="14">
        <f>'Raw Data'!A1078</f>
        <v/>
      </c>
      <c r="B1078" s="14">
        <f>'Raw Data'!B1078</f>
        <v/>
      </c>
      <c r="C1078" s="14">
        <f>'Raw Data'!C1078</f>
        <v/>
      </c>
      <c r="D1078" s="15">
        <f>'Raw Data'!M1078</f>
        <v/>
      </c>
      <c r="E1078" s="18">
        <f>'Raw Data'!M1078/'Raw Data'!L1078*100</f>
        <v/>
      </c>
      <c r="F1078" s="14">
        <f>IF(E1078&gt;15,"Wet Year",IF(E1078&lt;-15,"Dry Year","Normal Year"))</f>
        <v/>
      </c>
      <c r="G1078" s="16">
        <f>'Raw Data'!I1078</f>
        <v/>
      </c>
      <c r="H1078" s="14">
        <f>IF(G1078&lt;15,"Low Variability",IF(G1078&lt;=35,"Moderate Variability","High Variability"))</f>
        <v/>
      </c>
      <c r="I1078" s="18">
        <f>'Raw Data'!O1078</f>
        <v/>
      </c>
      <c r="J1078" s="14">
        <f>IF(I1078=0,"No Flood",IF(I1078&lt;=0.5,"Low",IF(I1078&lt;=2,"Moderate","High")))</f>
        <v/>
      </c>
    </row>
    <row r="1079" ht="15" customHeight="1" s="12">
      <c r="A1079" s="14">
        <f>'Raw Data'!A1079</f>
        <v/>
      </c>
      <c r="B1079" s="14">
        <f>'Raw Data'!B1079</f>
        <v/>
      </c>
      <c r="C1079" s="14">
        <f>'Raw Data'!C1079</f>
        <v/>
      </c>
      <c r="D1079" s="15">
        <f>'Raw Data'!M1079</f>
        <v/>
      </c>
      <c r="E1079" s="18">
        <f>'Raw Data'!M1079/'Raw Data'!L1079*100</f>
        <v/>
      </c>
      <c r="F1079" s="14">
        <f>IF(E1079&gt;15,"Wet Year",IF(E1079&lt;-15,"Dry Year","Normal Year"))</f>
        <v/>
      </c>
      <c r="G1079" s="16">
        <f>'Raw Data'!I1079</f>
        <v/>
      </c>
      <c r="H1079" s="14">
        <f>IF(G1079&lt;15,"Low Variability",IF(G1079&lt;=35,"Moderate Variability","High Variability"))</f>
        <v/>
      </c>
      <c r="I1079" s="18">
        <f>'Raw Data'!O1079</f>
        <v/>
      </c>
      <c r="J1079" s="14">
        <f>IF(I1079=0,"No Flood",IF(I1079&lt;=0.5,"Low",IF(I1079&lt;=2,"Moderate","High")))</f>
        <v/>
      </c>
    </row>
    <row r="1080" ht="15" customHeight="1" s="12">
      <c r="A1080" s="14">
        <f>'Raw Data'!A1080</f>
        <v/>
      </c>
      <c r="B1080" s="14">
        <f>'Raw Data'!B1080</f>
        <v/>
      </c>
      <c r="C1080" s="14">
        <f>'Raw Data'!C1080</f>
        <v/>
      </c>
      <c r="D1080" s="15">
        <f>'Raw Data'!M1080</f>
        <v/>
      </c>
      <c r="E1080" s="18">
        <f>'Raw Data'!M1080/'Raw Data'!L1080*100</f>
        <v/>
      </c>
      <c r="F1080" s="14">
        <f>IF(E1080&gt;15,"Wet Year",IF(E1080&lt;-15,"Dry Year","Normal Year"))</f>
        <v/>
      </c>
      <c r="G1080" s="16">
        <f>'Raw Data'!I1080</f>
        <v/>
      </c>
      <c r="H1080" s="14">
        <f>IF(G1080&lt;15,"Low Variability",IF(G1080&lt;=35,"Moderate Variability","High Variability"))</f>
        <v/>
      </c>
      <c r="I1080" s="18">
        <f>'Raw Data'!O1080</f>
        <v/>
      </c>
      <c r="J1080" s="14">
        <f>IF(I1080=0,"No Flood",IF(I1080&lt;=0.5,"Low",IF(I1080&lt;=2,"Moderate","High")))</f>
        <v/>
      </c>
    </row>
    <row r="1081" ht="15" customHeight="1" s="12">
      <c r="A1081" s="14">
        <f>'Raw Data'!A1081</f>
        <v/>
      </c>
      <c r="B1081" s="14">
        <f>'Raw Data'!B1081</f>
        <v/>
      </c>
      <c r="C1081" s="14">
        <f>'Raw Data'!C1081</f>
        <v/>
      </c>
      <c r="D1081" s="15">
        <f>'Raw Data'!M1081</f>
        <v/>
      </c>
      <c r="E1081" s="18">
        <f>'Raw Data'!M1081/'Raw Data'!L1081*100</f>
        <v/>
      </c>
      <c r="F1081" s="14">
        <f>IF(E1081&gt;15,"Wet Year",IF(E1081&lt;-15,"Dry Year","Normal Year"))</f>
        <v/>
      </c>
      <c r="G1081" s="16">
        <f>'Raw Data'!I1081</f>
        <v/>
      </c>
      <c r="H1081" s="14">
        <f>IF(G1081&lt;15,"Low Variability",IF(G1081&lt;=35,"Moderate Variability","High Variability"))</f>
        <v/>
      </c>
      <c r="I1081" s="18">
        <f>'Raw Data'!O1081</f>
        <v/>
      </c>
      <c r="J1081" s="14">
        <f>IF(I1081=0,"No Flood",IF(I1081&lt;=0.5,"Low",IF(I1081&lt;=2,"Moderate","High")))</f>
        <v/>
      </c>
    </row>
    <row r="1082" ht="15" customHeight="1" s="12">
      <c r="A1082" s="14">
        <f>'Raw Data'!A1082</f>
        <v/>
      </c>
      <c r="B1082" s="14">
        <f>'Raw Data'!B1082</f>
        <v/>
      </c>
      <c r="C1082" s="14">
        <f>'Raw Data'!C1082</f>
        <v/>
      </c>
      <c r="D1082" s="15">
        <f>'Raw Data'!M1082</f>
        <v/>
      </c>
      <c r="E1082" s="18">
        <f>'Raw Data'!M1082/'Raw Data'!L1082*100</f>
        <v/>
      </c>
      <c r="F1082" s="14">
        <f>IF(E1082&gt;15,"Wet Year",IF(E1082&lt;-15,"Dry Year","Normal Year"))</f>
        <v/>
      </c>
      <c r="G1082" s="16">
        <f>'Raw Data'!I1082</f>
        <v/>
      </c>
      <c r="H1082" s="14">
        <f>IF(G1082&lt;15,"Low Variability",IF(G1082&lt;=35,"Moderate Variability","High Variability"))</f>
        <v/>
      </c>
      <c r="I1082" s="18">
        <f>'Raw Data'!O1082</f>
        <v/>
      </c>
      <c r="J1082" s="14">
        <f>IF(I1082=0,"No Flood",IF(I1082&lt;=0.5,"Low",IF(I1082&lt;=2,"Moderate","High")))</f>
        <v/>
      </c>
    </row>
    <row r="1083" ht="15" customHeight="1" s="12">
      <c r="A1083" s="14">
        <f>'Raw Data'!A1083</f>
        <v/>
      </c>
      <c r="B1083" s="14">
        <f>'Raw Data'!B1083</f>
        <v/>
      </c>
      <c r="C1083" s="14">
        <f>'Raw Data'!C1083</f>
        <v/>
      </c>
      <c r="D1083" s="15">
        <f>'Raw Data'!M1083</f>
        <v/>
      </c>
      <c r="E1083" s="18">
        <f>'Raw Data'!M1083/'Raw Data'!L1083*100</f>
        <v/>
      </c>
      <c r="F1083" s="14">
        <f>IF(E1083&gt;15,"Wet Year",IF(E1083&lt;-15,"Dry Year","Normal Year"))</f>
        <v/>
      </c>
      <c r="G1083" s="16">
        <f>'Raw Data'!I1083</f>
        <v/>
      </c>
      <c r="H1083" s="14">
        <f>IF(G1083&lt;15,"Low Variability",IF(G1083&lt;=35,"Moderate Variability","High Variability"))</f>
        <v/>
      </c>
      <c r="I1083" s="18">
        <f>'Raw Data'!O1083</f>
        <v/>
      </c>
      <c r="J1083" s="14">
        <f>IF(I1083=0,"No Flood",IF(I1083&lt;=0.5,"Low",IF(I1083&lt;=2,"Moderate","High")))</f>
        <v/>
      </c>
    </row>
    <row r="1084" ht="15" customHeight="1" s="12">
      <c r="A1084" s="14">
        <f>'Raw Data'!A1084</f>
        <v/>
      </c>
      <c r="B1084" s="14">
        <f>'Raw Data'!B1084</f>
        <v/>
      </c>
      <c r="C1084" s="14">
        <f>'Raw Data'!C1084</f>
        <v/>
      </c>
      <c r="D1084" s="15">
        <f>'Raw Data'!M1084</f>
        <v/>
      </c>
      <c r="E1084" s="18">
        <f>'Raw Data'!M1084/'Raw Data'!L1084*100</f>
        <v/>
      </c>
      <c r="F1084" s="14">
        <f>IF(E1084&gt;15,"Wet Year",IF(E1084&lt;-15,"Dry Year","Normal Year"))</f>
        <v/>
      </c>
      <c r="G1084" s="16">
        <f>'Raw Data'!I1084</f>
        <v/>
      </c>
      <c r="H1084" s="14">
        <f>IF(G1084&lt;15,"Low Variability",IF(G1084&lt;=35,"Moderate Variability","High Variability"))</f>
        <v/>
      </c>
      <c r="I1084" s="18">
        <f>'Raw Data'!O1084</f>
        <v/>
      </c>
      <c r="J1084" s="14">
        <f>IF(I1084=0,"No Flood",IF(I1084&lt;=0.5,"Low",IF(I1084&lt;=2,"Moderate","High")))</f>
        <v/>
      </c>
    </row>
    <row r="1085" ht="15" customHeight="1" s="12">
      <c r="A1085" s="14">
        <f>'Raw Data'!A1085</f>
        <v/>
      </c>
      <c r="B1085" s="14">
        <f>'Raw Data'!B1085</f>
        <v/>
      </c>
      <c r="C1085" s="14">
        <f>'Raw Data'!C1085</f>
        <v/>
      </c>
      <c r="D1085" s="15">
        <f>'Raw Data'!M1085</f>
        <v/>
      </c>
      <c r="E1085" s="18">
        <f>'Raw Data'!M1085/'Raw Data'!L1085*100</f>
        <v/>
      </c>
      <c r="F1085" s="14">
        <f>IF(E1085&gt;15,"Wet Year",IF(E1085&lt;-15,"Dry Year","Normal Year"))</f>
        <v/>
      </c>
      <c r="G1085" s="16">
        <f>'Raw Data'!I1085</f>
        <v/>
      </c>
      <c r="H1085" s="14">
        <f>IF(G1085&lt;15,"Low Variability",IF(G1085&lt;=35,"Moderate Variability","High Variability"))</f>
        <v/>
      </c>
      <c r="I1085" s="18">
        <f>'Raw Data'!O1085</f>
        <v/>
      </c>
      <c r="J1085" s="14">
        <f>IF(I1085=0,"No Flood",IF(I1085&lt;=0.5,"Low",IF(I1085&lt;=2,"Moderate","High")))</f>
        <v/>
      </c>
    </row>
    <row r="1086" ht="15" customHeight="1" s="12">
      <c r="A1086" s="14">
        <f>'Raw Data'!A1086</f>
        <v/>
      </c>
      <c r="B1086" s="14">
        <f>'Raw Data'!B1086</f>
        <v/>
      </c>
      <c r="C1086" s="14">
        <f>'Raw Data'!C1086</f>
        <v/>
      </c>
      <c r="D1086" s="15">
        <f>'Raw Data'!M1086</f>
        <v/>
      </c>
      <c r="E1086" s="18">
        <f>'Raw Data'!M1086/'Raw Data'!L1086*100</f>
        <v/>
      </c>
      <c r="F1086" s="14">
        <f>IF(E1086&gt;15,"Wet Year",IF(E1086&lt;-15,"Dry Year","Normal Year"))</f>
        <v/>
      </c>
      <c r="G1086" s="16">
        <f>'Raw Data'!I1086</f>
        <v/>
      </c>
      <c r="H1086" s="14">
        <f>IF(G1086&lt;15,"Low Variability",IF(G1086&lt;=35,"Moderate Variability","High Variability"))</f>
        <v/>
      </c>
      <c r="I1086" s="18">
        <f>'Raw Data'!O1086</f>
        <v/>
      </c>
      <c r="J1086" s="14">
        <f>IF(I1086=0,"No Flood",IF(I1086&lt;=0.5,"Low",IF(I1086&lt;=2,"Moderate","High")))</f>
        <v/>
      </c>
    </row>
    <row r="1087" ht="15" customHeight="1" s="12">
      <c r="A1087" s="14">
        <f>'Raw Data'!A1087</f>
        <v/>
      </c>
      <c r="B1087" s="14">
        <f>'Raw Data'!B1087</f>
        <v/>
      </c>
      <c r="C1087" s="14">
        <f>'Raw Data'!C1087</f>
        <v/>
      </c>
      <c r="D1087" s="15">
        <f>'Raw Data'!M1087</f>
        <v/>
      </c>
      <c r="E1087" s="18">
        <f>'Raw Data'!M1087/'Raw Data'!L1087*100</f>
        <v/>
      </c>
      <c r="F1087" s="14">
        <f>IF(E1087&gt;15,"Wet Year",IF(E1087&lt;-15,"Dry Year","Normal Year"))</f>
        <v/>
      </c>
      <c r="G1087" s="16">
        <f>'Raw Data'!I1087</f>
        <v/>
      </c>
      <c r="H1087" s="14">
        <f>IF(G1087&lt;15,"Low Variability",IF(G1087&lt;=35,"Moderate Variability","High Variability"))</f>
        <v/>
      </c>
      <c r="I1087" s="18">
        <f>'Raw Data'!O1087</f>
        <v/>
      </c>
      <c r="J1087" s="14">
        <f>IF(I1087=0,"No Flood",IF(I1087&lt;=0.5,"Low",IF(I1087&lt;=2,"Moderate","High")))</f>
        <v/>
      </c>
    </row>
    <row r="1088" ht="15" customHeight="1" s="12">
      <c r="A1088" s="14">
        <f>'Raw Data'!A1088</f>
        <v/>
      </c>
      <c r="B1088" s="14">
        <f>'Raw Data'!B1088</f>
        <v/>
      </c>
      <c r="C1088" s="14">
        <f>'Raw Data'!C1088</f>
        <v/>
      </c>
      <c r="D1088" s="15">
        <f>'Raw Data'!M1088</f>
        <v/>
      </c>
      <c r="E1088" s="18">
        <f>'Raw Data'!M1088/'Raw Data'!L1088*100</f>
        <v/>
      </c>
      <c r="F1088" s="14">
        <f>IF(E1088&gt;15,"Wet Year",IF(E1088&lt;-15,"Dry Year","Normal Year"))</f>
        <v/>
      </c>
      <c r="G1088" s="16">
        <f>'Raw Data'!I1088</f>
        <v/>
      </c>
      <c r="H1088" s="14">
        <f>IF(G1088&lt;15,"Low Variability",IF(G1088&lt;=35,"Moderate Variability","High Variability"))</f>
        <v/>
      </c>
      <c r="I1088" s="18">
        <f>'Raw Data'!O1088</f>
        <v/>
      </c>
      <c r="J1088" s="14">
        <f>IF(I1088=0,"No Flood",IF(I1088&lt;=0.5,"Low",IF(I1088&lt;=2,"Moderate","High")))</f>
        <v/>
      </c>
    </row>
    <row r="1089" ht="15" customHeight="1" s="12">
      <c r="A1089" s="14">
        <f>'Raw Data'!A1089</f>
        <v/>
      </c>
      <c r="B1089" s="14">
        <f>'Raw Data'!B1089</f>
        <v/>
      </c>
      <c r="C1089" s="14">
        <f>'Raw Data'!C1089</f>
        <v/>
      </c>
      <c r="D1089" s="15">
        <f>'Raw Data'!M1089</f>
        <v/>
      </c>
      <c r="E1089" s="18">
        <f>'Raw Data'!M1089/'Raw Data'!L1089*100</f>
        <v/>
      </c>
      <c r="F1089" s="14">
        <f>IF(E1089&gt;15,"Wet Year",IF(E1089&lt;-15,"Dry Year","Normal Year"))</f>
        <v/>
      </c>
      <c r="G1089" s="16">
        <f>'Raw Data'!I1089</f>
        <v/>
      </c>
      <c r="H1089" s="14">
        <f>IF(G1089&lt;15,"Low Variability",IF(G1089&lt;=35,"Moderate Variability","High Variability"))</f>
        <v/>
      </c>
      <c r="I1089" s="18">
        <f>'Raw Data'!O1089</f>
        <v/>
      </c>
      <c r="J1089" s="14">
        <f>IF(I1089=0,"No Flood",IF(I1089&lt;=0.5,"Low",IF(I1089&lt;=2,"Moderate","High")))</f>
        <v/>
      </c>
    </row>
    <row r="1090" ht="15" customHeight="1" s="12">
      <c r="A1090" s="14">
        <f>'Raw Data'!A1090</f>
        <v/>
      </c>
      <c r="B1090" s="14">
        <f>'Raw Data'!B1090</f>
        <v/>
      </c>
      <c r="C1090" s="14">
        <f>'Raw Data'!C1090</f>
        <v/>
      </c>
      <c r="D1090" s="15">
        <f>'Raw Data'!M1090</f>
        <v/>
      </c>
      <c r="E1090" s="18">
        <f>'Raw Data'!M1090/'Raw Data'!L1090*100</f>
        <v/>
      </c>
      <c r="F1090" s="14">
        <f>IF(E1090&gt;15,"Wet Year",IF(E1090&lt;-15,"Dry Year","Normal Year"))</f>
        <v/>
      </c>
      <c r="G1090" s="16">
        <f>'Raw Data'!I1090</f>
        <v/>
      </c>
      <c r="H1090" s="14">
        <f>IF(G1090&lt;15,"Low Variability",IF(G1090&lt;=35,"Moderate Variability","High Variability"))</f>
        <v/>
      </c>
      <c r="I1090" s="18">
        <f>'Raw Data'!O1090</f>
        <v/>
      </c>
      <c r="J1090" s="14">
        <f>IF(I1090=0,"No Flood",IF(I1090&lt;=0.5,"Low",IF(I1090&lt;=2,"Moderate","High")))</f>
        <v/>
      </c>
    </row>
    <row r="1091" ht="15" customHeight="1" s="12">
      <c r="A1091" s="14">
        <f>'Raw Data'!A1091</f>
        <v/>
      </c>
      <c r="B1091" s="14">
        <f>'Raw Data'!B1091</f>
        <v/>
      </c>
      <c r="C1091" s="14">
        <f>'Raw Data'!C1091</f>
        <v/>
      </c>
      <c r="D1091" s="15">
        <f>'Raw Data'!M1091</f>
        <v/>
      </c>
      <c r="E1091" s="18">
        <f>'Raw Data'!M1091/'Raw Data'!L1091*100</f>
        <v/>
      </c>
      <c r="F1091" s="14">
        <f>IF(E1091&gt;15,"Wet Year",IF(E1091&lt;-15,"Dry Year","Normal Year"))</f>
        <v/>
      </c>
      <c r="G1091" s="16">
        <f>'Raw Data'!I1091</f>
        <v/>
      </c>
      <c r="H1091" s="14">
        <f>IF(G1091&lt;15,"Low Variability",IF(G1091&lt;=35,"Moderate Variability","High Variability"))</f>
        <v/>
      </c>
      <c r="I1091" s="18">
        <f>'Raw Data'!O1091</f>
        <v/>
      </c>
      <c r="J1091" s="14">
        <f>IF(I1091=0,"No Flood",IF(I1091&lt;=0.5,"Low",IF(I1091&lt;=2,"Moderate","High")))</f>
        <v/>
      </c>
    </row>
    <row r="1092" ht="15" customHeight="1" s="12">
      <c r="A1092" s="14">
        <f>'Raw Data'!A1092</f>
        <v/>
      </c>
      <c r="B1092" s="14">
        <f>'Raw Data'!B1092</f>
        <v/>
      </c>
      <c r="C1092" s="14">
        <f>'Raw Data'!C1092</f>
        <v/>
      </c>
      <c r="D1092" s="15">
        <f>'Raw Data'!M1092</f>
        <v/>
      </c>
      <c r="E1092" s="18">
        <f>'Raw Data'!M1092/'Raw Data'!L1092*100</f>
        <v/>
      </c>
      <c r="F1092" s="14">
        <f>IF(E1092&gt;15,"Wet Year",IF(E1092&lt;-15,"Dry Year","Normal Year"))</f>
        <v/>
      </c>
      <c r="G1092" s="16">
        <f>'Raw Data'!I1092</f>
        <v/>
      </c>
      <c r="H1092" s="14">
        <f>IF(G1092&lt;15,"Low Variability",IF(G1092&lt;=35,"Moderate Variability","High Variability"))</f>
        <v/>
      </c>
      <c r="I1092" s="18">
        <f>'Raw Data'!O1092</f>
        <v/>
      </c>
      <c r="J1092" s="14">
        <f>IF(I1092=0,"No Flood",IF(I1092&lt;=0.5,"Low",IF(I1092&lt;=2,"Moderate","High")))</f>
        <v/>
      </c>
    </row>
    <row r="1093" ht="15" customHeight="1" s="12">
      <c r="A1093" s="14">
        <f>'Raw Data'!A1093</f>
        <v/>
      </c>
      <c r="B1093" s="14">
        <f>'Raw Data'!B1093</f>
        <v/>
      </c>
      <c r="C1093" s="14">
        <f>'Raw Data'!C1093</f>
        <v/>
      </c>
      <c r="D1093" s="15">
        <f>'Raw Data'!M1093</f>
        <v/>
      </c>
      <c r="E1093" s="18">
        <f>'Raw Data'!M1093/'Raw Data'!L1093*100</f>
        <v/>
      </c>
      <c r="F1093" s="14">
        <f>IF(E1093&gt;15,"Wet Year",IF(E1093&lt;-15,"Dry Year","Normal Year"))</f>
        <v/>
      </c>
      <c r="G1093" s="16">
        <f>'Raw Data'!I1093</f>
        <v/>
      </c>
      <c r="H1093" s="14">
        <f>IF(G1093&lt;15,"Low Variability",IF(G1093&lt;=35,"Moderate Variability","High Variability"))</f>
        <v/>
      </c>
      <c r="I1093" s="18">
        <f>'Raw Data'!O1093</f>
        <v/>
      </c>
      <c r="J1093" s="14">
        <f>IF(I1093=0,"No Flood",IF(I1093&lt;=0.5,"Low",IF(I1093&lt;=2,"Moderate","High")))</f>
        <v/>
      </c>
    </row>
    <row r="1094" ht="15" customHeight="1" s="12">
      <c r="A1094" s="14">
        <f>'Raw Data'!A1094</f>
        <v/>
      </c>
      <c r="B1094" s="14">
        <f>'Raw Data'!B1094</f>
        <v/>
      </c>
      <c r="C1094" s="14">
        <f>'Raw Data'!C1094</f>
        <v/>
      </c>
      <c r="D1094" s="15">
        <f>'Raw Data'!M1094</f>
        <v/>
      </c>
      <c r="E1094" s="18">
        <f>'Raw Data'!M1094/'Raw Data'!L1094*100</f>
        <v/>
      </c>
      <c r="F1094" s="14">
        <f>IF(E1094&gt;15,"Wet Year",IF(E1094&lt;-15,"Dry Year","Normal Year"))</f>
        <v/>
      </c>
      <c r="G1094" s="16">
        <f>'Raw Data'!I1094</f>
        <v/>
      </c>
      <c r="H1094" s="14">
        <f>IF(G1094&lt;15,"Low Variability",IF(G1094&lt;=35,"Moderate Variability","High Variability"))</f>
        <v/>
      </c>
      <c r="I1094" s="18">
        <f>'Raw Data'!O1094</f>
        <v/>
      </c>
      <c r="J1094" s="14">
        <f>IF(I1094=0,"No Flood",IF(I1094&lt;=0.5,"Low",IF(I1094&lt;=2,"Moderate","High")))</f>
        <v/>
      </c>
    </row>
    <row r="1095" ht="15" customHeight="1" s="12">
      <c r="A1095" s="14">
        <f>'Raw Data'!A1095</f>
        <v/>
      </c>
      <c r="B1095" s="14">
        <f>'Raw Data'!B1095</f>
        <v/>
      </c>
      <c r="C1095" s="14">
        <f>'Raw Data'!C1095</f>
        <v/>
      </c>
      <c r="D1095" s="15">
        <f>'Raw Data'!M1095</f>
        <v/>
      </c>
      <c r="E1095" s="18">
        <f>'Raw Data'!M1095/'Raw Data'!L1095*100</f>
        <v/>
      </c>
      <c r="F1095" s="14">
        <f>IF(E1095&gt;15,"Wet Year",IF(E1095&lt;-15,"Dry Year","Normal Year"))</f>
        <v/>
      </c>
      <c r="G1095" s="16">
        <f>'Raw Data'!I1095</f>
        <v/>
      </c>
      <c r="H1095" s="14">
        <f>IF(G1095&lt;15,"Low Variability",IF(G1095&lt;=35,"Moderate Variability","High Variability"))</f>
        <v/>
      </c>
      <c r="I1095" s="18">
        <f>'Raw Data'!O1095</f>
        <v/>
      </c>
      <c r="J1095" s="14">
        <f>IF(I1095=0,"No Flood",IF(I1095&lt;=0.5,"Low",IF(I1095&lt;=2,"Moderate","High")))</f>
        <v/>
      </c>
    </row>
    <row r="1096" ht="15" customHeight="1" s="12">
      <c r="A1096" s="14">
        <f>'Raw Data'!A1096</f>
        <v/>
      </c>
      <c r="B1096" s="14">
        <f>'Raw Data'!B1096</f>
        <v/>
      </c>
      <c r="C1096" s="14">
        <f>'Raw Data'!C1096</f>
        <v/>
      </c>
      <c r="D1096" s="15">
        <f>'Raw Data'!M1096</f>
        <v/>
      </c>
      <c r="E1096" s="18">
        <f>'Raw Data'!M1096/'Raw Data'!L1096*100</f>
        <v/>
      </c>
      <c r="F1096" s="14">
        <f>IF(E1096&gt;15,"Wet Year",IF(E1096&lt;-15,"Dry Year","Normal Year"))</f>
        <v/>
      </c>
      <c r="G1096" s="16">
        <f>'Raw Data'!I1096</f>
        <v/>
      </c>
      <c r="H1096" s="14">
        <f>IF(G1096&lt;15,"Low Variability",IF(G1096&lt;=35,"Moderate Variability","High Variability"))</f>
        <v/>
      </c>
      <c r="I1096" s="18">
        <f>'Raw Data'!O1096</f>
        <v/>
      </c>
      <c r="J1096" s="14">
        <f>IF(I1096=0,"No Flood",IF(I1096&lt;=0.5,"Low",IF(I1096&lt;=2,"Moderate","High")))</f>
        <v/>
      </c>
    </row>
    <row r="1097" ht="15" customHeight="1" s="12">
      <c r="A1097" s="14">
        <f>'Raw Data'!A1097</f>
        <v/>
      </c>
      <c r="B1097" s="14">
        <f>'Raw Data'!B1097</f>
        <v/>
      </c>
      <c r="C1097" s="14">
        <f>'Raw Data'!C1097</f>
        <v/>
      </c>
      <c r="D1097" s="15">
        <f>'Raw Data'!M1097</f>
        <v/>
      </c>
      <c r="E1097" s="18">
        <f>'Raw Data'!M1097/'Raw Data'!L1097*100</f>
        <v/>
      </c>
      <c r="F1097" s="14">
        <f>IF(E1097&gt;15,"Wet Year",IF(E1097&lt;-15,"Dry Year","Normal Year"))</f>
        <v/>
      </c>
      <c r="G1097" s="16">
        <f>'Raw Data'!I1097</f>
        <v/>
      </c>
      <c r="H1097" s="14">
        <f>IF(G1097&lt;15,"Low Variability",IF(G1097&lt;=35,"Moderate Variability","High Variability"))</f>
        <v/>
      </c>
      <c r="I1097" s="18">
        <f>'Raw Data'!O1097</f>
        <v/>
      </c>
      <c r="J1097" s="14">
        <f>IF(I1097=0,"No Flood",IF(I1097&lt;=0.5,"Low",IF(I1097&lt;=2,"Moderate","High")))</f>
        <v/>
      </c>
    </row>
    <row r="1098" ht="15" customHeight="1" s="12">
      <c r="A1098" s="14">
        <f>'Raw Data'!A1098</f>
        <v/>
      </c>
      <c r="B1098" s="14">
        <f>'Raw Data'!B1098</f>
        <v/>
      </c>
      <c r="C1098" s="14">
        <f>'Raw Data'!C1098</f>
        <v/>
      </c>
      <c r="D1098" s="15">
        <f>'Raw Data'!M1098</f>
        <v/>
      </c>
      <c r="E1098" s="18">
        <f>'Raw Data'!M1098/'Raw Data'!L1098*100</f>
        <v/>
      </c>
      <c r="F1098" s="14">
        <f>IF(E1098&gt;15,"Wet Year",IF(E1098&lt;-15,"Dry Year","Normal Year"))</f>
        <v/>
      </c>
      <c r="G1098" s="16">
        <f>'Raw Data'!I1098</f>
        <v/>
      </c>
      <c r="H1098" s="14">
        <f>IF(G1098&lt;15,"Low Variability",IF(G1098&lt;=35,"Moderate Variability","High Variability"))</f>
        <v/>
      </c>
      <c r="I1098" s="18">
        <f>'Raw Data'!O1098</f>
        <v/>
      </c>
      <c r="J1098" s="14">
        <f>IF(I1098=0,"No Flood",IF(I1098&lt;=0.5,"Low",IF(I1098&lt;=2,"Moderate","High")))</f>
        <v/>
      </c>
    </row>
    <row r="1099" ht="15" customHeight="1" s="12">
      <c r="A1099" s="14">
        <f>'Raw Data'!A1099</f>
        <v/>
      </c>
      <c r="B1099" s="14">
        <f>'Raw Data'!B1099</f>
        <v/>
      </c>
      <c r="C1099" s="14">
        <f>'Raw Data'!C1099</f>
        <v/>
      </c>
      <c r="D1099" s="15">
        <f>'Raw Data'!M1099</f>
        <v/>
      </c>
      <c r="E1099" s="18">
        <f>'Raw Data'!M1099/'Raw Data'!L1099*100</f>
        <v/>
      </c>
      <c r="F1099" s="14">
        <f>IF(E1099&gt;15,"Wet Year",IF(E1099&lt;-15,"Dry Year","Normal Year"))</f>
        <v/>
      </c>
      <c r="G1099" s="16">
        <f>'Raw Data'!I1099</f>
        <v/>
      </c>
      <c r="H1099" s="14">
        <f>IF(G1099&lt;15,"Low Variability",IF(G1099&lt;=35,"Moderate Variability","High Variability"))</f>
        <v/>
      </c>
      <c r="I1099" s="18">
        <f>'Raw Data'!O1099</f>
        <v/>
      </c>
      <c r="J1099" s="14">
        <f>IF(I1099=0,"No Flood",IF(I1099&lt;=0.5,"Low",IF(I1099&lt;=2,"Moderate","High")))</f>
        <v/>
      </c>
    </row>
    <row r="1100" ht="15" customHeight="1" s="12">
      <c r="A1100" s="14">
        <f>'Raw Data'!A1100</f>
        <v/>
      </c>
      <c r="B1100" s="14">
        <f>'Raw Data'!B1100</f>
        <v/>
      </c>
      <c r="C1100" s="14">
        <f>'Raw Data'!C1100</f>
        <v/>
      </c>
      <c r="D1100" s="15">
        <f>'Raw Data'!M1100</f>
        <v/>
      </c>
      <c r="E1100" s="18">
        <f>'Raw Data'!M1100/'Raw Data'!L1100*100</f>
        <v/>
      </c>
      <c r="F1100" s="14">
        <f>IF(E1100&gt;15,"Wet Year",IF(E1100&lt;-15,"Dry Year","Normal Year"))</f>
        <v/>
      </c>
      <c r="G1100" s="16">
        <f>'Raw Data'!I1100</f>
        <v/>
      </c>
      <c r="H1100" s="14">
        <f>IF(G1100&lt;15,"Low Variability",IF(G1100&lt;=35,"Moderate Variability","High Variability"))</f>
        <v/>
      </c>
      <c r="I1100" s="18">
        <f>'Raw Data'!O1100</f>
        <v/>
      </c>
      <c r="J1100" s="14">
        <f>IF(I1100=0,"No Flood",IF(I1100&lt;=0.5,"Low",IF(I1100&lt;=2,"Moderate","High")))</f>
        <v/>
      </c>
    </row>
    <row r="1101" ht="15" customHeight="1" s="12">
      <c r="A1101" s="14">
        <f>'Raw Data'!A1101</f>
        <v/>
      </c>
      <c r="B1101" s="14">
        <f>'Raw Data'!B1101</f>
        <v/>
      </c>
      <c r="C1101" s="14">
        <f>'Raw Data'!C1101</f>
        <v/>
      </c>
      <c r="D1101" s="15">
        <f>'Raw Data'!M1101</f>
        <v/>
      </c>
      <c r="E1101" s="18">
        <f>'Raw Data'!M1101/'Raw Data'!L1101*100</f>
        <v/>
      </c>
      <c r="F1101" s="14">
        <f>IF(E1101&gt;15,"Wet Year",IF(E1101&lt;-15,"Dry Year","Normal Year"))</f>
        <v/>
      </c>
      <c r="G1101" s="16">
        <f>'Raw Data'!I1101</f>
        <v/>
      </c>
      <c r="H1101" s="14">
        <f>IF(G1101&lt;15,"Low Variability",IF(G1101&lt;=35,"Moderate Variability","High Variability"))</f>
        <v/>
      </c>
      <c r="I1101" s="18">
        <f>'Raw Data'!O1101</f>
        <v/>
      </c>
      <c r="J1101" s="14">
        <f>IF(I1101=0,"No Flood",IF(I1101&lt;=0.5,"Low",IF(I1101&lt;=2,"Moderate","High")))</f>
        <v/>
      </c>
    </row>
    <row r="1102" ht="15" customHeight="1" s="12">
      <c r="A1102" s="14">
        <f>'Raw Data'!A1102</f>
        <v/>
      </c>
      <c r="B1102" s="14">
        <f>'Raw Data'!B1102</f>
        <v/>
      </c>
      <c r="C1102" s="14">
        <f>'Raw Data'!C1102</f>
        <v/>
      </c>
      <c r="D1102" s="15">
        <f>'Raw Data'!M1102</f>
        <v/>
      </c>
      <c r="E1102" s="18">
        <f>'Raw Data'!M1102/'Raw Data'!L1102*100</f>
        <v/>
      </c>
      <c r="F1102" s="14">
        <f>IF(E1102&gt;15,"Wet Year",IF(E1102&lt;-15,"Dry Year","Normal Year"))</f>
        <v/>
      </c>
      <c r="G1102" s="16">
        <f>'Raw Data'!I1102</f>
        <v/>
      </c>
      <c r="H1102" s="14">
        <f>IF(G1102&lt;15,"Low Variability",IF(G1102&lt;=35,"Moderate Variability","High Variability"))</f>
        <v/>
      </c>
      <c r="I1102" s="18">
        <f>'Raw Data'!O1102</f>
        <v/>
      </c>
      <c r="J1102" s="14">
        <f>IF(I1102=0,"No Flood",IF(I1102&lt;=0.5,"Low",IF(I1102&lt;=2,"Moderate","High")))</f>
        <v/>
      </c>
    </row>
    <row r="1103" ht="15" customHeight="1" s="12">
      <c r="A1103" s="14">
        <f>'Raw Data'!A1103</f>
        <v/>
      </c>
      <c r="B1103" s="14">
        <f>'Raw Data'!B1103</f>
        <v/>
      </c>
      <c r="C1103" s="14">
        <f>'Raw Data'!C1103</f>
        <v/>
      </c>
      <c r="D1103" s="15">
        <f>'Raw Data'!M1103</f>
        <v/>
      </c>
      <c r="E1103" s="18">
        <f>'Raw Data'!M1103/'Raw Data'!L1103*100</f>
        <v/>
      </c>
      <c r="F1103" s="14">
        <f>IF(E1103&gt;15,"Wet Year",IF(E1103&lt;-15,"Dry Year","Normal Year"))</f>
        <v/>
      </c>
      <c r="G1103" s="16">
        <f>'Raw Data'!I1103</f>
        <v/>
      </c>
      <c r="H1103" s="14">
        <f>IF(G1103&lt;15,"Low Variability",IF(G1103&lt;=35,"Moderate Variability","High Variability"))</f>
        <v/>
      </c>
      <c r="I1103" s="18">
        <f>'Raw Data'!O1103</f>
        <v/>
      </c>
      <c r="J1103" s="14">
        <f>IF(I1103=0,"No Flood",IF(I1103&lt;=0.5,"Low",IF(I1103&lt;=2,"Moderate","High")))</f>
        <v/>
      </c>
    </row>
    <row r="1104" ht="15" customHeight="1" s="12">
      <c r="A1104" s="14">
        <f>'Raw Data'!A1104</f>
        <v/>
      </c>
      <c r="B1104" s="14">
        <f>'Raw Data'!B1104</f>
        <v/>
      </c>
      <c r="C1104" s="14">
        <f>'Raw Data'!C1104</f>
        <v/>
      </c>
      <c r="D1104" s="15">
        <f>'Raw Data'!M1104</f>
        <v/>
      </c>
      <c r="E1104" s="18">
        <f>'Raw Data'!M1104/'Raw Data'!L1104*100</f>
        <v/>
      </c>
      <c r="F1104" s="14">
        <f>IF(E1104&gt;15,"Wet Year",IF(E1104&lt;-15,"Dry Year","Normal Year"))</f>
        <v/>
      </c>
      <c r="G1104" s="16">
        <f>'Raw Data'!I1104</f>
        <v/>
      </c>
      <c r="H1104" s="14">
        <f>IF(G1104&lt;15,"Low Variability",IF(G1104&lt;=35,"Moderate Variability","High Variability"))</f>
        <v/>
      </c>
      <c r="I1104" s="18">
        <f>'Raw Data'!O1104</f>
        <v/>
      </c>
      <c r="J1104" s="14">
        <f>IF(I1104=0,"No Flood",IF(I1104&lt;=0.5,"Low",IF(I1104&lt;=2,"Moderate","High")))</f>
        <v/>
      </c>
    </row>
    <row r="1105" ht="15" customHeight="1" s="12">
      <c r="A1105" s="14">
        <f>'Raw Data'!A1105</f>
        <v/>
      </c>
      <c r="B1105" s="14">
        <f>'Raw Data'!B1105</f>
        <v/>
      </c>
      <c r="C1105" s="14">
        <f>'Raw Data'!C1105</f>
        <v/>
      </c>
      <c r="D1105" s="15">
        <f>'Raw Data'!M1105</f>
        <v/>
      </c>
      <c r="E1105" s="18">
        <f>'Raw Data'!M1105/'Raw Data'!L1105*100</f>
        <v/>
      </c>
      <c r="F1105" s="14">
        <f>IF(E1105&gt;15,"Wet Year",IF(E1105&lt;-15,"Dry Year","Normal Year"))</f>
        <v/>
      </c>
      <c r="G1105" s="16">
        <f>'Raw Data'!I1105</f>
        <v/>
      </c>
      <c r="H1105" s="14">
        <f>IF(G1105&lt;15,"Low Variability",IF(G1105&lt;=35,"Moderate Variability","High Variability"))</f>
        <v/>
      </c>
      <c r="I1105" s="18">
        <f>'Raw Data'!O1105</f>
        <v/>
      </c>
      <c r="J1105" s="14">
        <f>IF(I1105=0,"No Flood",IF(I1105&lt;=0.5,"Low",IF(I1105&lt;=2,"Moderate","High")))</f>
        <v/>
      </c>
    </row>
    <row r="1106" ht="15" customHeight="1" s="12">
      <c r="A1106" s="14">
        <f>'Raw Data'!A1106</f>
        <v/>
      </c>
      <c r="B1106" s="14">
        <f>'Raw Data'!B1106</f>
        <v/>
      </c>
      <c r="C1106" s="14">
        <f>'Raw Data'!C1106</f>
        <v/>
      </c>
      <c r="D1106" s="15">
        <f>'Raw Data'!M1106</f>
        <v/>
      </c>
      <c r="E1106" s="18">
        <f>'Raw Data'!M1106/'Raw Data'!L1106*100</f>
        <v/>
      </c>
      <c r="F1106" s="14">
        <f>IF(E1106&gt;15,"Wet Year",IF(E1106&lt;-15,"Dry Year","Normal Year"))</f>
        <v/>
      </c>
      <c r="G1106" s="16">
        <f>'Raw Data'!I1106</f>
        <v/>
      </c>
      <c r="H1106" s="14">
        <f>IF(G1106&lt;15,"Low Variability",IF(G1106&lt;=35,"Moderate Variability","High Variability"))</f>
        <v/>
      </c>
      <c r="I1106" s="18">
        <f>'Raw Data'!O1106</f>
        <v/>
      </c>
      <c r="J1106" s="14">
        <f>IF(I1106=0,"No Flood",IF(I1106&lt;=0.5,"Low",IF(I1106&lt;=2,"Moderate","High")))</f>
        <v/>
      </c>
    </row>
    <row r="1107" ht="15" customHeight="1" s="12">
      <c r="A1107" s="14">
        <f>'Raw Data'!A1107</f>
        <v/>
      </c>
      <c r="B1107" s="14">
        <f>'Raw Data'!B1107</f>
        <v/>
      </c>
      <c r="C1107" s="14">
        <f>'Raw Data'!C1107</f>
        <v/>
      </c>
      <c r="D1107" s="15">
        <f>'Raw Data'!M1107</f>
        <v/>
      </c>
      <c r="E1107" s="18">
        <f>'Raw Data'!M1107/'Raw Data'!L1107*100</f>
        <v/>
      </c>
      <c r="F1107" s="14">
        <f>IF(E1107&gt;15,"Wet Year",IF(E1107&lt;-15,"Dry Year","Normal Year"))</f>
        <v/>
      </c>
      <c r="G1107" s="16">
        <f>'Raw Data'!I1107</f>
        <v/>
      </c>
      <c r="H1107" s="14">
        <f>IF(G1107&lt;15,"Low Variability",IF(G1107&lt;=35,"Moderate Variability","High Variability"))</f>
        <v/>
      </c>
      <c r="I1107" s="18">
        <f>'Raw Data'!O1107</f>
        <v/>
      </c>
      <c r="J1107" s="14">
        <f>IF(I1107=0,"No Flood",IF(I1107&lt;=0.5,"Low",IF(I1107&lt;=2,"Moderate","High")))</f>
        <v/>
      </c>
    </row>
    <row r="1108" ht="15" customHeight="1" s="12">
      <c r="A1108" s="14">
        <f>'Raw Data'!A1108</f>
        <v/>
      </c>
      <c r="B1108" s="14">
        <f>'Raw Data'!B1108</f>
        <v/>
      </c>
      <c r="C1108" s="14">
        <f>'Raw Data'!C1108</f>
        <v/>
      </c>
      <c r="D1108" s="15">
        <f>'Raw Data'!M1108</f>
        <v/>
      </c>
      <c r="E1108" s="18">
        <f>'Raw Data'!M1108/'Raw Data'!L1108*100</f>
        <v/>
      </c>
      <c r="F1108" s="14">
        <f>IF(E1108&gt;15,"Wet Year",IF(E1108&lt;-15,"Dry Year","Normal Year"))</f>
        <v/>
      </c>
      <c r="G1108" s="16">
        <f>'Raw Data'!I1108</f>
        <v/>
      </c>
      <c r="H1108" s="14">
        <f>IF(G1108&lt;15,"Low Variability",IF(G1108&lt;=35,"Moderate Variability","High Variability"))</f>
        <v/>
      </c>
      <c r="I1108" s="18">
        <f>'Raw Data'!O1108</f>
        <v/>
      </c>
      <c r="J1108" s="14">
        <f>IF(I1108=0,"No Flood",IF(I1108&lt;=0.5,"Low",IF(I1108&lt;=2,"Moderate","High")))</f>
        <v/>
      </c>
    </row>
    <row r="1109" ht="15" customHeight="1" s="12">
      <c r="A1109" s="14">
        <f>'Raw Data'!A1109</f>
        <v/>
      </c>
      <c r="B1109" s="14">
        <f>'Raw Data'!B1109</f>
        <v/>
      </c>
      <c r="C1109" s="14">
        <f>'Raw Data'!C1109</f>
        <v/>
      </c>
      <c r="D1109" s="15">
        <f>'Raw Data'!M1109</f>
        <v/>
      </c>
      <c r="E1109" s="18">
        <f>'Raw Data'!M1109/'Raw Data'!L1109*100</f>
        <v/>
      </c>
      <c r="F1109" s="14">
        <f>IF(E1109&gt;15,"Wet Year",IF(E1109&lt;-15,"Dry Year","Normal Year"))</f>
        <v/>
      </c>
      <c r="G1109" s="16">
        <f>'Raw Data'!I1109</f>
        <v/>
      </c>
      <c r="H1109" s="14">
        <f>IF(G1109&lt;15,"Low Variability",IF(G1109&lt;=35,"Moderate Variability","High Variability"))</f>
        <v/>
      </c>
      <c r="I1109" s="18">
        <f>'Raw Data'!O1109</f>
        <v/>
      </c>
      <c r="J1109" s="14">
        <f>IF(I1109=0,"No Flood",IF(I1109&lt;=0.5,"Low",IF(I1109&lt;=2,"Moderate","High")))</f>
        <v/>
      </c>
    </row>
    <row r="1110" ht="15" customHeight="1" s="12">
      <c r="A1110" s="14">
        <f>'Raw Data'!A1110</f>
        <v/>
      </c>
      <c r="B1110" s="14">
        <f>'Raw Data'!B1110</f>
        <v/>
      </c>
      <c r="C1110" s="14">
        <f>'Raw Data'!C1110</f>
        <v/>
      </c>
      <c r="D1110" s="15">
        <f>'Raw Data'!M1110</f>
        <v/>
      </c>
      <c r="E1110" s="18">
        <f>'Raw Data'!M1110/'Raw Data'!L1110*100</f>
        <v/>
      </c>
      <c r="F1110" s="14">
        <f>IF(E1110&gt;15,"Wet Year",IF(E1110&lt;-15,"Dry Year","Normal Year"))</f>
        <v/>
      </c>
      <c r="G1110" s="16">
        <f>'Raw Data'!I1110</f>
        <v/>
      </c>
      <c r="H1110" s="14">
        <f>IF(G1110&lt;15,"Low Variability",IF(G1110&lt;=35,"Moderate Variability","High Variability"))</f>
        <v/>
      </c>
      <c r="I1110" s="18">
        <f>'Raw Data'!O1110</f>
        <v/>
      </c>
      <c r="J1110" s="14">
        <f>IF(I1110=0,"No Flood",IF(I1110&lt;=0.5,"Low",IF(I1110&lt;=2,"Moderate","High")))</f>
        <v/>
      </c>
    </row>
    <row r="1111" ht="15" customHeight="1" s="12">
      <c r="A1111" s="14">
        <f>'Raw Data'!A1111</f>
        <v/>
      </c>
      <c r="B1111" s="14">
        <f>'Raw Data'!B1111</f>
        <v/>
      </c>
      <c r="C1111" s="14">
        <f>'Raw Data'!C1111</f>
        <v/>
      </c>
      <c r="D1111" s="15">
        <f>'Raw Data'!M1111</f>
        <v/>
      </c>
      <c r="E1111" s="18">
        <f>'Raw Data'!M1111/'Raw Data'!L1111*100</f>
        <v/>
      </c>
      <c r="F1111" s="14">
        <f>IF(E1111&gt;15,"Wet Year",IF(E1111&lt;-15,"Dry Year","Normal Year"))</f>
        <v/>
      </c>
      <c r="G1111" s="16">
        <f>'Raw Data'!I1111</f>
        <v/>
      </c>
      <c r="H1111" s="14">
        <f>IF(G1111&lt;15,"Low Variability",IF(G1111&lt;=35,"Moderate Variability","High Variability"))</f>
        <v/>
      </c>
      <c r="I1111" s="18">
        <f>'Raw Data'!O1111</f>
        <v/>
      </c>
      <c r="J1111" s="14">
        <f>IF(I1111=0,"No Flood",IF(I1111&lt;=0.5,"Low",IF(I1111&lt;=2,"Moderate","High")))</f>
        <v/>
      </c>
    </row>
    <row r="1112" ht="15" customHeight="1" s="12">
      <c r="A1112" s="14">
        <f>'Raw Data'!A1112</f>
        <v/>
      </c>
      <c r="B1112" s="14">
        <f>'Raw Data'!B1112</f>
        <v/>
      </c>
      <c r="C1112" s="14">
        <f>'Raw Data'!C1112</f>
        <v/>
      </c>
      <c r="D1112" s="15">
        <f>'Raw Data'!M1112</f>
        <v/>
      </c>
      <c r="E1112" s="18">
        <f>'Raw Data'!M1112/'Raw Data'!L1112*100</f>
        <v/>
      </c>
      <c r="F1112" s="14">
        <f>IF(E1112&gt;15,"Wet Year",IF(E1112&lt;-15,"Dry Year","Normal Year"))</f>
        <v/>
      </c>
      <c r="G1112" s="16">
        <f>'Raw Data'!I1112</f>
        <v/>
      </c>
      <c r="H1112" s="14">
        <f>IF(G1112&lt;15,"Low Variability",IF(G1112&lt;=35,"Moderate Variability","High Variability"))</f>
        <v/>
      </c>
      <c r="I1112" s="18">
        <f>'Raw Data'!O1112</f>
        <v/>
      </c>
      <c r="J1112" s="14">
        <f>IF(I1112=0,"No Flood",IF(I1112&lt;=0.5,"Low",IF(I1112&lt;=2,"Moderate","High")))</f>
        <v/>
      </c>
    </row>
    <row r="1113" ht="15" customHeight="1" s="12">
      <c r="A1113" s="14">
        <f>'Raw Data'!A1113</f>
        <v/>
      </c>
      <c r="B1113" s="14">
        <f>'Raw Data'!B1113</f>
        <v/>
      </c>
      <c r="C1113" s="14">
        <f>'Raw Data'!C1113</f>
        <v/>
      </c>
      <c r="D1113" s="15">
        <f>'Raw Data'!M1113</f>
        <v/>
      </c>
      <c r="E1113" s="18">
        <f>'Raw Data'!M1113/'Raw Data'!L1113*100</f>
        <v/>
      </c>
      <c r="F1113" s="14">
        <f>IF(E1113&gt;15,"Wet Year",IF(E1113&lt;-15,"Dry Year","Normal Year"))</f>
        <v/>
      </c>
      <c r="G1113" s="16">
        <f>'Raw Data'!I1113</f>
        <v/>
      </c>
      <c r="H1113" s="14">
        <f>IF(G1113&lt;15,"Low Variability",IF(G1113&lt;=35,"Moderate Variability","High Variability"))</f>
        <v/>
      </c>
      <c r="I1113" s="18">
        <f>'Raw Data'!O1113</f>
        <v/>
      </c>
      <c r="J1113" s="14">
        <f>IF(I1113=0,"No Flood",IF(I1113&lt;=0.5,"Low",IF(I1113&lt;=2,"Moderate","High")))</f>
        <v/>
      </c>
    </row>
    <row r="1114" ht="15" customHeight="1" s="12">
      <c r="A1114" s="14">
        <f>'Raw Data'!A1114</f>
        <v/>
      </c>
      <c r="B1114" s="14">
        <f>'Raw Data'!B1114</f>
        <v/>
      </c>
      <c r="C1114" s="14">
        <f>'Raw Data'!C1114</f>
        <v/>
      </c>
      <c r="D1114" s="15">
        <f>'Raw Data'!M1114</f>
        <v/>
      </c>
      <c r="E1114" s="18">
        <f>'Raw Data'!M1114/'Raw Data'!L1114*100</f>
        <v/>
      </c>
      <c r="F1114" s="14">
        <f>IF(E1114&gt;15,"Wet Year",IF(E1114&lt;-15,"Dry Year","Normal Year"))</f>
        <v/>
      </c>
      <c r="G1114" s="16">
        <f>'Raw Data'!I1114</f>
        <v/>
      </c>
      <c r="H1114" s="14">
        <f>IF(G1114&lt;15,"Low Variability",IF(G1114&lt;=35,"Moderate Variability","High Variability"))</f>
        <v/>
      </c>
      <c r="I1114" s="18">
        <f>'Raw Data'!O1114</f>
        <v/>
      </c>
      <c r="J1114" s="14">
        <f>IF(I1114=0,"No Flood",IF(I1114&lt;=0.5,"Low",IF(I1114&lt;=2,"Moderate","High")))</f>
        <v/>
      </c>
    </row>
    <row r="1115" ht="15" customHeight="1" s="12">
      <c r="A1115" s="14">
        <f>'Raw Data'!A1115</f>
        <v/>
      </c>
      <c r="B1115" s="14">
        <f>'Raw Data'!B1115</f>
        <v/>
      </c>
      <c r="C1115" s="14">
        <f>'Raw Data'!C1115</f>
        <v/>
      </c>
      <c r="D1115" s="15">
        <f>'Raw Data'!M1115</f>
        <v/>
      </c>
      <c r="E1115" s="18">
        <f>'Raw Data'!M1115/'Raw Data'!L1115*100</f>
        <v/>
      </c>
      <c r="F1115" s="14">
        <f>IF(E1115&gt;15,"Wet Year",IF(E1115&lt;-15,"Dry Year","Normal Year"))</f>
        <v/>
      </c>
      <c r="G1115" s="16">
        <f>'Raw Data'!I1115</f>
        <v/>
      </c>
      <c r="H1115" s="14">
        <f>IF(G1115&lt;15,"Low Variability",IF(G1115&lt;=35,"Moderate Variability","High Variability"))</f>
        <v/>
      </c>
      <c r="I1115" s="18">
        <f>'Raw Data'!O1115</f>
        <v/>
      </c>
      <c r="J1115" s="14">
        <f>IF(I1115=0,"No Flood",IF(I1115&lt;=0.5,"Low",IF(I1115&lt;=2,"Moderate","High")))</f>
        <v/>
      </c>
    </row>
    <row r="1116" ht="15" customHeight="1" s="12">
      <c r="A1116" s="14">
        <f>'Raw Data'!A1116</f>
        <v/>
      </c>
      <c r="B1116" s="14">
        <f>'Raw Data'!B1116</f>
        <v/>
      </c>
      <c r="C1116" s="14">
        <f>'Raw Data'!C1116</f>
        <v/>
      </c>
      <c r="D1116" s="15">
        <f>'Raw Data'!M1116</f>
        <v/>
      </c>
      <c r="E1116" s="18">
        <f>'Raw Data'!M1116/'Raw Data'!L1116*100</f>
        <v/>
      </c>
      <c r="F1116" s="14">
        <f>IF(E1116&gt;15,"Wet Year",IF(E1116&lt;-15,"Dry Year","Normal Year"))</f>
        <v/>
      </c>
      <c r="G1116" s="16">
        <f>'Raw Data'!I1116</f>
        <v/>
      </c>
      <c r="H1116" s="14">
        <f>IF(G1116&lt;15,"Low Variability",IF(G1116&lt;=35,"Moderate Variability","High Variability"))</f>
        <v/>
      </c>
      <c r="I1116" s="18">
        <f>'Raw Data'!O1116</f>
        <v/>
      </c>
      <c r="J1116" s="14">
        <f>IF(I1116=0,"No Flood",IF(I1116&lt;=0.5,"Low",IF(I1116&lt;=2,"Moderate","High")))</f>
        <v/>
      </c>
    </row>
    <row r="1117" ht="15" customHeight="1" s="12">
      <c r="A1117" s="14">
        <f>'Raw Data'!A1117</f>
        <v/>
      </c>
      <c r="B1117" s="14">
        <f>'Raw Data'!B1117</f>
        <v/>
      </c>
      <c r="C1117" s="14">
        <f>'Raw Data'!C1117</f>
        <v/>
      </c>
      <c r="D1117" s="15">
        <f>'Raw Data'!M1117</f>
        <v/>
      </c>
      <c r="E1117" s="18">
        <f>'Raw Data'!M1117/'Raw Data'!L1117*100</f>
        <v/>
      </c>
      <c r="F1117" s="14">
        <f>IF(E1117&gt;15,"Wet Year",IF(E1117&lt;-15,"Dry Year","Normal Year"))</f>
        <v/>
      </c>
      <c r="G1117" s="16">
        <f>'Raw Data'!I1117</f>
        <v/>
      </c>
      <c r="H1117" s="14">
        <f>IF(G1117&lt;15,"Low Variability",IF(G1117&lt;=35,"Moderate Variability","High Variability"))</f>
        <v/>
      </c>
      <c r="I1117" s="18">
        <f>'Raw Data'!O1117</f>
        <v/>
      </c>
      <c r="J1117" s="14">
        <f>IF(I1117=0,"No Flood",IF(I1117&lt;=0.5,"Low",IF(I1117&lt;=2,"Moderate","High")))</f>
        <v/>
      </c>
    </row>
    <row r="1118" ht="15" customHeight="1" s="12">
      <c r="A1118" s="14">
        <f>'Raw Data'!A1118</f>
        <v/>
      </c>
      <c r="B1118" s="14">
        <f>'Raw Data'!B1118</f>
        <v/>
      </c>
      <c r="C1118" s="14">
        <f>'Raw Data'!C1118</f>
        <v/>
      </c>
      <c r="D1118" s="15">
        <f>'Raw Data'!M1118</f>
        <v/>
      </c>
      <c r="E1118" s="18">
        <f>'Raw Data'!M1118/'Raw Data'!L1118*100</f>
        <v/>
      </c>
      <c r="F1118" s="14">
        <f>IF(E1118&gt;15,"Wet Year",IF(E1118&lt;-15,"Dry Year","Normal Year"))</f>
        <v/>
      </c>
      <c r="G1118" s="16">
        <f>'Raw Data'!I1118</f>
        <v/>
      </c>
      <c r="H1118" s="14">
        <f>IF(G1118&lt;15,"Low Variability",IF(G1118&lt;=35,"Moderate Variability","High Variability"))</f>
        <v/>
      </c>
      <c r="I1118" s="18">
        <f>'Raw Data'!O1118</f>
        <v/>
      </c>
      <c r="J1118" s="14">
        <f>IF(I1118=0,"No Flood",IF(I1118&lt;=0.5,"Low",IF(I1118&lt;=2,"Moderate","High")))</f>
        <v/>
      </c>
    </row>
    <row r="1119" ht="15" customHeight="1" s="12">
      <c r="A1119" s="14">
        <f>'Raw Data'!A1119</f>
        <v/>
      </c>
      <c r="B1119" s="14">
        <f>'Raw Data'!B1119</f>
        <v/>
      </c>
      <c r="C1119" s="14">
        <f>'Raw Data'!C1119</f>
        <v/>
      </c>
      <c r="D1119" s="15">
        <f>'Raw Data'!M1119</f>
        <v/>
      </c>
      <c r="E1119" s="18">
        <f>'Raw Data'!M1119/'Raw Data'!L1119*100</f>
        <v/>
      </c>
      <c r="F1119" s="14">
        <f>IF(E1119&gt;15,"Wet Year",IF(E1119&lt;-15,"Dry Year","Normal Year"))</f>
        <v/>
      </c>
      <c r="G1119" s="16">
        <f>'Raw Data'!I1119</f>
        <v/>
      </c>
      <c r="H1119" s="14">
        <f>IF(G1119&lt;15,"Low Variability",IF(G1119&lt;=35,"Moderate Variability","High Variability"))</f>
        <v/>
      </c>
      <c r="I1119" s="18">
        <f>'Raw Data'!O1119</f>
        <v/>
      </c>
      <c r="J1119" s="14">
        <f>IF(I1119=0,"No Flood",IF(I1119&lt;=0.5,"Low",IF(I1119&lt;=2,"Moderate","High")))</f>
        <v/>
      </c>
    </row>
    <row r="1120" ht="15" customHeight="1" s="12">
      <c r="A1120" s="14">
        <f>'Raw Data'!A1120</f>
        <v/>
      </c>
      <c r="B1120" s="14">
        <f>'Raw Data'!B1120</f>
        <v/>
      </c>
      <c r="C1120" s="14">
        <f>'Raw Data'!C1120</f>
        <v/>
      </c>
      <c r="D1120" s="15">
        <f>'Raw Data'!M1120</f>
        <v/>
      </c>
      <c r="E1120" s="18">
        <f>'Raw Data'!M1120/'Raw Data'!L1120*100</f>
        <v/>
      </c>
      <c r="F1120" s="14">
        <f>IF(E1120&gt;15,"Wet Year",IF(E1120&lt;-15,"Dry Year","Normal Year"))</f>
        <v/>
      </c>
      <c r="G1120" s="16">
        <f>'Raw Data'!I1120</f>
        <v/>
      </c>
      <c r="H1120" s="14">
        <f>IF(G1120&lt;15,"Low Variability",IF(G1120&lt;=35,"Moderate Variability","High Variability"))</f>
        <v/>
      </c>
      <c r="I1120" s="18">
        <f>'Raw Data'!O1120</f>
        <v/>
      </c>
      <c r="J1120" s="14">
        <f>IF(I1120=0,"No Flood",IF(I1120&lt;=0.5,"Low",IF(I1120&lt;=2,"Moderate","High")))</f>
        <v/>
      </c>
    </row>
    <row r="1121" ht="15" customHeight="1" s="12">
      <c r="A1121" s="14">
        <f>'Raw Data'!A1121</f>
        <v/>
      </c>
      <c r="B1121" s="14">
        <f>'Raw Data'!B1121</f>
        <v/>
      </c>
      <c r="C1121" s="14">
        <f>'Raw Data'!C1121</f>
        <v/>
      </c>
      <c r="D1121" s="15">
        <f>'Raw Data'!M1121</f>
        <v/>
      </c>
      <c r="E1121" s="18">
        <f>'Raw Data'!M1121/'Raw Data'!L1121*100</f>
        <v/>
      </c>
      <c r="F1121" s="14">
        <f>IF(E1121&gt;15,"Wet Year",IF(E1121&lt;-15,"Dry Year","Normal Year"))</f>
        <v/>
      </c>
      <c r="G1121" s="16">
        <f>'Raw Data'!I1121</f>
        <v/>
      </c>
      <c r="H1121" s="14">
        <f>IF(G1121&lt;15,"Low Variability",IF(G1121&lt;=35,"Moderate Variability","High Variability"))</f>
        <v/>
      </c>
      <c r="I1121" s="18">
        <f>'Raw Data'!O1121</f>
        <v/>
      </c>
      <c r="J1121" s="14">
        <f>IF(I1121=0,"No Flood",IF(I1121&lt;=0.5,"Low",IF(I1121&lt;=2,"Moderate","High")))</f>
        <v/>
      </c>
    </row>
    <row r="1122" ht="15" customHeight="1" s="12">
      <c r="A1122" s="14">
        <f>'Raw Data'!A1122</f>
        <v/>
      </c>
      <c r="B1122" s="14">
        <f>'Raw Data'!B1122</f>
        <v/>
      </c>
      <c r="C1122" s="14">
        <f>'Raw Data'!C1122</f>
        <v/>
      </c>
      <c r="D1122" s="15">
        <f>'Raw Data'!M1122</f>
        <v/>
      </c>
      <c r="E1122" s="18">
        <f>'Raw Data'!M1122/'Raw Data'!L1122*100</f>
        <v/>
      </c>
      <c r="F1122" s="14">
        <f>IF(E1122&gt;15,"Wet Year",IF(E1122&lt;-15,"Dry Year","Normal Year"))</f>
        <v/>
      </c>
      <c r="G1122" s="16">
        <f>'Raw Data'!I1122</f>
        <v/>
      </c>
      <c r="H1122" s="14">
        <f>IF(G1122&lt;15,"Low Variability",IF(G1122&lt;=35,"Moderate Variability","High Variability"))</f>
        <v/>
      </c>
      <c r="I1122" s="18">
        <f>'Raw Data'!O1122</f>
        <v/>
      </c>
      <c r="J1122" s="14">
        <f>IF(I1122=0,"No Flood",IF(I1122&lt;=0.5,"Low",IF(I1122&lt;=2,"Moderate","High")))</f>
        <v/>
      </c>
    </row>
    <row r="1123" ht="15" customHeight="1" s="12">
      <c r="A1123" s="14">
        <f>'Raw Data'!A1123</f>
        <v/>
      </c>
      <c r="B1123" s="14">
        <f>'Raw Data'!B1123</f>
        <v/>
      </c>
      <c r="C1123" s="14">
        <f>'Raw Data'!C1123</f>
        <v/>
      </c>
      <c r="D1123" s="15">
        <f>'Raw Data'!M1123</f>
        <v/>
      </c>
      <c r="E1123" s="18">
        <f>'Raw Data'!M1123/'Raw Data'!L1123*100</f>
        <v/>
      </c>
      <c r="F1123" s="14">
        <f>IF(E1123&gt;15,"Wet Year",IF(E1123&lt;-15,"Dry Year","Normal Year"))</f>
        <v/>
      </c>
      <c r="G1123" s="16">
        <f>'Raw Data'!I1123</f>
        <v/>
      </c>
      <c r="H1123" s="14">
        <f>IF(G1123&lt;15,"Low Variability",IF(G1123&lt;=35,"Moderate Variability","High Variability"))</f>
        <v/>
      </c>
      <c r="I1123" s="18">
        <f>'Raw Data'!O1123</f>
        <v/>
      </c>
      <c r="J1123" s="14">
        <f>IF(I1123=0,"No Flood",IF(I1123&lt;=0.5,"Low",IF(I1123&lt;=2,"Moderate","High")))</f>
        <v/>
      </c>
    </row>
    <row r="1124" ht="15" customHeight="1" s="12">
      <c r="A1124" s="14">
        <f>'Raw Data'!A1124</f>
        <v/>
      </c>
      <c r="B1124" s="14">
        <f>'Raw Data'!B1124</f>
        <v/>
      </c>
      <c r="C1124" s="14">
        <f>'Raw Data'!C1124</f>
        <v/>
      </c>
      <c r="D1124" s="15">
        <f>'Raw Data'!M1124</f>
        <v/>
      </c>
      <c r="E1124" s="18">
        <f>'Raw Data'!M1124/'Raw Data'!L1124*100</f>
        <v/>
      </c>
      <c r="F1124" s="14">
        <f>IF(E1124&gt;15,"Wet Year",IF(E1124&lt;-15,"Dry Year","Normal Year"))</f>
        <v/>
      </c>
      <c r="G1124" s="16">
        <f>'Raw Data'!I1124</f>
        <v/>
      </c>
      <c r="H1124" s="14">
        <f>IF(G1124&lt;15,"Low Variability",IF(G1124&lt;=35,"Moderate Variability","High Variability"))</f>
        <v/>
      </c>
      <c r="I1124" s="18">
        <f>'Raw Data'!O1124</f>
        <v/>
      </c>
      <c r="J1124" s="14">
        <f>IF(I1124=0,"No Flood",IF(I1124&lt;=0.5,"Low",IF(I1124&lt;=2,"Moderate","High")))</f>
        <v/>
      </c>
    </row>
    <row r="1125" ht="15" customHeight="1" s="12">
      <c r="A1125" s="14">
        <f>'Raw Data'!A1125</f>
        <v/>
      </c>
      <c r="B1125" s="14">
        <f>'Raw Data'!B1125</f>
        <v/>
      </c>
      <c r="C1125" s="14">
        <f>'Raw Data'!C1125</f>
        <v/>
      </c>
      <c r="D1125" s="15">
        <f>'Raw Data'!M1125</f>
        <v/>
      </c>
      <c r="E1125" s="18">
        <f>'Raw Data'!M1125/'Raw Data'!L1125*100</f>
        <v/>
      </c>
      <c r="F1125" s="14">
        <f>IF(E1125&gt;15,"Wet Year",IF(E1125&lt;-15,"Dry Year","Normal Year"))</f>
        <v/>
      </c>
      <c r="G1125" s="16">
        <f>'Raw Data'!I1125</f>
        <v/>
      </c>
      <c r="H1125" s="14">
        <f>IF(G1125&lt;15,"Low Variability",IF(G1125&lt;=35,"Moderate Variability","High Variability"))</f>
        <v/>
      </c>
      <c r="I1125" s="18">
        <f>'Raw Data'!O1125</f>
        <v/>
      </c>
      <c r="J1125" s="14">
        <f>IF(I1125=0,"No Flood",IF(I1125&lt;=0.5,"Low",IF(I1125&lt;=2,"Moderate","High")))</f>
        <v/>
      </c>
    </row>
    <row r="1126" ht="15" customHeight="1" s="12">
      <c r="A1126" s="14">
        <f>'Raw Data'!A1126</f>
        <v/>
      </c>
      <c r="B1126" s="14">
        <f>'Raw Data'!B1126</f>
        <v/>
      </c>
      <c r="C1126" s="14">
        <f>'Raw Data'!C1126</f>
        <v/>
      </c>
      <c r="D1126" s="15">
        <f>'Raw Data'!M1126</f>
        <v/>
      </c>
      <c r="E1126" s="18">
        <f>'Raw Data'!M1126/'Raw Data'!L1126*100</f>
        <v/>
      </c>
      <c r="F1126" s="14">
        <f>IF(E1126&gt;15,"Wet Year",IF(E1126&lt;-15,"Dry Year","Normal Year"))</f>
        <v/>
      </c>
      <c r="G1126" s="16">
        <f>'Raw Data'!I1126</f>
        <v/>
      </c>
      <c r="H1126" s="14">
        <f>IF(G1126&lt;15,"Low Variability",IF(G1126&lt;=35,"Moderate Variability","High Variability"))</f>
        <v/>
      </c>
      <c r="I1126" s="18">
        <f>'Raw Data'!O1126</f>
        <v/>
      </c>
      <c r="J1126" s="14">
        <f>IF(I1126=0,"No Flood",IF(I1126&lt;=0.5,"Low",IF(I1126&lt;=2,"Moderate","High")))</f>
        <v/>
      </c>
    </row>
    <row r="1127" ht="15" customHeight="1" s="12">
      <c r="A1127" s="14">
        <f>'Raw Data'!A1127</f>
        <v/>
      </c>
      <c r="B1127" s="14">
        <f>'Raw Data'!B1127</f>
        <v/>
      </c>
      <c r="C1127" s="14">
        <f>'Raw Data'!C1127</f>
        <v/>
      </c>
      <c r="D1127" s="15">
        <f>'Raw Data'!M1127</f>
        <v/>
      </c>
      <c r="E1127" s="18">
        <f>'Raw Data'!M1127/'Raw Data'!L1127*100</f>
        <v/>
      </c>
      <c r="F1127" s="14">
        <f>IF(E1127&gt;15,"Wet Year",IF(E1127&lt;-15,"Dry Year","Normal Year"))</f>
        <v/>
      </c>
      <c r="G1127" s="16">
        <f>'Raw Data'!I1127</f>
        <v/>
      </c>
      <c r="H1127" s="14">
        <f>IF(G1127&lt;15,"Low Variability",IF(G1127&lt;=35,"Moderate Variability","High Variability"))</f>
        <v/>
      </c>
      <c r="I1127" s="18">
        <f>'Raw Data'!O1127</f>
        <v/>
      </c>
      <c r="J1127" s="14">
        <f>IF(I1127=0,"No Flood",IF(I1127&lt;=0.5,"Low",IF(I1127&lt;=2,"Moderate","High")))</f>
        <v/>
      </c>
    </row>
    <row r="1128" ht="15" customHeight="1" s="12">
      <c r="A1128" s="14">
        <f>'Raw Data'!A1128</f>
        <v/>
      </c>
      <c r="B1128" s="14">
        <f>'Raw Data'!B1128</f>
        <v/>
      </c>
      <c r="C1128" s="14">
        <f>'Raw Data'!C1128</f>
        <v/>
      </c>
      <c r="D1128" s="15">
        <f>'Raw Data'!M1128</f>
        <v/>
      </c>
      <c r="E1128" s="18">
        <f>'Raw Data'!M1128/'Raw Data'!L1128*100</f>
        <v/>
      </c>
      <c r="F1128" s="14">
        <f>IF(E1128&gt;15,"Wet Year",IF(E1128&lt;-15,"Dry Year","Normal Year"))</f>
        <v/>
      </c>
      <c r="G1128" s="16">
        <f>'Raw Data'!I1128</f>
        <v/>
      </c>
      <c r="H1128" s="14">
        <f>IF(G1128&lt;15,"Low Variability",IF(G1128&lt;=35,"Moderate Variability","High Variability"))</f>
        <v/>
      </c>
      <c r="I1128" s="18">
        <f>'Raw Data'!O1128</f>
        <v/>
      </c>
      <c r="J1128" s="14">
        <f>IF(I1128=0,"No Flood",IF(I1128&lt;=0.5,"Low",IF(I1128&lt;=2,"Moderate","High")))</f>
        <v/>
      </c>
    </row>
    <row r="1129" ht="15" customHeight="1" s="12">
      <c r="A1129" s="14">
        <f>'Raw Data'!A1129</f>
        <v/>
      </c>
      <c r="B1129" s="14">
        <f>'Raw Data'!B1129</f>
        <v/>
      </c>
      <c r="C1129" s="14">
        <f>'Raw Data'!C1129</f>
        <v/>
      </c>
      <c r="D1129" s="15">
        <f>'Raw Data'!M1129</f>
        <v/>
      </c>
      <c r="E1129" s="18">
        <f>'Raw Data'!M1129/'Raw Data'!L1129*100</f>
        <v/>
      </c>
      <c r="F1129" s="14">
        <f>IF(E1129&gt;15,"Wet Year",IF(E1129&lt;-15,"Dry Year","Normal Year"))</f>
        <v/>
      </c>
      <c r="G1129" s="16">
        <f>'Raw Data'!I1129</f>
        <v/>
      </c>
      <c r="H1129" s="14">
        <f>IF(G1129&lt;15,"Low Variability",IF(G1129&lt;=35,"Moderate Variability","High Variability"))</f>
        <v/>
      </c>
      <c r="I1129" s="18">
        <f>'Raw Data'!O1129</f>
        <v/>
      </c>
      <c r="J1129" s="14">
        <f>IF(I1129=0,"No Flood",IF(I1129&lt;=0.5,"Low",IF(I1129&lt;=2,"Moderate","High")))</f>
        <v/>
      </c>
    </row>
    <row r="1130" ht="15" customHeight="1" s="12">
      <c r="A1130" s="14">
        <f>'Raw Data'!A1130</f>
        <v/>
      </c>
      <c r="B1130" s="14">
        <f>'Raw Data'!B1130</f>
        <v/>
      </c>
      <c r="C1130" s="14">
        <f>'Raw Data'!C1130</f>
        <v/>
      </c>
      <c r="D1130" s="15">
        <f>'Raw Data'!M1130</f>
        <v/>
      </c>
      <c r="E1130" s="18">
        <f>'Raw Data'!M1130/'Raw Data'!L1130*100</f>
        <v/>
      </c>
      <c r="F1130" s="14">
        <f>IF(E1130&gt;15,"Wet Year",IF(E1130&lt;-15,"Dry Year","Normal Year"))</f>
        <v/>
      </c>
      <c r="G1130" s="16">
        <f>'Raw Data'!I1130</f>
        <v/>
      </c>
      <c r="H1130" s="14">
        <f>IF(G1130&lt;15,"Low Variability",IF(G1130&lt;=35,"Moderate Variability","High Variability"))</f>
        <v/>
      </c>
      <c r="I1130" s="18">
        <f>'Raw Data'!O1130</f>
        <v/>
      </c>
      <c r="J1130" s="14">
        <f>IF(I1130=0,"No Flood",IF(I1130&lt;=0.5,"Low",IF(I1130&lt;=2,"Moderate","High")))</f>
        <v/>
      </c>
    </row>
    <row r="1131" ht="15" customHeight="1" s="12">
      <c r="A1131" s="14">
        <f>'Raw Data'!A1131</f>
        <v/>
      </c>
      <c r="B1131" s="14">
        <f>'Raw Data'!B1131</f>
        <v/>
      </c>
      <c r="C1131" s="14">
        <f>'Raw Data'!C1131</f>
        <v/>
      </c>
      <c r="D1131" s="15">
        <f>'Raw Data'!M1131</f>
        <v/>
      </c>
      <c r="E1131" s="18">
        <f>'Raw Data'!M1131/'Raw Data'!L1131*100</f>
        <v/>
      </c>
      <c r="F1131" s="14">
        <f>IF(E1131&gt;15,"Wet Year",IF(E1131&lt;-15,"Dry Year","Normal Year"))</f>
        <v/>
      </c>
      <c r="G1131" s="16">
        <f>'Raw Data'!I1131</f>
        <v/>
      </c>
      <c r="H1131" s="14">
        <f>IF(G1131&lt;15,"Low Variability",IF(G1131&lt;=35,"Moderate Variability","High Variability"))</f>
        <v/>
      </c>
      <c r="I1131" s="18">
        <f>'Raw Data'!O1131</f>
        <v/>
      </c>
      <c r="J1131" s="14">
        <f>IF(I1131=0,"No Flood",IF(I1131&lt;=0.5,"Low",IF(I1131&lt;=2,"Moderate","High")))</f>
        <v/>
      </c>
    </row>
    <row r="1132" ht="15" customHeight="1" s="12">
      <c r="A1132" s="14">
        <f>'Raw Data'!A1132</f>
        <v/>
      </c>
      <c r="B1132" s="14">
        <f>'Raw Data'!B1132</f>
        <v/>
      </c>
      <c r="C1132" s="14">
        <f>'Raw Data'!C1132</f>
        <v/>
      </c>
      <c r="D1132" s="15">
        <f>'Raw Data'!M1132</f>
        <v/>
      </c>
      <c r="E1132" s="18">
        <f>'Raw Data'!M1132/'Raw Data'!L1132*100</f>
        <v/>
      </c>
      <c r="F1132" s="14">
        <f>IF(E1132&gt;15,"Wet Year",IF(E1132&lt;-15,"Dry Year","Normal Year"))</f>
        <v/>
      </c>
      <c r="G1132" s="16">
        <f>'Raw Data'!I1132</f>
        <v/>
      </c>
      <c r="H1132" s="14">
        <f>IF(G1132&lt;15,"Low Variability",IF(G1132&lt;=35,"Moderate Variability","High Variability"))</f>
        <v/>
      </c>
      <c r="I1132" s="18">
        <f>'Raw Data'!O1132</f>
        <v/>
      </c>
      <c r="J1132" s="14">
        <f>IF(I1132=0,"No Flood",IF(I1132&lt;=0.5,"Low",IF(I1132&lt;=2,"Moderate","High")))</f>
        <v/>
      </c>
    </row>
    <row r="1133" ht="15" customHeight="1" s="12">
      <c r="A1133" s="14">
        <f>'Raw Data'!A1133</f>
        <v/>
      </c>
      <c r="B1133" s="14">
        <f>'Raw Data'!B1133</f>
        <v/>
      </c>
      <c r="C1133" s="14">
        <f>'Raw Data'!C1133</f>
        <v/>
      </c>
      <c r="D1133" s="15">
        <f>'Raw Data'!M1133</f>
        <v/>
      </c>
      <c r="E1133" s="18">
        <f>'Raw Data'!M1133/'Raw Data'!L1133*100</f>
        <v/>
      </c>
      <c r="F1133" s="14">
        <f>IF(E1133&gt;15,"Wet Year",IF(E1133&lt;-15,"Dry Year","Normal Year"))</f>
        <v/>
      </c>
      <c r="G1133" s="16">
        <f>'Raw Data'!I1133</f>
        <v/>
      </c>
      <c r="H1133" s="14">
        <f>IF(G1133&lt;15,"Low Variability",IF(G1133&lt;=35,"Moderate Variability","High Variability"))</f>
        <v/>
      </c>
      <c r="I1133" s="18">
        <f>'Raw Data'!O1133</f>
        <v/>
      </c>
      <c r="J1133" s="14">
        <f>IF(I1133=0,"No Flood",IF(I1133&lt;=0.5,"Low",IF(I1133&lt;=2,"Moderate","High")))</f>
        <v/>
      </c>
    </row>
    <row r="1134" ht="15" customHeight="1" s="12">
      <c r="A1134" s="14">
        <f>'Raw Data'!A1134</f>
        <v/>
      </c>
      <c r="B1134" s="14">
        <f>'Raw Data'!B1134</f>
        <v/>
      </c>
      <c r="C1134" s="14">
        <f>'Raw Data'!C1134</f>
        <v/>
      </c>
      <c r="D1134" s="15">
        <f>'Raw Data'!M1134</f>
        <v/>
      </c>
      <c r="E1134" s="18">
        <f>'Raw Data'!M1134/'Raw Data'!L1134*100</f>
        <v/>
      </c>
      <c r="F1134" s="14">
        <f>IF(E1134&gt;15,"Wet Year",IF(E1134&lt;-15,"Dry Year","Normal Year"))</f>
        <v/>
      </c>
      <c r="G1134" s="16">
        <f>'Raw Data'!I1134</f>
        <v/>
      </c>
      <c r="H1134" s="14">
        <f>IF(G1134&lt;15,"Low Variability",IF(G1134&lt;=35,"Moderate Variability","High Variability"))</f>
        <v/>
      </c>
      <c r="I1134" s="18">
        <f>'Raw Data'!O1134</f>
        <v/>
      </c>
      <c r="J1134" s="14">
        <f>IF(I1134=0,"No Flood",IF(I1134&lt;=0.5,"Low",IF(I1134&lt;=2,"Moderate","High")))</f>
        <v/>
      </c>
    </row>
    <row r="1135" ht="15" customHeight="1" s="12">
      <c r="A1135" s="14">
        <f>'Raw Data'!A1135</f>
        <v/>
      </c>
      <c r="B1135" s="14">
        <f>'Raw Data'!B1135</f>
        <v/>
      </c>
      <c r="C1135" s="14">
        <f>'Raw Data'!C1135</f>
        <v/>
      </c>
      <c r="D1135" s="15">
        <f>'Raw Data'!M1135</f>
        <v/>
      </c>
      <c r="E1135" s="18">
        <f>'Raw Data'!M1135/'Raw Data'!L1135*100</f>
        <v/>
      </c>
      <c r="F1135" s="14">
        <f>IF(E1135&gt;15,"Wet Year",IF(E1135&lt;-15,"Dry Year","Normal Year"))</f>
        <v/>
      </c>
      <c r="G1135" s="16">
        <f>'Raw Data'!I1135</f>
        <v/>
      </c>
      <c r="H1135" s="14">
        <f>IF(G1135&lt;15,"Low Variability",IF(G1135&lt;=35,"Moderate Variability","High Variability"))</f>
        <v/>
      </c>
      <c r="I1135" s="18">
        <f>'Raw Data'!O1135</f>
        <v/>
      </c>
      <c r="J1135" s="14">
        <f>IF(I1135=0,"No Flood",IF(I1135&lt;=0.5,"Low",IF(I1135&lt;=2,"Moderate","High")))</f>
        <v/>
      </c>
    </row>
    <row r="1136" ht="15" customHeight="1" s="12">
      <c r="A1136" s="14">
        <f>'Raw Data'!A1136</f>
        <v/>
      </c>
      <c r="B1136" s="14">
        <f>'Raw Data'!B1136</f>
        <v/>
      </c>
      <c r="C1136" s="14">
        <f>'Raw Data'!C1136</f>
        <v/>
      </c>
      <c r="D1136" s="15">
        <f>'Raw Data'!M1136</f>
        <v/>
      </c>
      <c r="E1136" s="18">
        <f>'Raw Data'!M1136/'Raw Data'!L1136*100</f>
        <v/>
      </c>
      <c r="F1136" s="14">
        <f>IF(E1136&gt;15,"Wet Year",IF(E1136&lt;-15,"Dry Year","Normal Year"))</f>
        <v/>
      </c>
      <c r="G1136" s="16">
        <f>'Raw Data'!I1136</f>
        <v/>
      </c>
      <c r="H1136" s="14">
        <f>IF(G1136&lt;15,"Low Variability",IF(G1136&lt;=35,"Moderate Variability","High Variability"))</f>
        <v/>
      </c>
      <c r="I1136" s="18">
        <f>'Raw Data'!O1136</f>
        <v/>
      </c>
      <c r="J1136" s="14">
        <f>IF(I1136=0,"No Flood",IF(I1136&lt;=0.5,"Low",IF(I1136&lt;=2,"Moderate","High")))</f>
        <v/>
      </c>
    </row>
    <row r="1137" ht="15" customHeight="1" s="12">
      <c r="A1137" s="14">
        <f>'Raw Data'!A1137</f>
        <v/>
      </c>
      <c r="B1137" s="14">
        <f>'Raw Data'!B1137</f>
        <v/>
      </c>
      <c r="C1137" s="14">
        <f>'Raw Data'!C1137</f>
        <v/>
      </c>
      <c r="D1137" s="15">
        <f>'Raw Data'!M1137</f>
        <v/>
      </c>
      <c r="E1137" s="18">
        <f>'Raw Data'!M1137/'Raw Data'!L1137*100</f>
        <v/>
      </c>
      <c r="F1137" s="14">
        <f>IF(E1137&gt;15,"Wet Year",IF(E1137&lt;-15,"Dry Year","Normal Year"))</f>
        <v/>
      </c>
      <c r="G1137" s="16">
        <f>'Raw Data'!I1137</f>
        <v/>
      </c>
      <c r="H1137" s="14">
        <f>IF(G1137&lt;15,"Low Variability",IF(G1137&lt;=35,"Moderate Variability","High Variability"))</f>
        <v/>
      </c>
      <c r="I1137" s="18">
        <f>'Raw Data'!O1137</f>
        <v/>
      </c>
      <c r="J1137" s="14">
        <f>IF(I1137=0,"No Flood",IF(I1137&lt;=0.5,"Low",IF(I1137&lt;=2,"Moderate","High")))</f>
        <v/>
      </c>
    </row>
    <row r="1138" ht="15" customHeight="1" s="12">
      <c r="A1138" s="14">
        <f>'Raw Data'!A1138</f>
        <v/>
      </c>
      <c r="B1138" s="14">
        <f>'Raw Data'!B1138</f>
        <v/>
      </c>
      <c r="C1138" s="14">
        <f>'Raw Data'!C1138</f>
        <v/>
      </c>
      <c r="D1138" s="15">
        <f>'Raw Data'!M1138</f>
        <v/>
      </c>
      <c r="E1138" s="18">
        <f>'Raw Data'!M1138/'Raw Data'!L1138*100</f>
        <v/>
      </c>
      <c r="F1138" s="14">
        <f>IF(E1138&gt;15,"Wet Year",IF(E1138&lt;-15,"Dry Year","Normal Year"))</f>
        <v/>
      </c>
      <c r="G1138" s="16">
        <f>'Raw Data'!I1138</f>
        <v/>
      </c>
      <c r="H1138" s="14">
        <f>IF(G1138&lt;15,"Low Variability",IF(G1138&lt;=35,"Moderate Variability","High Variability"))</f>
        <v/>
      </c>
      <c r="I1138" s="18">
        <f>'Raw Data'!O1138</f>
        <v/>
      </c>
      <c r="J1138" s="14">
        <f>IF(I1138=0,"No Flood",IF(I1138&lt;=0.5,"Low",IF(I1138&lt;=2,"Moderate","High")))</f>
        <v/>
      </c>
    </row>
    <row r="1139" ht="15" customHeight="1" s="12">
      <c r="A1139" s="14">
        <f>'Raw Data'!A1139</f>
        <v/>
      </c>
      <c r="B1139" s="14">
        <f>'Raw Data'!B1139</f>
        <v/>
      </c>
      <c r="C1139" s="14">
        <f>'Raw Data'!C1139</f>
        <v/>
      </c>
      <c r="D1139" s="15">
        <f>'Raw Data'!M1139</f>
        <v/>
      </c>
      <c r="E1139" s="18">
        <f>'Raw Data'!M1139/'Raw Data'!L1139*100</f>
        <v/>
      </c>
      <c r="F1139" s="14">
        <f>IF(E1139&gt;15,"Wet Year",IF(E1139&lt;-15,"Dry Year","Normal Year"))</f>
        <v/>
      </c>
      <c r="G1139" s="16">
        <f>'Raw Data'!I1139</f>
        <v/>
      </c>
      <c r="H1139" s="14">
        <f>IF(G1139&lt;15,"Low Variability",IF(G1139&lt;=35,"Moderate Variability","High Variability"))</f>
        <v/>
      </c>
      <c r="I1139" s="18">
        <f>'Raw Data'!O1139</f>
        <v/>
      </c>
      <c r="J1139" s="14">
        <f>IF(I1139=0,"No Flood",IF(I1139&lt;=0.5,"Low",IF(I1139&lt;=2,"Moderate","High")))</f>
        <v/>
      </c>
    </row>
    <row r="1140" ht="15" customHeight="1" s="12">
      <c r="A1140" s="14">
        <f>'Raw Data'!A1140</f>
        <v/>
      </c>
      <c r="B1140" s="14">
        <f>'Raw Data'!B1140</f>
        <v/>
      </c>
      <c r="C1140" s="14">
        <f>'Raw Data'!C1140</f>
        <v/>
      </c>
      <c r="D1140" s="15">
        <f>'Raw Data'!M1140</f>
        <v/>
      </c>
      <c r="E1140" s="18">
        <f>'Raw Data'!M1140/'Raw Data'!L1140*100</f>
        <v/>
      </c>
      <c r="F1140" s="14">
        <f>IF(E1140&gt;15,"Wet Year",IF(E1140&lt;-15,"Dry Year","Normal Year"))</f>
        <v/>
      </c>
      <c r="G1140" s="16">
        <f>'Raw Data'!I1140</f>
        <v/>
      </c>
      <c r="H1140" s="14">
        <f>IF(G1140&lt;15,"Low Variability",IF(G1140&lt;=35,"Moderate Variability","High Variability"))</f>
        <v/>
      </c>
      <c r="I1140" s="18">
        <f>'Raw Data'!O1140</f>
        <v/>
      </c>
      <c r="J1140" s="14">
        <f>IF(I1140=0,"No Flood",IF(I1140&lt;=0.5,"Low",IF(I1140&lt;=2,"Moderate","High")))</f>
        <v/>
      </c>
    </row>
    <row r="1141" ht="15" customHeight="1" s="12">
      <c r="A1141" s="14">
        <f>'Raw Data'!A1141</f>
        <v/>
      </c>
      <c r="B1141" s="14">
        <f>'Raw Data'!B1141</f>
        <v/>
      </c>
      <c r="C1141" s="14">
        <f>'Raw Data'!C1141</f>
        <v/>
      </c>
      <c r="D1141" s="15">
        <f>'Raw Data'!M1141</f>
        <v/>
      </c>
      <c r="E1141" s="18">
        <f>'Raw Data'!M1141/'Raw Data'!L1141*100</f>
        <v/>
      </c>
      <c r="F1141" s="14">
        <f>IF(E1141&gt;15,"Wet Year",IF(E1141&lt;-15,"Dry Year","Normal Year"))</f>
        <v/>
      </c>
      <c r="G1141" s="16">
        <f>'Raw Data'!I1141</f>
        <v/>
      </c>
      <c r="H1141" s="14">
        <f>IF(G1141&lt;15,"Low Variability",IF(G1141&lt;=35,"Moderate Variability","High Variability"))</f>
        <v/>
      </c>
      <c r="I1141" s="18">
        <f>'Raw Data'!O1141</f>
        <v/>
      </c>
      <c r="J1141" s="14">
        <f>IF(I1141=0,"No Flood",IF(I1141&lt;=0.5,"Low",IF(I1141&lt;=2,"Moderate","High")))</f>
        <v/>
      </c>
    </row>
    <row r="1142" ht="15" customHeight="1" s="12">
      <c r="A1142" s="14">
        <f>'Raw Data'!A1142</f>
        <v/>
      </c>
      <c r="B1142" s="14">
        <f>'Raw Data'!B1142</f>
        <v/>
      </c>
      <c r="C1142" s="14">
        <f>'Raw Data'!C1142</f>
        <v/>
      </c>
      <c r="D1142" s="15">
        <f>'Raw Data'!M1142</f>
        <v/>
      </c>
      <c r="E1142" s="18">
        <f>'Raw Data'!M1142/'Raw Data'!L1142*100</f>
        <v/>
      </c>
      <c r="F1142" s="14">
        <f>IF(E1142&gt;15,"Wet Year",IF(E1142&lt;-15,"Dry Year","Normal Year"))</f>
        <v/>
      </c>
      <c r="G1142" s="16">
        <f>'Raw Data'!I1142</f>
        <v/>
      </c>
      <c r="H1142" s="14">
        <f>IF(G1142&lt;15,"Low Variability",IF(G1142&lt;=35,"Moderate Variability","High Variability"))</f>
        <v/>
      </c>
      <c r="I1142" s="18">
        <f>'Raw Data'!O1142</f>
        <v/>
      </c>
      <c r="J1142" s="14">
        <f>IF(I1142=0,"No Flood",IF(I1142&lt;=0.5,"Low",IF(I1142&lt;=2,"Moderate","High")))</f>
        <v/>
      </c>
    </row>
    <row r="1143" ht="15" customHeight="1" s="12">
      <c r="A1143" s="14">
        <f>'Raw Data'!A1143</f>
        <v/>
      </c>
      <c r="B1143" s="14">
        <f>'Raw Data'!B1143</f>
        <v/>
      </c>
      <c r="C1143" s="14">
        <f>'Raw Data'!C1143</f>
        <v/>
      </c>
      <c r="D1143" s="15">
        <f>'Raw Data'!M1143</f>
        <v/>
      </c>
      <c r="E1143" s="18">
        <f>'Raw Data'!M1143/'Raw Data'!L1143*100</f>
        <v/>
      </c>
      <c r="F1143" s="14">
        <f>IF(E1143&gt;15,"Wet Year",IF(E1143&lt;-15,"Dry Year","Normal Year"))</f>
        <v/>
      </c>
      <c r="G1143" s="16">
        <f>'Raw Data'!I1143</f>
        <v/>
      </c>
      <c r="H1143" s="14">
        <f>IF(G1143&lt;15,"Low Variability",IF(G1143&lt;=35,"Moderate Variability","High Variability"))</f>
        <v/>
      </c>
      <c r="I1143" s="18">
        <f>'Raw Data'!O1143</f>
        <v/>
      </c>
      <c r="J1143" s="14">
        <f>IF(I1143=0,"No Flood",IF(I1143&lt;=0.5,"Low",IF(I1143&lt;=2,"Moderate","High")))</f>
        <v/>
      </c>
    </row>
    <row r="1144" ht="15" customHeight="1" s="12">
      <c r="A1144" s="14">
        <f>'Raw Data'!A1144</f>
        <v/>
      </c>
      <c r="B1144" s="14">
        <f>'Raw Data'!B1144</f>
        <v/>
      </c>
      <c r="C1144" s="14">
        <f>'Raw Data'!C1144</f>
        <v/>
      </c>
      <c r="D1144" s="15">
        <f>'Raw Data'!M1144</f>
        <v/>
      </c>
      <c r="E1144" s="18">
        <f>'Raw Data'!M1144/'Raw Data'!L1144*100</f>
        <v/>
      </c>
      <c r="F1144" s="14">
        <f>IF(E1144&gt;15,"Wet Year",IF(E1144&lt;-15,"Dry Year","Normal Year"))</f>
        <v/>
      </c>
      <c r="G1144" s="16">
        <f>'Raw Data'!I1144</f>
        <v/>
      </c>
      <c r="H1144" s="14">
        <f>IF(G1144&lt;15,"Low Variability",IF(G1144&lt;=35,"Moderate Variability","High Variability"))</f>
        <v/>
      </c>
      <c r="I1144" s="18">
        <f>'Raw Data'!O1144</f>
        <v/>
      </c>
      <c r="J1144" s="14">
        <f>IF(I1144=0,"No Flood",IF(I1144&lt;=0.5,"Low",IF(I1144&lt;=2,"Moderate","High")))</f>
        <v/>
      </c>
    </row>
    <row r="1145" ht="15" customHeight="1" s="12">
      <c r="A1145" s="14">
        <f>'Raw Data'!A1145</f>
        <v/>
      </c>
      <c r="B1145" s="14">
        <f>'Raw Data'!B1145</f>
        <v/>
      </c>
      <c r="C1145" s="14">
        <f>'Raw Data'!C1145</f>
        <v/>
      </c>
      <c r="D1145" s="15">
        <f>'Raw Data'!M1145</f>
        <v/>
      </c>
      <c r="E1145" s="18">
        <f>'Raw Data'!M1145/'Raw Data'!L1145*100</f>
        <v/>
      </c>
      <c r="F1145" s="14">
        <f>IF(E1145&gt;15,"Wet Year",IF(E1145&lt;-15,"Dry Year","Normal Year"))</f>
        <v/>
      </c>
      <c r="G1145" s="16">
        <f>'Raw Data'!I1145</f>
        <v/>
      </c>
      <c r="H1145" s="14">
        <f>IF(G1145&lt;15,"Low Variability",IF(G1145&lt;=35,"Moderate Variability","High Variability"))</f>
        <v/>
      </c>
      <c r="I1145" s="18">
        <f>'Raw Data'!O1145</f>
        <v/>
      </c>
      <c r="J1145" s="14">
        <f>IF(I1145=0,"No Flood",IF(I1145&lt;=0.5,"Low",IF(I1145&lt;=2,"Moderate","High")))</f>
        <v/>
      </c>
    </row>
    <row r="1146" ht="15" customHeight="1" s="12">
      <c r="A1146" s="14">
        <f>'Raw Data'!A1146</f>
        <v/>
      </c>
      <c r="B1146" s="14">
        <f>'Raw Data'!B1146</f>
        <v/>
      </c>
      <c r="C1146" s="14">
        <f>'Raw Data'!C1146</f>
        <v/>
      </c>
      <c r="D1146" s="15">
        <f>'Raw Data'!M1146</f>
        <v/>
      </c>
      <c r="E1146" s="18">
        <f>'Raw Data'!M1146/'Raw Data'!L1146*100</f>
        <v/>
      </c>
      <c r="F1146" s="14">
        <f>IF(E1146&gt;15,"Wet Year",IF(E1146&lt;-15,"Dry Year","Normal Year"))</f>
        <v/>
      </c>
      <c r="G1146" s="16">
        <f>'Raw Data'!I1146</f>
        <v/>
      </c>
      <c r="H1146" s="14">
        <f>IF(G1146&lt;15,"Low Variability",IF(G1146&lt;=35,"Moderate Variability","High Variability"))</f>
        <v/>
      </c>
      <c r="I1146" s="18">
        <f>'Raw Data'!O1146</f>
        <v/>
      </c>
      <c r="J1146" s="14">
        <f>IF(I1146=0,"No Flood",IF(I1146&lt;=0.5,"Low",IF(I1146&lt;=2,"Moderate","High")))</f>
        <v/>
      </c>
    </row>
    <row r="1147" ht="15" customHeight="1" s="12">
      <c r="A1147" s="14">
        <f>'Raw Data'!A1147</f>
        <v/>
      </c>
      <c r="B1147" s="14">
        <f>'Raw Data'!B1147</f>
        <v/>
      </c>
      <c r="C1147" s="14">
        <f>'Raw Data'!C1147</f>
        <v/>
      </c>
      <c r="D1147" s="15">
        <f>'Raw Data'!M1147</f>
        <v/>
      </c>
      <c r="E1147" s="18">
        <f>'Raw Data'!M1147/'Raw Data'!L1147*100</f>
        <v/>
      </c>
      <c r="F1147" s="14">
        <f>IF(E1147&gt;15,"Wet Year",IF(E1147&lt;-15,"Dry Year","Normal Year"))</f>
        <v/>
      </c>
      <c r="G1147" s="16">
        <f>'Raw Data'!I1147</f>
        <v/>
      </c>
      <c r="H1147" s="14">
        <f>IF(G1147&lt;15,"Low Variability",IF(G1147&lt;=35,"Moderate Variability","High Variability"))</f>
        <v/>
      </c>
      <c r="I1147" s="18">
        <f>'Raw Data'!O1147</f>
        <v/>
      </c>
      <c r="J1147" s="14">
        <f>IF(I1147=0,"No Flood",IF(I1147&lt;=0.5,"Low",IF(I1147&lt;=2,"Moderate","High")))</f>
        <v/>
      </c>
    </row>
    <row r="1148" ht="15" customHeight="1" s="12">
      <c r="A1148" s="14">
        <f>'Raw Data'!A1148</f>
        <v/>
      </c>
      <c r="B1148" s="14">
        <f>'Raw Data'!B1148</f>
        <v/>
      </c>
      <c r="C1148" s="14">
        <f>'Raw Data'!C1148</f>
        <v/>
      </c>
      <c r="D1148" s="15">
        <f>'Raw Data'!M1148</f>
        <v/>
      </c>
      <c r="E1148" s="18">
        <f>'Raw Data'!M1148/'Raw Data'!L1148*100</f>
        <v/>
      </c>
      <c r="F1148" s="14">
        <f>IF(E1148&gt;15,"Wet Year",IF(E1148&lt;-15,"Dry Year","Normal Year"))</f>
        <v/>
      </c>
      <c r="G1148" s="16">
        <f>'Raw Data'!I1148</f>
        <v/>
      </c>
      <c r="H1148" s="14">
        <f>IF(G1148&lt;15,"Low Variability",IF(G1148&lt;=35,"Moderate Variability","High Variability"))</f>
        <v/>
      </c>
      <c r="I1148" s="18">
        <f>'Raw Data'!O1148</f>
        <v/>
      </c>
      <c r="J1148" s="14">
        <f>IF(I1148=0,"No Flood",IF(I1148&lt;=0.5,"Low",IF(I1148&lt;=2,"Moderate","High")))</f>
        <v/>
      </c>
    </row>
    <row r="1149" ht="15" customHeight="1" s="12">
      <c r="A1149" s="14">
        <f>'Raw Data'!A1149</f>
        <v/>
      </c>
      <c r="B1149" s="14">
        <f>'Raw Data'!B1149</f>
        <v/>
      </c>
      <c r="C1149" s="14">
        <f>'Raw Data'!C1149</f>
        <v/>
      </c>
      <c r="D1149" s="15">
        <f>'Raw Data'!M1149</f>
        <v/>
      </c>
      <c r="E1149" s="18">
        <f>'Raw Data'!M1149/'Raw Data'!L1149*100</f>
        <v/>
      </c>
      <c r="F1149" s="14">
        <f>IF(E1149&gt;15,"Wet Year",IF(E1149&lt;-15,"Dry Year","Normal Year"))</f>
        <v/>
      </c>
      <c r="G1149" s="16">
        <f>'Raw Data'!I1149</f>
        <v/>
      </c>
      <c r="H1149" s="14">
        <f>IF(G1149&lt;15,"Low Variability",IF(G1149&lt;=35,"Moderate Variability","High Variability"))</f>
        <v/>
      </c>
      <c r="I1149" s="18">
        <f>'Raw Data'!O1149</f>
        <v/>
      </c>
      <c r="J1149" s="14">
        <f>IF(I1149=0,"No Flood",IF(I1149&lt;=0.5,"Low",IF(I1149&lt;=2,"Moderate","High")))</f>
        <v/>
      </c>
    </row>
    <row r="1150" ht="15" customHeight="1" s="12">
      <c r="A1150" s="14">
        <f>'Raw Data'!A1150</f>
        <v/>
      </c>
      <c r="B1150" s="14">
        <f>'Raw Data'!B1150</f>
        <v/>
      </c>
      <c r="C1150" s="14">
        <f>'Raw Data'!C1150</f>
        <v/>
      </c>
      <c r="D1150" s="15">
        <f>'Raw Data'!M1150</f>
        <v/>
      </c>
      <c r="E1150" s="18">
        <f>'Raw Data'!M1150/'Raw Data'!L1150*100</f>
        <v/>
      </c>
      <c r="F1150" s="14">
        <f>IF(E1150&gt;15,"Wet Year",IF(E1150&lt;-15,"Dry Year","Normal Year"))</f>
        <v/>
      </c>
      <c r="G1150" s="16">
        <f>'Raw Data'!I1150</f>
        <v/>
      </c>
      <c r="H1150" s="14">
        <f>IF(G1150&lt;15,"Low Variability",IF(G1150&lt;=35,"Moderate Variability","High Variability"))</f>
        <v/>
      </c>
      <c r="I1150" s="18">
        <f>'Raw Data'!O1150</f>
        <v/>
      </c>
      <c r="J1150" s="14">
        <f>IF(I1150=0,"No Flood",IF(I1150&lt;=0.5,"Low",IF(I1150&lt;=2,"Moderate","High")))</f>
        <v/>
      </c>
    </row>
    <row r="1151" ht="15" customHeight="1" s="12">
      <c r="A1151" s="14">
        <f>'Raw Data'!A1151</f>
        <v/>
      </c>
      <c r="B1151" s="14">
        <f>'Raw Data'!B1151</f>
        <v/>
      </c>
      <c r="C1151" s="14">
        <f>'Raw Data'!C1151</f>
        <v/>
      </c>
      <c r="D1151" s="15">
        <f>'Raw Data'!M1151</f>
        <v/>
      </c>
      <c r="E1151" s="18">
        <f>'Raw Data'!M1151/'Raw Data'!L1151*100</f>
        <v/>
      </c>
      <c r="F1151" s="14">
        <f>IF(E1151&gt;15,"Wet Year",IF(E1151&lt;-15,"Dry Year","Normal Year"))</f>
        <v/>
      </c>
      <c r="G1151" s="16">
        <f>'Raw Data'!I1151</f>
        <v/>
      </c>
      <c r="H1151" s="14">
        <f>IF(G1151&lt;15,"Low Variability",IF(G1151&lt;=35,"Moderate Variability","High Variability"))</f>
        <v/>
      </c>
      <c r="I1151" s="18">
        <f>'Raw Data'!O1151</f>
        <v/>
      </c>
      <c r="J1151" s="14">
        <f>IF(I1151=0,"No Flood",IF(I1151&lt;=0.5,"Low",IF(I1151&lt;=2,"Moderate","High")))</f>
        <v/>
      </c>
    </row>
    <row r="1152" ht="15" customHeight="1" s="12">
      <c r="A1152" s="14">
        <f>'Raw Data'!A1152</f>
        <v/>
      </c>
      <c r="B1152" s="14">
        <f>'Raw Data'!B1152</f>
        <v/>
      </c>
      <c r="C1152" s="14">
        <f>'Raw Data'!C1152</f>
        <v/>
      </c>
      <c r="D1152" s="15">
        <f>'Raw Data'!M1152</f>
        <v/>
      </c>
      <c r="E1152" s="18">
        <f>'Raw Data'!M1152/'Raw Data'!L1152*100</f>
        <v/>
      </c>
      <c r="F1152" s="14">
        <f>IF(E1152&gt;15,"Wet Year",IF(E1152&lt;-15,"Dry Year","Normal Year"))</f>
        <v/>
      </c>
      <c r="G1152" s="16">
        <f>'Raw Data'!I1152</f>
        <v/>
      </c>
      <c r="H1152" s="14">
        <f>IF(G1152&lt;15,"Low Variability",IF(G1152&lt;=35,"Moderate Variability","High Variability"))</f>
        <v/>
      </c>
      <c r="I1152" s="18">
        <f>'Raw Data'!O1152</f>
        <v/>
      </c>
      <c r="J1152" s="14">
        <f>IF(I1152=0,"No Flood",IF(I1152&lt;=0.5,"Low",IF(I1152&lt;=2,"Moderate","High")))</f>
        <v/>
      </c>
    </row>
    <row r="1153" ht="15" customHeight="1" s="12">
      <c r="A1153" s="14">
        <f>'Raw Data'!A1153</f>
        <v/>
      </c>
      <c r="B1153" s="14">
        <f>'Raw Data'!B1153</f>
        <v/>
      </c>
      <c r="C1153" s="14">
        <f>'Raw Data'!C1153</f>
        <v/>
      </c>
      <c r="D1153" s="15">
        <f>'Raw Data'!M1153</f>
        <v/>
      </c>
      <c r="E1153" s="18">
        <f>'Raw Data'!M1153/'Raw Data'!L1153*100</f>
        <v/>
      </c>
      <c r="F1153" s="14">
        <f>IF(E1153&gt;15,"Wet Year",IF(E1153&lt;-15,"Dry Year","Normal Year"))</f>
        <v/>
      </c>
      <c r="G1153" s="16">
        <f>'Raw Data'!I1153</f>
        <v/>
      </c>
      <c r="H1153" s="14">
        <f>IF(G1153&lt;15,"Low Variability",IF(G1153&lt;=35,"Moderate Variability","High Variability"))</f>
        <v/>
      </c>
      <c r="I1153" s="18">
        <f>'Raw Data'!O1153</f>
        <v/>
      </c>
      <c r="J1153" s="14">
        <f>IF(I1153=0,"No Flood",IF(I1153&lt;=0.5,"Low",IF(I1153&lt;=2,"Moderate","High")))</f>
        <v/>
      </c>
    </row>
    <row r="1154" ht="15" customHeight="1" s="12">
      <c r="A1154" s="14">
        <f>'Raw Data'!A1154</f>
        <v/>
      </c>
      <c r="B1154" s="14">
        <f>'Raw Data'!B1154</f>
        <v/>
      </c>
      <c r="C1154" s="14">
        <f>'Raw Data'!C1154</f>
        <v/>
      </c>
      <c r="D1154" s="15">
        <f>'Raw Data'!M1154</f>
        <v/>
      </c>
      <c r="E1154" s="18">
        <f>'Raw Data'!M1154/'Raw Data'!L1154*100</f>
        <v/>
      </c>
      <c r="F1154" s="14">
        <f>IF(E1154&gt;15,"Wet Year",IF(E1154&lt;-15,"Dry Year","Normal Year"))</f>
        <v/>
      </c>
      <c r="G1154" s="16">
        <f>'Raw Data'!I1154</f>
        <v/>
      </c>
      <c r="H1154" s="14">
        <f>IF(G1154&lt;15,"Low Variability",IF(G1154&lt;=35,"Moderate Variability","High Variability"))</f>
        <v/>
      </c>
      <c r="I1154" s="18">
        <f>'Raw Data'!O1154</f>
        <v/>
      </c>
      <c r="J1154" s="14">
        <f>IF(I1154=0,"No Flood",IF(I1154&lt;=0.5,"Low",IF(I1154&lt;=2,"Moderate","High")))</f>
        <v/>
      </c>
    </row>
    <row r="1155" ht="15" customHeight="1" s="12">
      <c r="A1155" s="14">
        <f>'Raw Data'!A1155</f>
        <v/>
      </c>
      <c r="B1155" s="14">
        <f>'Raw Data'!B1155</f>
        <v/>
      </c>
      <c r="C1155" s="14">
        <f>'Raw Data'!C1155</f>
        <v/>
      </c>
      <c r="D1155" s="15">
        <f>'Raw Data'!M1155</f>
        <v/>
      </c>
      <c r="E1155" s="18">
        <f>'Raw Data'!M1155/'Raw Data'!L1155*100</f>
        <v/>
      </c>
      <c r="F1155" s="14">
        <f>IF(E1155&gt;15,"Wet Year",IF(E1155&lt;-15,"Dry Year","Normal Year"))</f>
        <v/>
      </c>
      <c r="G1155" s="16">
        <f>'Raw Data'!I1155</f>
        <v/>
      </c>
      <c r="H1155" s="14">
        <f>IF(G1155&lt;15,"Low Variability",IF(G1155&lt;=35,"Moderate Variability","High Variability"))</f>
        <v/>
      </c>
      <c r="I1155" s="18">
        <f>'Raw Data'!O1155</f>
        <v/>
      </c>
      <c r="J1155" s="14">
        <f>IF(I1155=0,"No Flood",IF(I1155&lt;=0.5,"Low",IF(I1155&lt;=2,"Moderate","High")))</f>
        <v/>
      </c>
    </row>
    <row r="1156" ht="15" customHeight="1" s="12">
      <c r="A1156" s="14">
        <f>'Raw Data'!A1156</f>
        <v/>
      </c>
      <c r="B1156" s="14">
        <f>'Raw Data'!B1156</f>
        <v/>
      </c>
      <c r="C1156" s="14">
        <f>'Raw Data'!C1156</f>
        <v/>
      </c>
      <c r="D1156" s="15">
        <f>'Raw Data'!M1156</f>
        <v/>
      </c>
      <c r="E1156" s="18">
        <f>'Raw Data'!M1156/'Raw Data'!L1156*100</f>
        <v/>
      </c>
      <c r="F1156" s="14">
        <f>IF(E1156&gt;15,"Wet Year",IF(E1156&lt;-15,"Dry Year","Normal Year"))</f>
        <v/>
      </c>
      <c r="G1156" s="16">
        <f>'Raw Data'!I1156</f>
        <v/>
      </c>
      <c r="H1156" s="14">
        <f>IF(G1156&lt;15,"Low Variability",IF(G1156&lt;=35,"Moderate Variability","High Variability"))</f>
        <v/>
      </c>
      <c r="I1156" s="18">
        <f>'Raw Data'!O1156</f>
        <v/>
      </c>
      <c r="J1156" s="14">
        <f>IF(I1156=0,"No Flood",IF(I1156&lt;=0.5,"Low",IF(I1156&lt;=2,"Moderate","High")))</f>
        <v/>
      </c>
    </row>
    <row r="1157" ht="15" customHeight="1" s="12">
      <c r="A1157" s="14">
        <f>'Raw Data'!A1157</f>
        <v/>
      </c>
      <c r="B1157" s="14">
        <f>'Raw Data'!B1157</f>
        <v/>
      </c>
      <c r="C1157" s="14">
        <f>'Raw Data'!C1157</f>
        <v/>
      </c>
      <c r="D1157" s="15">
        <f>'Raw Data'!M1157</f>
        <v/>
      </c>
      <c r="E1157" s="18">
        <f>'Raw Data'!M1157/'Raw Data'!L1157*100</f>
        <v/>
      </c>
      <c r="F1157" s="14">
        <f>IF(E1157&gt;15,"Wet Year",IF(E1157&lt;-15,"Dry Year","Normal Year"))</f>
        <v/>
      </c>
      <c r="G1157" s="16">
        <f>'Raw Data'!I1157</f>
        <v/>
      </c>
      <c r="H1157" s="14">
        <f>IF(G1157&lt;15,"Low Variability",IF(G1157&lt;=35,"Moderate Variability","High Variability"))</f>
        <v/>
      </c>
      <c r="I1157" s="18">
        <f>'Raw Data'!O1157</f>
        <v/>
      </c>
      <c r="J1157" s="14">
        <f>IF(I1157=0,"No Flood",IF(I1157&lt;=0.5,"Low",IF(I1157&lt;=2,"Moderate","High")))</f>
        <v/>
      </c>
    </row>
    <row r="1158" ht="15" customHeight="1" s="12">
      <c r="A1158" s="14">
        <f>'Raw Data'!A1158</f>
        <v/>
      </c>
      <c r="B1158" s="14">
        <f>'Raw Data'!B1158</f>
        <v/>
      </c>
      <c r="C1158" s="14">
        <f>'Raw Data'!C1158</f>
        <v/>
      </c>
      <c r="D1158" s="15">
        <f>'Raw Data'!M1158</f>
        <v/>
      </c>
      <c r="E1158" s="18">
        <f>'Raw Data'!M1158/'Raw Data'!L1158*100</f>
        <v/>
      </c>
      <c r="F1158" s="14">
        <f>IF(E1158&gt;15,"Wet Year",IF(E1158&lt;-15,"Dry Year","Normal Year"))</f>
        <v/>
      </c>
      <c r="G1158" s="16">
        <f>'Raw Data'!I1158</f>
        <v/>
      </c>
      <c r="H1158" s="14">
        <f>IF(G1158&lt;15,"Low Variability",IF(G1158&lt;=35,"Moderate Variability","High Variability"))</f>
        <v/>
      </c>
      <c r="I1158" s="18">
        <f>'Raw Data'!O1158</f>
        <v/>
      </c>
      <c r="J1158" s="14">
        <f>IF(I1158=0,"No Flood",IF(I1158&lt;=0.5,"Low",IF(I1158&lt;=2,"Moderate","High")))</f>
        <v/>
      </c>
    </row>
    <row r="1159" ht="15" customHeight="1" s="12">
      <c r="A1159" s="14">
        <f>'Raw Data'!A1159</f>
        <v/>
      </c>
      <c r="B1159" s="14">
        <f>'Raw Data'!B1159</f>
        <v/>
      </c>
      <c r="C1159" s="14">
        <f>'Raw Data'!C1159</f>
        <v/>
      </c>
      <c r="D1159" s="15">
        <f>'Raw Data'!M1159</f>
        <v/>
      </c>
      <c r="E1159" s="18">
        <f>'Raw Data'!M1159/'Raw Data'!L1159*100</f>
        <v/>
      </c>
      <c r="F1159" s="14">
        <f>IF(E1159&gt;15,"Wet Year",IF(E1159&lt;-15,"Dry Year","Normal Year"))</f>
        <v/>
      </c>
      <c r="G1159" s="16">
        <f>'Raw Data'!I1159</f>
        <v/>
      </c>
      <c r="H1159" s="14">
        <f>IF(G1159&lt;15,"Low Variability",IF(G1159&lt;=35,"Moderate Variability","High Variability"))</f>
        <v/>
      </c>
      <c r="I1159" s="18">
        <f>'Raw Data'!O1159</f>
        <v/>
      </c>
      <c r="J1159" s="14">
        <f>IF(I1159=0,"No Flood",IF(I1159&lt;=0.5,"Low",IF(I1159&lt;=2,"Moderate","High")))</f>
        <v/>
      </c>
    </row>
    <row r="1160" ht="15" customHeight="1" s="12">
      <c r="A1160" s="14">
        <f>'Raw Data'!A1160</f>
        <v/>
      </c>
      <c r="B1160" s="14">
        <f>'Raw Data'!B1160</f>
        <v/>
      </c>
      <c r="C1160" s="14">
        <f>'Raw Data'!C1160</f>
        <v/>
      </c>
      <c r="D1160" s="15">
        <f>'Raw Data'!M1160</f>
        <v/>
      </c>
      <c r="E1160" s="18">
        <f>'Raw Data'!M1160/'Raw Data'!L1160*100</f>
        <v/>
      </c>
      <c r="F1160" s="14">
        <f>IF(E1160&gt;15,"Wet Year",IF(E1160&lt;-15,"Dry Year","Normal Year"))</f>
        <v/>
      </c>
      <c r="G1160" s="16">
        <f>'Raw Data'!I1160</f>
        <v/>
      </c>
      <c r="H1160" s="14">
        <f>IF(G1160&lt;15,"Low Variability",IF(G1160&lt;=35,"Moderate Variability","High Variability"))</f>
        <v/>
      </c>
      <c r="I1160" s="18">
        <f>'Raw Data'!O1160</f>
        <v/>
      </c>
      <c r="J1160" s="14">
        <f>IF(I1160=0,"No Flood",IF(I1160&lt;=0.5,"Low",IF(I1160&lt;=2,"Moderate","High")))</f>
        <v/>
      </c>
    </row>
    <row r="1161" ht="15" customHeight="1" s="12">
      <c r="A1161" s="14">
        <f>'Raw Data'!A1161</f>
        <v/>
      </c>
      <c r="B1161" s="14">
        <f>'Raw Data'!B1161</f>
        <v/>
      </c>
      <c r="C1161" s="14">
        <f>'Raw Data'!C1161</f>
        <v/>
      </c>
      <c r="D1161" s="15">
        <f>'Raw Data'!M1161</f>
        <v/>
      </c>
      <c r="E1161" s="18">
        <f>'Raw Data'!M1161/'Raw Data'!L1161*100</f>
        <v/>
      </c>
      <c r="F1161" s="14">
        <f>IF(E1161&gt;15,"Wet Year",IF(E1161&lt;-15,"Dry Year","Normal Year"))</f>
        <v/>
      </c>
      <c r="G1161" s="16">
        <f>'Raw Data'!I1161</f>
        <v/>
      </c>
      <c r="H1161" s="14">
        <f>IF(G1161&lt;15,"Low Variability",IF(G1161&lt;=35,"Moderate Variability","High Variability"))</f>
        <v/>
      </c>
      <c r="I1161" s="18">
        <f>'Raw Data'!O1161</f>
        <v/>
      </c>
      <c r="J1161" s="14">
        <f>IF(I1161=0,"No Flood",IF(I1161&lt;=0.5,"Low",IF(I1161&lt;=2,"Moderate","High")))</f>
        <v/>
      </c>
    </row>
    <row r="1162" ht="15" customHeight="1" s="12">
      <c r="A1162" s="14">
        <f>'Raw Data'!A1162</f>
        <v/>
      </c>
      <c r="B1162" s="14">
        <f>'Raw Data'!B1162</f>
        <v/>
      </c>
      <c r="C1162" s="14">
        <f>'Raw Data'!C1162</f>
        <v/>
      </c>
      <c r="D1162" s="15">
        <f>'Raw Data'!M1162</f>
        <v/>
      </c>
      <c r="E1162" s="18">
        <f>'Raw Data'!M1162/'Raw Data'!L1162*100</f>
        <v/>
      </c>
      <c r="F1162" s="14">
        <f>IF(E1162&gt;15,"Wet Year",IF(E1162&lt;-15,"Dry Year","Normal Year"))</f>
        <v/>
      </c>
      <c r="G1162" s="16">
        <f>'Raw Data'!I1162</f>
        <v/>
      </c>
      <c r="H1162" s="14">
        <f>IF(G1162&lt;15,"Low Variability",IF(G1162&lt;=35,"Moderate Variability","High Variability"))</f>
        <v/>
      </c>
      <c r="I1162" s="18">
        <f>'Raw Data'!O1162</f>
        <v/>
      </c>
      <c r="J1162" s="14">
        <f>IF(I1162=0,"No Flood",IF(I1162&lt;=0.5,"Low",IF(I1162&lt;=2,"Moderate","High")))</f>
        <v/>
      </c>
    </row>
    <row r="1163" ht="15" customHeight="1" s="12">
      <c r="A1163" s="14">
        <f>'Raw Data'!A1163</f>
        <v/>
      </c>
      <c r="B1163" s="14">
        <f>'Raw Data'!B1163</f>
        <v/>
      </c>
      <c r="C1163" s="14">
        <f>'Raw Data'!C1163</f>
        <v/>
      </c>
      <c r="D1163" s="15">
        <f>'Raw Data'!M1163</f>
        <v/>
      </c>
      <c r="E1163" s="18">
        <f>'Raw Data'!M1163/'Raw Data'!L1163*100</f>
        <v/>
      </c>
      <c r="F1163" s="14">
        <f>IF(E1163&gt;15,"Wet Year",IF(E1163&lt;-15,"Dry Year","Normal Year"))</f>
        <v/>
      </c>
      <c r="G1163" s="16">
        <f>'Raw Data'!I1163</f>
        <v/>
      </c>
      <c r="H1163" s="14">
        <f>IF(G1163&lt;15,"Low Variability",IF(G1163&lt;=35,"Moderate Variability","High Variability"))</f>
        <v/>
      </c>
      <c r="I1163" s="18">
        <f>'Raw Data'!O1163</f>
        <v/>
      </c>
      <c r="J1163" s="14">
        <f>IF(I1163=0,"No Flood",IF(I1163&lt;=0.5,"Low",IF(I1163&lt;=2,"Moderate","High")))</f>
        <v/>
      </c>
    </row>
    <row r="1164" ht="15" customHeight="1" s="12">
      <c r="A1164" s="14">
        <f>'Raw Data'!A1164</f>
        <v/>
      </c>
      <c r="B1164" s="14">
        <f>'Raw Data'!B1164</f>
        <v/>
      </c>
      <c r="C1164" s="14">
        <f>'Raw Data'!C1164</f>
        <v/>
      </c>
      <c r="D1164" s="15">
        <f>'Raw Data'!M1164</f>
        <v/>
      </c>
      <c r="E1164" s="18">
        <f>'Raw Data'!M1164/'Raw Data'!L1164*100</f>
        <v/>
      </c>
      <c r="F1164" s="14">
        <f>IF(E1164&gt;15,"Wet Year",IF(E1164&lt;-15,"Dry Year","Normal Year"))</f>
        <v/>
      </c>
      <c r="G1164" s="16">
        <f>'Raw Data'!I1164</f>
        <v/>
      </c>
      <c r="H1164" s="14">
        <f>IF(G1164&lt;15,"Low Variability",IF(G1164&lt;=35,"Moderate Variability","High Variability"))</f>
        <v/>
      </c>
      <c r="I1164" s="18">
        <f>'Raw Data'!O1164</f>
        <v/>
      </c>
      <c r="J1164" s="14">
        <f>IF(I1164=0,"No Flood",IF(I1164&lt;=0.5,"Low",IF(I1164&lt;=2,"Moderate","High")))</f>
        <v/>
      </c>
    </row>
    <row r="1165" ht="15" customHeight="1" s="12">
      <c r="A1165" s="14">
        <f>'Raw Data'!A1165</f>
        <v/>
      </c>
      <c r="B1165" s="14">
        <f>'Raw Data'!B1165</f>
        <v/>
      </c>
      <c r="C1165" s="14">
        <f>'Raw Data'!C1165</f>
        <v/>
      </c>
      <c r="D1165" s="15">
        <f>'Raw Data'!M1165</f>
        <v/>
      </c>
      <c r="E1165" s="18">
        <f>'Raw Data'!M1165/'Raw Data'!L1165*100</f>
        <v/>
      </c>
      <c r="F1165" s="14">
        <f>IF(E1165&gt;15,"Wet Year",IF(E1165&lt;-15,"Dry Year","Normal Year"))</f>
        <v/>
      </c>
      <c r="G1165" s="16">
        <f>'Raw Data'!I1165</f>
        <v/>
      </c>
      <c r="H1165" s="14">
        <f>IF(G1165&lt;15,"Low Variability",IF(G1165&lt;=35,"Moderate Variability","High Variability"))</f>
        <v/>
      </c>
      <c r="I1165" s="18">
        <f>'Raw Data'!O1165</f>
        <v/>
      </c>
      <c r="J1165" s="14">
        <f>IF(I1165=0,"No Flood",IF(I1165&lt;=0.5,"Low",IF(I1165&lt;=2,"Moderate","High")))</f>
        <v/>
      </c>
    </row>
    <row r="1166" ht="15" customHeight="1" s="12">
      <c r="A1166" s="14">
        <f>'Raw Data'!A1166</f>
        <v/>
      </c>
      <c r="B1166" s="14">
        <f>'Raw Data'!B1166</f>
        <v/>
      </c>
      <c r="C1166" s="14">
        <f>'Raw Data'!C1166</f>
        <v/>
      </c>
      <c r="D1166" s="15">
        <f>'Raw Data'!M1166</f>
        <v/>
      </c>
      <c r="E1166" s="18">
        <f>'Raw Data'!M1166/'Raw Data'!L1166*100</f>
        <v/>
      </c>
      <c r="F1166" s="14">
        <f>IF(E1166&gt;15,"Wet Year",IF(E1166&lt;-15,"Dry Year","Normal Year"))</f>
        <v/>
      </c>
      <c r="G1166" s="16">
        <f>'Raw Data'!I1166</f>
        <v/>
      </c>
      <c r="H1166" s="14">
        <f>IF(G1166&lt;15,"Low Variability",IF(G1166&lt;=35,"Moderate Variability","High Variability"))</f>
        <v/>
      </c>
      <c r="I1166" s="18">
        <f>'Raw Data'!O1166</f>
        <v/>
      </c>
      <c r="J1166" s="14">
        <f>IF(I1166=0,"No Flood",IF(I1166&lt;=0.5,"Low",IF(I1166&lt;=2,"Moderate","High")))</f>
        <v/>
      </c>
    </row>
    <row r="1167" ht="15" customHeight="1" s="12">
      <c r="A1167" s="14">
        <f>'Raw Data'!A1167</f>
        <v/>
      </c>
      <c r="B1167" s="14">
        <f>'Raw Data'!B1167</f>
        <v/>
      </c>
      <c r="C1167" s="14">
        <f>'Raw Data'!C1167</f>
        <v/>
      </c>
      <c r="D1167" s="15">
        <f>'Raw Data'!M1167</f>
        <v/>
      </c>
      <c r="E1167" s="18">
        <f>'Raw Data'!M1167/'Raw Data'!L1167*100</f>
        <v/>
      </c>
      <c r="F1167" s="14">
        <f>IF(E1167&gt;15,"Wet Year",IF(E1167&lt;-15,"Dry Year","Normal Year"))</f>
        <v/>
      </c>
      <c r="G1167" s="16">
        <f>'Raw Data'!I1167</f>
        <v/>
      </c>
      <c r="H1167" s="14">
        <f>IF(G1167&lt;15,"Low Variability",IF(G1167&lt;=35,"Moderate Variability","High Variability"))</f>
        <v/>
      </c>
      <c r="I1167" s="18">
        <f>'Raw Data'!O1167</f>
        <v/>
      </c>
      <c r="J1167" s="14">
        <f>IF(I1167=0,"No Flood",IF(I1167&lt;=0.5,"Low",IF(I1167&lt;=2,"Moderate","High")))</f>
        <v/>
      </c>
    </row>
    <row r="1168" ht="15" customHeight="1" s="12">
      <c r="A1168" s="14">
        <f>'Raw Data'!A1168</f>
        <v/>
      </c>
      <c r="B1168" s="14">
        <f>'Raw Data'!B1168</f>
        <v/>
      </c>
      <c r="C1168" s="14">
        <f>'Raw Data'!C1168</f>
        <v/>
      </c>
      <c r="D1168" s="15">
        <f>'Raw Data'!M1168</f>
        <v/>
      </c>
      <c r="E1168" s="18">
        <f>'Raw Data'!M1168/'Raw Data'!L1168*100</f>
        <v/>
      </c>
      <c r="F1168" s="14">
        <f>IF(E1168&gt;15,"Wet Year",IF(E1168&lt;-15,"Dry Year","Normal Year"))</f>
        <v/>
      </c>
      <c r="G1168" s="16">
        <f>'Raw Data'!I1168</f>
        <v/>
      </c>
      <c r="H1168" s="14">
        <f>IF(G1168&lt;15,"Low Variability",IF(G1168&lt;=35,"Moderate Variability","High Variability"))</f>
        <v/>
      </c>
      <c r="I1168" s="18">
        <f>'Raw Data'!O1168</f>
        <v/>
      </c>
      <c r="J1168" s="14">
        <f>IF(I1168=0,"No Flood",IF(I1168&lt;=0.5,"Low",IF(I1168&lt;=2,"Moderate","High")))</f>
        <v/>
      </c>
    </row>
    <row r="1169" ht="15" customHeight="1" s="12">
      <c r="A1169" s="14">
        <f>'Raw Data'!A1169</f>
        <v/>
      </c>
      <c r="B1169" s="14">
        <f>'Raw Data'!B1169</f>
        <v/>
      </c>
      <c r="C1169" s="14">
        <f>'Raw Data'!C1169</f>
        <v/>
      </c>
      <c r="D1169" s="15">
        <f>'Raw Data'!M1169</f>
        <v/>
      </c>
      <c r="E1169" s="18">
        <f>'Raw Data'!M1169/'Raw Data'!L1169*100</f>
        <v/>
      </c>
      <c r="F1169" s="14">
        <f>IF(E1169&gt;15,"Wet Year",IF(E1169&lt;-15,"Dry Year","Normal Year"))</f>
        <v/>
      </c>
      <c r="G1169" s="16">
        <f>'Raw Data'!I1169</f>
        <v/>
      </c>
      <c r="H1169" s="14">
        <f>IF(G1169&lt;15,"Low Variability",IF(G1169&lt;=35,"Moderate Variability","High Variability"))</f>
        <v/>
      </c>
      <c r="I1169" s="18">
        <f>'Raw Data'!O1169</f>
        <v/>
      </c>
      <c r="J1169" s="14">
        <f>IF(I1169=0,"No Flood",IF(I1169&lt;=0.5,"Low",IF(I1169&lt;=2,"Moderate","High")))</f>
        <v/>
      </c>
    </row>
    <row r="1170" ht="15" customHeight="1" s="12">
      <c r="A1170" s="14">
        <f>'Raw Data'!A1170</f>
        <v/>
      </c>
      <c r="B1170" s="14">
        <f>'Raw Data'!B1170</f>
        <v/>
      </c>
      <c r="C1170" s="14">
        <f>'Raw Data'!C1170</f>
        <v/>
      </c>
      <c r="D1170" s="15">
        <f>'Raw Data'!M1170</f>
        <v/>
      </c>
      <c r="E1170" s="18">
        <f>'Raw Data'!M1170/'Raw Data'!L1170*100</f>
        <v/>
      </c>
      <c r="F1170" s="14">
        <f>IF(E1170&gt;15,"Wet Year",IF(E1170&lt;-15,"Dry Year","Normal Year"))</f>
        <v/>
      </c>
      <c r="G1170" s="16">
        <f>'Raw Data'!I1170</f>
        <v/>
      </c>
      <c r="H1170" s="14">
        <f>IF(G1170&lt;15,"Low Variability",IF(G1170&lt;=35,"Moderate Variability","High Variability"))</f>
        <v/>
      </c>
      <c r="I1170" s="18">
        <f>'Raw Data'!O1170</f>
        <v/>
      </c>
      <c r="J1170" s="14">
        <f>IF(I1170=0,"No Flood",IF(I1170&lt;=0.5,"Low",IF(I1170&lt;=2,"Moderate","High")))</f>
        <v/>
      </c>
    </row>
    <row r="1171" ht="15" customHeight="1" s="12">
      <c r="A1171" s="14">
        <f>'Raw Data'!A1171</f>
        <v/>
      </c>
      <c r="B1171" s="14">
        <f>'Raw Data'!B1171</f>
        <v/>
      </c>
      <c r="C1171" s="14">
        <f>'Raw Data'!C1171</f>
        <v/>
      </c>
      <c r="D1171" s="15">
        <f>'Raw Data'!M1171</f>
        <v/>
      </c>
      <c r="E1171" s="18">
        <f>'Raw Data'!M1171/'Raw Data'!L1171*100</f>
        <v/>
      </c>
      <c r="F1171" s="14">
        <f>IF(E1171&gt;15,"Wet Year",IF(E1171&lt;-15,"Dry Year","Normal Year"))</f>
        <v/>
      </c>
      <c r="G1171" s="16">
        <f>'Raw Data'!I1171</f>
        <v/>
      </c>
      <c r="H1171" s="14">
        <f>IF(G1171&lt;15,"Low Variability",IF(G1171&lt;=35,"Moderate Variability","High Variability"))</f>
        <v/>
      </c>
      <c r="I1171" s="18">
        <f>'Raw Data'!O1171</f>
        <v/>
      </c>
      <c r="J1171" s="14">
        <f>IF(I1171=0,"No Flood",IF(I1171&lt;=0.5,"Low",IF(I1171&lt;=2,"Moderate","High")))</f>
        <v/>
      </c>
    </row>
    <row r="1172" ht="15" customHeight="1" s="12">
      <c r="A1172" s="14">
        <f>'Raw Data'!A1172</f>
        <v/>
      </c>
      <c r="B1172" s="14">
        <f>'Raw Data'!B1172</f>
        <v/>
      </c>
      <c r="C1172" s="14">
        <f>'Raw Data'!C1172</f>
        <v/>
      </c>
      <c r="D1172" s="15">
        <f>'Raw Data'!M1172</f>
        <v/>
      </c>
      <c r="E1172" s="18">
        <f>'Raw Data'!M1172/'Raw Data'!L1172*100</f>
        <v/>
      </c>
      <c r="F1172" s="14">
        <f>IF(E1172&gt;15,"Wet Year",IF(E1172&lt;-15,"Dry Year","Normal Year"))</f>
        <v/>
      </c>
      <c r="G1172" s="16">
        <f>'Raw Data'!I1172</f>
        <v/>
      </c>
      <c r="H1172" s="14">
        <f>IF(G1172&lt;15,"Low Variability",IF(G1172&lt;=35,"Moderate Variability","High Variability"))</f>
        <v/>
      </c>
      <c r="I1172" s="18">
        <f>'Raw Data'!O1172</f>
        <v/>
      </c>
      <c r="J1172" s="14">
        <f>IF(I1172=0,"No Flood",IF(I1172&lt;=0.5,"Low",IF(I1172&lt;=2,"Moderate","High")))</f>
        <v/>
      </c>
    </row>
    <row r="1173" ht="15" customHeight="1" s="12">
      <c r="A1173" s="14">
        <f>'Raw Data'!A1173</f>
        <v/>
      </c>
      <c r="B1173" s="14">
        <f>'Raw Data'!B1173</f>
        <v/>
      </c>
      <c r="C1173" s="14">
        <f>'Raw Data'!C1173</f>
        <v/>
      </c>
      <c r="D1173" s="15">
        <f>'Raw Data'!M1173</f>
        <v/>
      </c>
      <c r="E1173" s="18">
        <f>'Raw Data'!M1173/'Raw Data'!L1173*100</f>
        <v/>
      </c>
      <c r="F1173" s="14">
        <f>IF(E1173&gt;15,"Wet Year",IF(E1173&lt;-15,"Dry Year","Normal Year"))</f>
        <v/>
      </c>
      <c r="G1173" s="16">
        <f>'Raw Data'!I1173</f>
        <v/>
      </c>
      <c r="H1173" s="14">
        <f>IF(G1173&lt;15,"Low Variability",IF(G1173&lt;=35,"Moderate Variability","High Variability"))</f>
        <v/>
      </c>
      <c r="I1173" s="18">
        <f>'Raw Data'!O1173</f>
        <v/>
      </c>
      <c r="J1173" s="14">
        <f>IF(I1173=0,"No Flood",IF(I1173&lt;=0.5,"Low",IF(I1173&lt;=2,"Moderate","High")))</f>
        <v/>
      </c>
    </row>
    <row r="1174" ht="15" customHeight="1" s="12">
      <c r="A1174" s="14">
        <f>'Raw Data'!A1174</f>
        <v/>
      </c>
      <c r="B1174" s="14">
        <f>'Raw Data'!B1174</f>
        <v/>
      </c>
      <c r="C1174" s="14">
        <f>'Raw Data'!C1174</f>
        <v/>
      </c>
      <c r="D1174" s="15">
        <f>'Raw Data'!M1174</f>
        <v/>
      </c>
      <c r="E1174" s="18">
        <f>'Raw Data'!M1174/'Raw Data'!L1174*100</f>
        <v/>
      </c>
      <c r="F1174" s="14">
        <f>IF(E1174&gt;15,"Wet Year",IF(E1174&lt;-15,"Dry Year","Normal Year"))</f>
        <v/>
      </c>
      <c r="G1174" s="16">
        <f>'Raw Data'!I1174</f>
        <v/>
      </c>
      <c r="H1174" s="14">
        <f>IF(G1174&lt;15,"Low Variability",IF(G1174&lt;=35,"Moderate Variability","High Variability"))</f>
        <v/>
      </c>
      <c r="I1174" s="18">
        <f>'Raw Data'!O1174</f>
        <v/>
      </c>
      <c r="J1174" s="14">
        <f>IF(I1174=0,"No Flood",IF(I1174&lt;=0.5,"Low",IF(I1174&lt;=2,"Moderate","High")))</f>
        <v/>
      </c>
    </row>
    <row r="1175" ht="15" customHeight="1" s="12">
      <c r="A1175" s="14">
        <f>'Raw Data'!A1175</f>
        <v/>
      </c>
      <c r="B1175" s="14">
        <f>'Raw Data'!B1175</f>
        <v/>
      </c>
      <c r="C1175" s="14">
        <f>'Raw Data'!C1175</f>
        <v/>
      </c>
      <c r="D1175" s="15">
        <f>'Raw Data'!M1175</f>
        <v/>
      </c>
      <c r="E1175" s="18">
        <f>'Raw Data'!M1175/'Raw Data'!L1175*100</f>
        <v/>
      </c>
      <c r="F1175" s="14">
        <f>IF(E1175&gt;15,"Wet Year",IF(E1175&lt;-15,"Dry Year","Normal Year"))</f>
        <v/>
      </c>
      <c r="G1175" s="16">
        <f>'Raw Data'!I1175</f>
        <v/>
      </c>
      <c r="H1175" s="14">
        <f>IF(G1175&lt;15,"Low Variability",IF(G1175&lt;=35,"Moderate Variability","High Variability"))</f>
        <v/>
      </c>
      <c r="I1175" s="18">
        <f>'Raw Data'!O1175</f>
        <v/>
      </c>
      <c r="J1175" s="14">
        <f>IF(I1175=0,"No Flood",IF(I1175&lt;=0.5,"Low",IF(I1175&lt;=2,"Moderate","High")))</f>
        <v/>
      </c>
    </row>
    <row r="1176" ht="15" customHeight="1" s="12">
      <c r="A1176" s="14">
        <f>'Raw Data'!A1176</f>
        <v/>
      </c>
      <c r="B1176" s="14">
        <f>'Raw Data'!B1176</f>
        <v/>
      </c>
      <c r="C1176" s="14">
        <f>'Raw Data'!C1176</f>
        <v/>
      </c>
      <c r="D1176" s="15">
        <f>'Raw Data'!M1176</f>
        <v/>
      </c>
      <c r="E1176" s="18">
        <f>'Raw Data'!M1176/'Raw Data'!L1176*100</f>
        <v/>
      </c>
      <c r="F1176" s="14">
        <f>IF(E1176&gt;15,"Wet Year",IF(E1176&lt;-15,"Dry Year","Normal Year"))</f>
        <v/>
      </c>
      <c r="G1176" s="16">
        <f>'Raw Data'!I1176</f>
        <v/>
      </c>
      <c r="H1176" s="14">
        <f>IF(G1176&lt;15,"Low Variability",IF(G1176&lt;=35,"Moderate Variability","High Variability"))</f>
        <v/>
      </c>
      <c r="I1176" s="18">
        <f>'Raw Data'!O1176</f>
        <v/>
      </c>
      <c r="J1176" s="14">
        <f>IF(I1176=0,"No Flood",IF(I1176&lt;=0.5,"Low",IF(I1176&lt;=2,"Moderate","High")))</f>
        <v/>
      </c>
    </row>
    <row r="1177" ht="15" customHeight="1" s="12">
      <c r="A1177" s="14">
        <f>'Raw Data'!A1177</f>
        <v/>
      </c>
      <c r="B1177" s="14">
        <f>'Raw Data'!B1177</f>
        <v/>
      </c>
      <c r="C1177" s="14">
        <f>'Raw Data'!C1177</f>
        <v/>
      </c>
      <c r="D1177" s="15">
        <f>'Raw Data'!M1177</f>
        <v/>
      </c>
      <c r="E1177" s="18">
        <f>'Raw Data'!M1177/'Raw Data'!L1177*100</f>
        <v/>
      </c>
      <c r="F1177" s="14">
        <f>IF(E1177&gt;15,"Wet Year",IF(E1177&lt;-15,"Dry Year","Normal Year"))</f>
        <v/>
      </c>
      <c r="G1177" s="16">
        <f>'Raw Data'!I1177</f>
        <v/>
      </c>
      <c r="H1177" s="14">
        <f>IF(G1177&lt;15,"Low Variability",IF(G1177&lt;=35,"Moderate Variability","High Variability"))</f>
        <v/>
      </c>
      <c r="I1177" s="18">
        <f>'Raw Data'!O1177</f>
        <v/>
      </c>
      <c r="J1177" s="14">
        <f>IF(I1177=0,"No Flood",IF(I1177&lt;=0.5,"Low",IF(I1177&lt;=2,"Moderate","High")))</f>
        <v/>
      </c>
    </row>
    <row r="1178" ht="15" customHeight="1" s="12">
      <c r="A1178" s="14">
        <f>'Raw Data'!A1178</f>
        <v/>
      </c>
      <c r="B1178" s="14">
        <f>'Raw Data'!B1178</f>
        <v/>
      </c>
      <c r="C1178" s="14">
        <f>'Raw Data'!C1178</f>
        <v/>
      </c>
      <c r="D1178" s="15">
        <f>'Raw Data'!M1178</f>
        <v/>
      </c>
      <c r="E1178" s="18">
        <f>'Raw Data'!M1178/'Raw Data'!L1178*100</f>
        <v/>
      </c>
      <c r="F1178" s="14">
        <f>IF(E1178&gt;15,"Wet Year",IF(E1178&lt;-15,"Dry Year","Normal Year"))</f>
        <v/>
      </c>
      <c r="G1178" s="16">
        <f>'Raw Data'!I1178</f>
        <v/>
      </c>
      <c r="H1178" s="14">
        <f>IF(G1178&lt;15,"Low Variability",IF(G1178&lt;=35,"Moderate Variability","High Variability"))</f>
        <v/>
      </c>
      <c r="I1178" s="18">
        <f>'Raw Data'!O1178</f>
        <v/>
      </c>
      <c r="J1178" s="14">
        <f>IF(I1178=0,"No Flood",IF(I1178&lt;=0.5,"Low",IF(I1178&lt;=2,"Moderate","High")))</f>
        <v/>
      </c>
    </row>
    <row r="1179" ht="15" customHeight="1" s="12">
      <c r="A1179" s="14">
        <f>'Raw Data'!A1179</f>
        <v/>
      </c>
      <c r="B1179" s="14">
        <f>'Raw Data'!B1179</f>
        <v/>
      </c>
      <c r="C1179" s="14">
        <f>'Raw Data'!C1179</f>
        <v/>
      </c>
      <c r="D1179" s="15">
        <f>'Raw Data'!M1179</f>
        <v/>
      </c>
      <c r="E1179" s="18">
        <f>'Raw Data'!M1179/'Raw Data'!L1179*100</f>
        <v/>
      </c>
      <c r="F1179" s="14">
        <f>IF(E1179&gt;15,"Wet Year",IF(E1179&lt;-15,"Dry Year","Normal Year"))</f>
        <v/>
      </c>
      <c r="G1179" s="16">
        <f>'Raw Data'!I1179</f>
        <v/>
      </c>
      <c r="H1179" s="14">
        <f>IF(G1179&lt;15,"Low Variability",IF(G1179&lt;=35,"Moderate Variability","High Variability"))</f>
        <v/>
      </c>
      <c r="I1179" s="18">
        <f>'Raw Data'!O1179</f>
        <v/>
      </c>
      <c r="J1179" s="14">
        <f>IF(I1179=0,"No Flood",IF(I1179&lt;=0.5,"Low",IF(I1179&lt;=2,"Moderate","High")))</f>
        <v/>
      </c>
    </row>
    <row r="1180" ht="15" customHeight="1" s="12">
      <c r="A1180" s="14">
        <f>'Raw Data'!A1180</f>
        <v/>
      </c>
      <c r="B1180" s="14">
        <f>'Raw Data'!B1180</f>
        <v/>
      </c>
      <c r="C1180" s="14">
        <f>'Raw Data'!C1180</f>
        <v/>
      </c>
      <c r="D1180" s="15">
        <f>'Raw Data'!M1180</f>
        <v/>
      </c>
      <c r="E1180" s="18">
        <f>'Raw Data'!M1180/'Raw Data'!L1180*100</f>
        <v/>
      </c>
      <c r="F1180" s="14">
        <f>IF(E1180&gt;15,"Wet Year",IF(E1180&lt;-15,"Dry Year","Normal Year"))</f>
        <v/>
      </c>
      <c r="G1180" s="16">
        <f>'Raw Data'!I1180</f>
        <v/>
      </c>
      <c r="H1180" s="14">
        <f>IF(G1180&lt;15,"Low Variability",IF(G1180&lt;=35,"Moderate Variability","High Variability"))</f>
        <v/>
      </c>
      <c r="I1180" s="18">
        <f>'Raw Data'!O1180</f>
        <v/>
      </c>
      <c r="J1180" s="14">
        <f>IF(I1180=0,"No Flood",IF(I1180&lt;=0.5,"Low",IF(I1180&lt;=2,"Moderate","High")))</f>
        <v/>
      </c>
    </row>
    <row r="1181" ht="15" customHeight="1" s="12">
      <c r="A1181" s="14">
        <f>'Raw Data'!A1181</f>
        <v/>
      </c>
      <c r="B1181" s="14">
        <f>'Raw Data'!B1181</f>
        <v/>
      </c>
      <c r="C1181" s="14">
        <f>'Raw Data'!C1181</f>
        <v/>
      </c>
      <c r="D1181" s="15">
        <f>'Raw Data'!M1181</f>
        <v/>
      </c>
      <c r="E1181" s="18">
        <f>'Raw Data'!M1181/'Raw Data'!L1181*100</f>
        <v/>
      </c>
      <c r="F1181" s="14">
        <f>IF(E1181&gt;15,"Wet Year",IF(E1181&lt;-15,"Dry Year","Normal Year"))</f>
        <v/>
      </c>
      <c r="G1181" s="16">
        <f>'Raw Data'!I1181</f>
        <v/>
      </c>
      <c r="H1181" s="14">
        <f>IF(G1181&lt;15,"Low Variability",IF(G1181&lt;=35,"Moderate Variability","High Variability"))</f>
        <v/>
      </c>
      <c r="I1181" s="18">
        <f>'Raw Data'!O1181</f>
        <v/>
      </c>
      <c r="J1181" s="14">
        <f>IF(I1181=0,"No Flood",IF(I1181&lt;=0.5,"Low",IF(I1181&lt;=2,"Moderate","High")))</f>
        <v/>
      </c>
    </row>
    <row r="1182" ht="15" customHeight="1" s="12">
      <c r="A1182" s="14">
        <f>'Raw Data'!A1182</f>
        <v/>
      </c>
      <c r="B1182" s="14">
        <f>'Raw Data'!B1182</f>
        <v/>
      </c>
      <c r="C1182" s="14">
        <f>'Raw Data'!C1182</f>
        <v/>
      </c>
      <c r="D1182" s="15">
        <f>'Raw Data'!M1182</f>
        <v/>
      </c>
      <c r="E1182" s="18">
        <f>'Raw Data'!M1182/'Raw Data'!L1182*100</f>
        <v/>
      </c>
      <c r="F1182" s="14">
        <f>IF(E1182&gt;15,"Wet Year",IF(E1182&lt;-15,"Dry Year","Normal Year"))</f>
        <v/>
      </c>
      <c r="G1182" s="16">
        <f>'Raw Data'!I1182</f>
        <v/>
      </c>
      <c r="H1182" s="14">
        <f>IF(G1182&lt;15,"Low Variability",IF(G1182&lt;=35,"Moderate Variability","High Variability"))</f>
        <v/>
      </c>
      <c r="I1182" s="18">
        <f>'Raw Data'!O1182</f>
        <v/>
      </c>
      <c r="J1182" s="14">
        <f>IF(I1182=0,"No Flood",IF(I1182&lt;=0.5,"Low",IF(I1182&lt;=2,"Moderate","High")))</f>
        <v/>
      </c>
    </row>
    <row r="1183" ht="15" customHeight="1" s="12">
      <c r="A1183" s="14">
        <f>'Raw Data'!A1183</f>
        <v/>
      </c>
      <c r="B1183" s="14">
        <f>'Raw Data'!B1183</f>
        <v/>
      </c>
      <c r="C1183" s="14">
        <f>'Raw Data'!C1183</f>
        <v/>
      </c>
      <c r="D1183" s="15">
        <f>'Raw Data'!M1183</f>
        <v/>
      </c>
      <c r="E1183" s="18">
        <f>'Raw Data'!M1183/'Raw Data'!L1183*100</f>
        <v/>
      </c>
      <c r="F1183" s="14">
        <f>IF(E1183&gt;15,"Wet Year",IF(E1183&lt;-15,"Dry Year","Normal Year"))</f>
        <v/>
      </c>
      <c r="G1183" s="16">
        <f>'Raw Data'!I1183</f>
        <v/>
      </c>
      <c r="H1183" s="14">
        <f>IF(G1183&lt;15,"Low Variability",IF(G1183&lt;=35,"Moderate Variability","High Variability"))</f>
        <v/>
      </c>
      <c r="I1183" s="18">
        <f>'Raw Data'!O1183</f>
        <v/>
      </c>
      <c r="J1183" s="14">
        <f>IF(I1183=0,"No Flood",IF(I1183&lt;=0.5,"Low",IF(I1183&lt;=2,"Moderate","High")))</f>
        <v/>
      </c>
    </row>
    <row r="1184" ht="15" customHeight="1" s="12">
      <c r="A1184" s="14">
        <f>'Raw Data'!A1184</f>
        <v/>
      </c>
      <c r="B1184" s="14">
        <f>'Raw Data'!B1184</f>
        <v/>
      </c>
      <c r="C1184" s="14">
        <f>'Raw Data'!C1184</f>
        <v/>
      </c>
      <c r="D1184" s="15">
        <f>'Raw Data'!M1184</f>
        <v/>
      </c>
      <c r="E1184" s="18">
        <f>'Raw Data'!M1184/'Raw Data'!L1184*100</f>
        <v/>
      </c>
      <c r="F1184" s="14">
        <f>IF(E1184&gt;15,"Wet Year",IF(E1184&lt;-15,"Dry Year","Normal Year"))</f>
        <v/>
      </c>
      <c r="G1184" s="16">
        <f>'Raw Data'!I1184</f>
        <v/>
      </c>
      <c r="H1184" s="14">
        <f>IF(G1184&lt;15,"Low Variability",IF(G1184&lt;=35,"Moderate Variability","High Variability"))</f>
        <v/>
      </c>
      <c r="I1184" s="18">
        <f>'Raw Data'!O1184</f>
        <v/>
      </c>
      <c r="J1184" s="14">
        <f>IF(I1184=0,"No Flood",IF(I1184&lt;=0.5,"Low",IF(I1184&lt;=2,"Moderate","High")))</f>
        <v/>
      </c>
    </row>
    <row r="1185" ht="15" customHeight="1" s="12">
      <c r="A1185" s="14">
        <f>'Raw Data'!A1185</f>
        <v/>
      </c>
      <c r="B1185" s="14">
        <f>'Raw Data'!B1185</f>
        <v/>
      </c>
      <c r="C1185" s="14">
        <f>'Raw Data'!C1185</f>
        <v/>
      </c>
      <c r="D1185" s="15">
        <f>'Raw Data'!M1185</f>
        <v/>
      </c>
      <c r="E1185" s="18">
        <f>'Raw Data'!M1185/'Raw Data'!L1185*100</f>
        <v/>
      </c>
      <c r="F1185" s="14">
        <f>IF(E1185&gt;15,"Wet Year",IF(E1185&lt;-15,"Dry Year","Normal Year"))</f>
        <v/>
      </c>
      <c r="G1185" s="16">
        <f>'Raw Data'!I1185</f>
        <v/>
      </c>
      <c r="H1185" s="14">
        <f>IF(G1185&lt;15,"Low Variability",IF(G1185&lt;=35,"Moderate Variability","High Variability"))</f>
        <v/>
      </c>
      <c r="I1185" s="18">
        <f>'Raw Data'!O1185</f>
        <v/>
      </c>
      <c r="J1185" s="14">
        <f>IF(I1185=0,"No Flood",IF(I1185&lt;=0.5,"Low",IF(I1185&lt;=2,"Moderate","High")))</f>
        <v/>
      </c>
    </row>
    <row r="1186" ht="15" customHeight="1" s="12">
      <c r="A1186" s="14">
        <f>'Raw Data'!A1186</f>
        <v/>
      </c>
      <c r="B1186" s="14">
        <f>'Raw Data'!B1186</f>
        <v/>
      </c>
      <c r="C1186" s="14">
        <f>'Raw Data'!C1186</f>
        <v/>
      </c>
      <c r="D1186" s="15">
        <f>'Raw Data'!M1186</f>
        <v/>
      </c>
      <c r="E1186" s="18">
        <f>'Raw Data'!M1186/'Raw Data'!L1186*100</f>
        <v/>
      </c>
      <c r="F1186" s="14">
        <f>IF(E1186&gt;15,"Wet Year",IF(E1186&lt;-15,"Dry Year","Normal Year"))</f>
        <v/>
      </c>
      <c r="G1186" s="16">
        <f>'Raw Data'!I1186</f>
        <v/>
      </c>
      <c r="H1186" s="14">
        <f>IF(G1186&lt;15,"Low Variability",IF(G1186&lt;=35,"Moderate Variability","High Variability"))</f>
        <v/>
      </c>
      <c r="I1186" s="18">
        <f>'Raw Data'!O1186</f>
        <v/>
      </c>
      <c r="J1186" s="14">
        <f>IF(I1186=0,"No Flood",IF(I1186&lt;=0.5,"Low",IF(I1186&lt;=2,"Moderate","High")))</f>
        <v/>
      </c>
    </row>
    <row r="1187" ht="15" customHeight="1" s="12">
      <c r="A1187" s="14">
        <f>'Raw Data'!A1187</f>
        <v/>
      </c>
      <c r="B1187" s="14">
        <f>'Raw Data'!B1187</f>
        <v/>
      </c>
      <c r="C1187" s="14">
        <f>'Raw Data'!C1187</f>
        <v/>
      </c>
      <c r="D1187" s="15">
        <f>'Raw Data'!M1187</f>
        <v/>
      </c>
      <c r="E1187" s="18">
        <f>'Raw Data'!M1187/'Raw Data'!L1187*100</f>
        <v/>
      </c>
      <c r="F1187" s="14">
        <f>IF(E1187&gt;15,"Wet Year",IF(E1187&lt;-15,"Dry Year","Normal Year"))</f>
        <v/>
      </c>
      <c r="G1187" s="16">
        <f>'Raw Data'!I1187</f>
        <v/>
      </c>
      <c r="H1187" s="14">
        <f>IF(G1187&lt;15,"Low Variability",IF(G1187&lt;=35,"Moderate Variability","High Variability"))</f>
        <v/>
      </c>
      <c r="I1187" s="18">
        <f>'Raw Data'!O1187</f>
        <v/>
      </c>
      <c r="J1187" s="14">
        <f>IF(I1187=0,"No Flood",IF(I1187&lt;=0.5,"Low",IF(I1187&lt;=2,"Moderate","High")))</f>
        <v/>
      </c>
    </row>
    <row r="1188" ht="15" customHeight="1" s="12">
      <c r="A1188" s="14">
        <f>'Raw Data'!A1188</f>
        <v/>
      </c>
      <c r="B1188" s="14">
        <f>'Raw Data'!B1188</f>
        <v/>
      </c>
      <c r="C1188" s="14">
        <f>'Raw Data'!C1188</f>
        <v/>
      </c>
      <c r="D1188" s="15">
        <f>'Raw Data'!M1188</f>
        <v/>
      </c>
      <c r="E1188" s="18">
        <f>'Raw Data'!M1188/'Raw Data'!L1188*100</f>
        <v/>
      </c>
      <c r="F1188" s="14">
        <f>IF(E1188&gt;15,"Wet Year",IF(E1188&lt;-15,"Dry Year","Normal Year"))</f>
        <v/>
      </c>
      <c r="G1188" s="16">
        <f>'Raw Data'!I1188</f>
        <v/>
      </c>
      <c r="H1188" s="14">
        <f>IF(G1188&lt;15,"Low Variability",IF(G1188&lt;=35,"Moderate Variability","High Variability"))</f>
        <v/>
      </c>
      <c r="I1188" s="18">
        <f>'Raw Data'!O1188</f>
        <v/>
      </c>
      <c r="J1188" s="14">
        <f>IF(I1188=0,"No Flood",IF(I1188&lt;=0.5,"Low",IF(I1188&lt;=2,"Moderate","High")))</f>
        <v/>
      </c>
    </row>
    <row r="1189" ht="15" customHeight="1" s="12">
      <c r="A1189" s="14">
        <f>'Raw Data'!A1189</f>
        <v/>
      </c>
      <c r="B1189" s="14">
        <f>'Raw Data'!B1189</f>
        <v/>
      </c>
      <c r="C1189" s="14">
        <f>'Raw Data'!C1189</f>
        <v/>
      </c>
      <c r="D1189" s="15">
        <f>'Raw Data'!M1189</f>
        <v/>
      </c>
      <c r="E1189" s="18">
        <f>'Raw Data'!M1189/'Raw Data'!L1189*100</f>
        <v/>
      </c>
      <c r="F1189" s="14">
        <f>IF(E1189&gt;15,"Wet Year",IF(E1189&lt;-15,"Dry Year","Normal Year"))</f>
        <v/>
      </c>
      <c r="G1189" s="16">
        <f>'Raw Data'!I1189</f>
        <v/>
      </c>
      <c r="H1189" s="14">
        <f>IF(G1189&lt;15,"Low Variability",IF(G1189&lt;=35,"Moderate Variability","High Variability"))</f>
        <v/>
      </c>
      <c r="I1189" s="18">
        <f>'Raw Data'!O1189</f>
        <v/>
      </c>
      <c r="J1189" s="14">
        <f>IF(I1189=0,"No Flood",IF(I1189&lt;=0.5,"Low",IF(I1189&lt;=2,"Moderate","High")))</f>
        <v/>
      </c>
    </row>
    <row r="1190" ht="15" customHeight="1" s="12">
      <c r="A1190" s="14">
        <f>'Raw Data'!A1190</f>
        <v/>
      </c>
      <c r="B1190" s="14">
        <f>'Raw Data'!B1190</f>
        <v/>
      </c>
      <c r="C1190" s="14">
        <f>'Raw Data'!C1190</f>
        <v/>
      </c>
      <c r="D1190" s="15">
        <f>'Raw Data'!M1190</f>
        <v/>
      </c>
      <c r="E1190" s="18">
        <f>'Raw Data'!M1190/'Raw Data'!L1190*100</f>
        <v/>
      </c>
      <c r="F1190" s="14">
        <f>IF(E1190&gt;15,"Wet Year",IF(E1190&lt;-15,"Dry Year","Normal Year"))</f>
        <v/>
      </c>
      <c r="G1190" s="16">
        <f>'Raw Data'!I1190</f>
        <v/>
      </c>
      <c r="H1190" s="14">
        <f>IF(G1190&lt;15,"Low Variability",IF(G1190&lt;=35,"Moderate Variability","High Variability"))</f>
        <v/>
      </c>
      <c r="I1190" s="18">
        <f>'Raw Data'!O1190</f>
        <v/>
      </c>
      <c r="J1190" s="14">
        <f>IF(I1190=0,"No Flood",IF(I1190&lt;=0.5,"Low",IF(I1190&lt;=2,"Moderate","High")))</f>
        <v/>
      </c>
    </row>
    <row r="1191" ht="15" customHeight="1" s="12">
      <c r="A1191" s="14">
        <f>'Raw Data'!A1191</f>
        <v/>
      </c>
      <c r="B1191" s="14">
        <f>'Raw Data'!B1191</f>
        <v/>
      </c>
      <c r="C1191" s="14">
        <f>'Raw Data'!C1191</f>
        <v/>
      </c>
      <c r="D1191" s="15">
        <f>'Raw Data'!M1191</f>
        <v/>
      </c>
      <c r="E1191" s="18">
        <f>'Raw Data'!M1191/'Raw Data'!L1191*100</f>
        <v/>
      </c>
      <c r="F1191" s="14">
        <f>IF(E1191&gt;15,"Wet Year",IF(E1191&lt;-15,"Dry Year","Normal Year"))</f>
        <v/>
      </c>
      <c r="G1191" s="16">
        <f>'Raw Data'!I1191</f>
        <v/>
      </c>
      <c r="H1191" s="14">
        <f>IF(G1191&lt;15,"Low Variability",IF(G1191&lt;=35,"Moderate Variability","High Variability"))</f>
        <v/>
      </c>
      <c r="I1191" s="18">
        <f>'Raw Data'!O1191</f>
        <v/>
      </c>
      <c r="J1191" s="14">
        <f>IF(I1191=0,"No Flood",IF(I1191&lt;=0.5,"Low",IF(I1191&lt;=2,"Moderate","High")))</f>
        <v/>
      </c>
    </row>
    <row r="1192" ht="15" customHeight="1" s="12">
      <c r="A1192" s="14">
        <f>'Raw Data'!A1192</f>
        <v/>
      </c>
      <c r="B1192" s="14">
        <f>'Raw Data'!B1192</f>
        <v/>
      </c>
      <c r="C1192" s="14">
        <f>'Raw Data'!C1192</f>
        <v/>
      </c>
      <c r="D1192" s="15">
        <f>'Raw Data'!M1192</f>
        <v/>
      </c>
      <c r="E1192" s="18">
        <f>'Raw Data'!M1192/'Raw Data'!L1192*100</f>
        <v/>
      </c>
      <c r="F1192" s="14">
        <f>IF(E1192&gt;15,"Wet Year",IF(E1192&lt;-15,"Dry Year","Normal Year"))</f>
        <v/>
      </c>
      <c r="G1192" s="16">
        <f>'Raw Data'!I1192</f>
        <v/>
      </c>
      <c r="H1192" s="14">
        <f>IF(G1192&lt;15,"Low Variability",IF(G1192&lt;=35,"Moderate Variability","High Variability"))</f>
        <v/>
      </c>
      <c r="I1192" s="18">
        <f>'Raw Data'!O1192</f>
        <v/>
      </c>
      <c r="J1192" s="14">
        <f>IF(I1192=0,"No Flood",IF(I1192&lt;=0.5,"Low",IF(I1192&lt;=2,"Moderate","High")))</f>
        <v/>
      </c>
    </row>
    <row r="1193" ht="15" customHeight="1" s="12">
      <c r="A1193" s="14">
        <f>'Raw Data'!A1193</f>
        <v/>
      </c>
      <c r="B1193" s="14">
        <f>'Raw Data'!B1193</f>
        <v/>
      </c>
      <c r="C1193" s="14">
        <f>'Raw Data'!C1193</f>
        <v/>
      </c>
      <c r="D1193" s="15">
        <f>'Raw Data'!M1193</f>
        <v/>
      </c>
      <c r="E1193" s="18">
        <f>'Raw Data'!M1193/'Raw Data'!L1193*100</f>
        <v/>
      </c>
      <c r="F1193" s="14">
        <f>IF(E1193&gt;15,"Wet Year",IF(E1193&lt;-15,"Dry Year","Normal Year"))</f>
        <v/>
      </c>
      <c r="G1193" s="16">
        <f>'Raw Data'!I1193</f>
        <v/>
      </c>
      <c r="H1193" s="14">
        <f>IF(G1193&lt;15,"Low Variability",IF(G1193&lt;=35,"Moderate Variability","High Variability"))</f>
        <v/>
      </c>
      <c r="I1193" s="18">
        <f>'Raw Data'!O1193</f>
        <v/>
      </c>
      <c r="J1193" s="14">
        <f>IF(I1193=0,"No Flood",IF(I1193&lt;=0.5,"Low",IF(I1193&lt;=2,"Moderate","High")))</f>
        <v/>
      </c>
    </row>
    <row r="1194" ht="15" customHeight="1" s="12">
      <c r="A1194" s="14">
        <f>'Raw Data'!A1194</f>
        <v/>
      </c>
      <c r="B1194" s="14">
        <f>'Raw Data'!B1194</f>
        <v/>
      </c>
      <c r="C1194" s="14">
        <f>'Raw Data'!C1194</f>
        <v/>
      </c>
      <c r="D1194" s="15">
        <f>'Raw Data'!M1194</f>
        <v/>
      </c>
      <c r="E1194" s="18">
        <f>'Raw Data'!M1194/'Raw Data'!L1194*100</f>
        <v/>
      </c>
      <c r="F1194" s="14">
        <f>IF(E1194&gt;15,"Wet Year",IF(E1194&lt;-15,"Dry Year","Normal Year"))</f>
        <v/>
      </c>
      <c r="G1194" s="16">
        <f>'Raw Data'!I1194</f>
        <v/>
      </c>
      <c r="H1194" s="14">
        <f>IF(G1194&lt;15,"Low Variability",IF(G1194&lt;=35,"Moderate Variability","High Variability"))</f>
        <v/>
      </c>
      <c r="I1194" s="18">
        <f>'Raw Data'!O1194</f>
        <v/>
      </c>
      <c r="J1194" s="14">
        <f>IF(I1194=0,"No Flood",IF(I1194&lt;=0.5,"Low",IF(I1194&lt;=2,"Moderate","High")))</f>
        <v/>
      </c>
    </row>
    <row r="1195" ht="15" customHeight="1" s="12">
      <c r="A1195" s="14">
        <f>'Raw Data'!A1195</f>
        <v/>
      </c>
      <c r="B1195" s="14">
        <f>'Raw Data'!B1195</f>
        <v/>
      </c>
      <c r="C1195" s="14">
        <f>'Raw Data'!C1195</f>
        <v/>
      </c>
      <c r="D1195" s="15">
        <f>'Raw Data'!M1195</f>
        <v/>
      </c>
      <c r="E1195" s="18">
        <f>'Raw Data'!M1195/'Raw Data'!L1195*100</f>
        <v/>
      </c>
      <c r="F1195" s="14">
        <f>IF(E1195&gt;15,"Wet Year",IF(E1195&lt;-15,"Dry Year","Normal Year"))</f>
        <v/>
      </c>
      <c r="G1195" s="16">
        <f>'Raw Data'!I1195</f>
        <v/>
      </c>
      <c r="H1195" s="14">
        <f>IF(G1195&lt;15,"Low Variability",IF(G1195&lt;=35,"Moderate Variability","High Variability"))</f>
        <v/>
      </c>
      <c r="I1195" s="18">
        <f>'Raw Data'!O1195</f>
        <v/>
      </c>
      <c r="J1195" s="14">
        <f>IF(I1195=0,"No Flood",IF(I1195&lt;=0.5,"Low",IF(I1195&lt;=2,"Moderate","High")))</f>
        <v/>
      </c>
    </row>
    <row r="1196" ht="15" customHeight="1" s="12">
      <c r="A1196" s="14">
        <f>'Raw Data'!A1196</f>
        <v/>
      </c>
      <c r="B1196" s="14">
        <f>'Raw Data'!B1196</f>
        <v/>
      </c>
      <c r="C1196" s="14">
        <f>'Raw Data'!C1196</f>
        <v/>
      </c>
      <c r="D1196" s="15">
        <f>'Raw Data'!M1196</f>
        <v/>
      </c>
      <c r="E1196" s="18">
        <f>'Raw Data'!M1196/'Raw Data'!L1196*100</f>
        <v/>
      </c>
      <c r="F1196" s="14">
        <f>IF(E1196&gt;15,"Wet Year",IF(E1196&lt;-15,"Dry Year","Normal Year"))</f>
        <v/>
      </c>
      <c r="G1196" s="16">
        <f>'Raw Data'!I1196</f>
        <v/>
      </c>
      <c r="H1196" s="14">
        <f>IF(G1196&lt;15,"Low Variability",IF(G1196&lt;=35,"Moderate Variability","High Variability"))</f>
        <v/>
      </c>
      <c r="I1196" s="18">
        <f>'Raw Data'!O1196</f>
        <v/>
      </c>
      <c r="J1196" s="14">
        <f>IF(I1196=0,"No Flood",IF(I1196&lt;=0.5,"Low",IF(I1196&lt;=2,"Moderate","High")))</f>
        <v/>
      </c>
    </row>
    <row r="1197" ht="15" customHeight="1" s="12">
      <c r="A1197" s="14">
        <f>'Raw Data'!A1197</f>
        <v/>
      </c>
      <c r="B1197" s="14">
        <f>'Raw Data'!B1197</f>
        <v/>
      </c>
      <c r="C1197" s="14">
        <f>'Raw Data'!C1197</f>
        <v/>
      </c>
      <c r="D1197" s="15">
        <f>'Raw Data'!M1197</f>
        <v/>
      </c>
      <c r="E1197" s="18">
        <f>'Raw Data'!M1197/'Raw Data'!L1197*100</f>
        <v/>
      </c>
      <c r="F1197" s="14">
        <f>IF(E1197&gt;15,"Wet Year",IF(E1197&lt;-15,"Dry Year","Normal Year"))</f>
        <v/>
      </c>
      <c r="G1197" s="16">
        <f>'Raw Data'!I1197</f>
        <v/>
      </c>
      <c r="H1197" s="14">
        <f>IF(G1197&lt;15,"Low Variability",IF(G1197&lt;=35,"Moderate Variability","High Variability"))</f>
        <v/>
      </c>
      <c r="I1197" s="18">
        <f>'Raw Data'!O1197</f>
        <v/>
      </c>
      <c r="J1197" s="14">
        <f>IF(I1197=0,"No Flood",IF(I1197&lt;=0.5,"Low",IF(I1197&lt;=2,"Moderate","High")))</f>
        <v/>
      </c>
    </row>
    <row r="1198" ht="15" customHeight="1" s="12">
      <c r="A1198" s="14">
        <f>'Raw Data'!A1198</f>
        <v/>
      </c>
      <c r="B1198" s="14">
        <f>'Raw Data'!B1198</f>
        <v/>
      </c>
      <c r="C1198" s="14">
        <f>'Raw Data'!C1198</f>
        <v/>
      </c>
      <c r="D1198" s="15">
        <f>'Raw Data'!M1198</f>
        <v/>
      </c>
      <c r="E1198" s="18">
        <f>'Raw Data'!M1198/'Raw Data'!L1198*100</f>
        <v/>
      </c>
      <c r="F1198" s="14">
        <f>IF(E1198&gt;15,"Wet Year",IF(E1198&lt;-15,"Dry Year","Normal Year"))</f>
        <v/>
      </c>
      <c r="G1198" s="16">
        <f>'Raw Data'!I1198</f>
        <v/>
      </c>
      <c r="H1198" s="14">
        <f>IF(G1198&lt;15,"Low Variability",IF(G1198&lt;=35,"Moderate Variability","High Variability"))</f>
        <v/>
      </c>
      <c r="I1198" s="18">
        <f>'Raw Data'!O1198</f>
        <v/>
      </c>
      <c r="J1198" s="14">
        <f>IF(I1198=0,"No Flood",IF(I1198&lt;=0.5,"Low",IF(I1198&lt;=2,"Moderate","High")))</f>
        <v/>
      </c>
    </row>
    <row r="1199" ht="15" customHeight="1" s="12">
      <c r="A1199" s="14">
        <f>'Raw Data'!A1199</f>
        <v/>
      </c>
      <c r="B1199" s="14">
        <f>'Raw Data'!B1199</f>
        <v/>
      </c>
      <c r="C1199" s="14">
        <f>'Raw Data'!C1199</f>
        <v/>
      </c>
      <c r="D1199" s="15">
        <f>'Raw Data'!M1199</f>
        <v/>
      </c>
      <c r="E1199" s="18">
        <f>'Raw Data'!M1199/'Raw Data'!L1199*100</f>
        <v/>
      </c>
      <c r="F1199" s="14">
        <f>IF(E1199&gt;15,"Wet Year",IF(E1199&lt;-15,"Dry Year","Normal Year"))</f>
        <v/>
      </c>
      <c r="G1199" s="16">
        <f>'Raw Data'!I1199</f>
        <v/>
      </c>
      <c r="H1199" s="14">
        <f>IF(G1199&lt;15,"Low Variability",IF(G1199&lt;=35,"Moderate Variability","High Variability"))</f>
        <v/>
      </c>
      <c r="I1199" s="18">
        <f>'Raw Data'!O1199</f>
        <v/>
      </c>
      <c r="J1199" s="14">
        <f>IF(I1199=0,"No Flood",IF(I1199&lt;=0.5,"Low",IF(I1199&lt;=2,"Moderate","High")))</f>
        <v/>
      </c>
    </row>
    <row r="1200" ht="15" customHeight="1" s="12">
      <c r="A1200" s="14">
        <f>'Raw Data'!A1200</f>
        <v/>
      </c>
      <c r="B1200" s="14">
        <f>'Raw Data'!B1200</f>
        <v/>
      </c>
      <c r="C1200" s="14">
        <f>'Raw Data'!C1200</f>
        <v/>
      </c>
      <c r="D1200" s="15">
        <f>'Raw Data'!M1200</f>
        <v/>
      </c>
      <c r="E1200" s="18">
        <f>'Raw Data'!M1200/'Raw Data'!L1200*100</f>
        <v/>
      </c>
      <c r="F1200" s="14">
        <f>IF(E1200&gt;15,"Wet Year",IF(E1200&lt;-15,"Dry Year","Normal Year"))</f>
        <v/>
      </c>
      <c r="G1200" s="16">
        <f>'Raw Data'!I1200</f>
        <v/>
      </c>
      <c r="H1200" s="14">
        <f>IF(G1200&lt;15,"Low Variability",IF(G1200&lt;=35,"Moderate Variability","High Variability"))</f>
        <v/>
      </c>
      <c r="I1200" s="18">
        <f>'Raw Data'!O1200</f>
        <v/>
      </c>
      <c r="J1200" s="14">
        <f>IF(I1200=0,"No Flood",IF(I1200&lt;=0.5,"Low",IF(I1200&lt;=2,"Moderate","High")))</f>
        <v/>
      </c>
    </row>
    <row r="1201" ht="15" customHeight="1" s="12">
      <c r="A1201" s="14">
        <f>'Raw Data'!A1201</f>
        <v/>
      </c>
      <c r="B1201" s="14">
        <f>'Raw Data'!B1201</f>
        <v/>
      </c>
      <c r="C1201" s="14">
        <f>'Raw Data'!C1201</f>
        <v/>
      </c>
      <c r="D1201" s="15">
        <f>'Raw Data'!M1201</f>
        <v/>
      </c>
      <c r="E1201" s="18">
        <f>'Raw Data'!M1201/'Raw Data'!L1201*100</f>
        <v/>
      </c>
      <c r="F1201" s="14">
        <f>IF(E1201&gt;15,"Wet Year",IF(E1201&lt;-15,"Dry Year","Normal Year"))</f>
        <v/>
      </c>
      <c r="G1201" s="16">
        <f>'Raw Data'!I1201</f>
        <v/>
      </c>
      <c r="H1201" s="14">
        <f>IF(G1201&lt;15,"Low Variability",IF(G1201&lt;=35,"Moderate Variability","High Variability"))</f>
        <v/>
      </c>
      <c r="I1201" s="18">
        <f>'Raw Data'!O1201</f>
        <v/>
      </c>
      <c r="J1201" s="14">
        <f>IF(I1201=0,"No Flood",IF(I1201&lt;=0.5,"Low",IF(I1201&lt;=2,"Moderate","High")))</f>
        <v/>
      </c>
    </row>
    <row r="1202" ht="15" customHeight="1" s="12">
      <c r="A1202" s="14">
        <f>'Raw Data'!A1202</f>
        <v/>
      </c>
      <c r="B1202" s="14">
        <f>'Raw Data'!B1202</f>
        <v/>
      </c>
      <c r="C1202" s="14">
        <f>'Raw Data'!C1202</f>
        <v/>
      </c>
      <c r="D1202" s="15">
        <f>'Raw Data'!M1202</f>
        <v/>
      </c>
      <c r="E1202" s="18">
        <f>'Raw Data'!M1202/'Raw Data'!L1202*100</f>
        <v/>
      </c>
      <c r="F1202" s="14">
        <f>IF(E1202&gt;15,"Wet Year",IF(E1202&lt;-15,"Dry Year","Normal Year"))</f>
        <v/>
      </c>
      <c r="G1202" s="16">
        <f>'Raw Data'!I1202</f>
        <v/>
      </c>
      <c r="H1202" s="14">
        <f>IF(G1202&lt;15,"Low Variability",IF(G1202&lt;=35,"Moderate Variability","High Variability"))</f>
        <v/>
      </c>
      <c r="I1202" s="18">
        <f>'Raw Data'!O1202</f>
        <v/>
      </c>
      <c r="J1202" s="14">
        <f>IF(I1202=0,"No Flood",IF(I1202&lt;=0.5,"Low",IF(I1202&lt;=2,"Moderate","High")))</f>
        <v/>
      </c>
    </row>
    <row r="1203" ht="15" customHeight="1" s="12">
      <c r="A1203" s="14">
        <f>'Raw Data'!A1203</f>
        <v/>
      </c>
      <c r="B1203" s="14">
        <f>'Raw Data'!B1203</f>
        <v/>
      </c>
      <c r="C1203" s="14">
        <f>'Raw Data'!C1203</f>
        <v/>
      </c>
      <c r="D1203" s="15">
        <f>'Raw Data'!M1203</f>
        <v/>
      </c>
      <c r="E1203" s="18">
        <f>'Raw Data'!M1203/'Raw Data'!L1203*100</f>
        <v/>
      </c>
      <c r="F1203" s="14">
        <f>IF(E1203&gt;15,"Wet Year",IF(E1203&lt;-15,"Dry Year","Normal Year"))</f>
        <v/>
      </c>
      <c r="G1203" s="16">
        <f>'Raw Data'!I1203</f>
        <v/>
      </c>
      <c r="H1203" s="14">
        <f>IF(G1203&lt;15,"Low Variability",IF(G1203&lt;=35,"Moderate Variability","High Variability"))</f>
        <v/>
      </c>
      <c r="I1203" s="18">
        <f>'Raw Data'!O1203</f>
        <v/>
      </c>
      <c r="J1203" s="14">
        <f>IF(I1203=0,"No Flood",IF(I1203&lt;=0.5,"Low",IF(I1203&lt;=2,"Moderate","High")))</f>
        <v/>
      </c>
    </row>
    <row r="1204" ht="15" customHeight="1" s="12">
      <c r="A1204" s="14">
        <f>'Raw Data'!A1204</f>
        <v/>
      </c>
      <c r="B1204" s="14">
        <f>'Raw Data'!B1204</f>
        <v/>
      </c>
      <c r="C1204" s="14">
        <f>'Raw Data'!C1204</f>
        <v/>
      </c>
      <c r="D1204" s="15">
        <f>'Raw Data'!M1204</f>
        <v/>
      </c>
      <c r="E1204" s="18">
        <f>'Raw Data'!M1204/'Raw Data'!L1204*100</f>
        <v/>
      </c>
      <c r="F1204" s="14">
        <f>IF(E1204&gt;15,"Wet Year",IF(E1204&lt;-15,"Dry Year","Normal Year"))</f>
        <v/>
      </c>
      <c r="G1204" s="16">
        <f>'Raw Data'!I1204</f>
        <v/>
      </c>
      <c r="H1204" s="14">
        <f>IF(G1204&lt;15,"Low Variability",IF(G1204&lt;=35,"Moderate Variability","High Variability"))</f>
        <v/>
      </c>
      <c r="I1204" s="18">
        <f>'Raw Data'!O1204</f>
        <v/>
      </c>
      <c r="J1204" s="14">
        <f>IF(I1204=0,"No Flood",IF(I1204&lt;=0.5,"Low",IF(I1204&lt;=2,"Moderate","High")))</f>
        <v/>
      </c>
    </row>
    <row r="1205" ht="15" customHeight="1" s="12">
      <c r="A1205" s="14">
        <f>'Raw Data'!A1205</f>
        <v/>
      </c>
      <c r="B1205" s="14">
        <f>'Raw Data'!B1205</f>
        <v/>
      </c>
      <c r="C1205" s="14">
        <f>'Raw Data'!C1205</f>
        <v/>
      </c>
      <c r="D1205" s="15">
        <f>'Raw Data'!M1205</f>
        <v/>
      </c>
      <c r="E1205" s="18">
        <f>'Raw Data'!M1205/'Raw Data'!L1205*100</f>
        <v/>
      </c>
      <c r="F1205" s="14">
        <f>IF(E1205&gt;15,"Wet Year",IF(E1205&lt;-15,"Dry Year","Normal Year"))</f>
        <v/>
      </c>
      <c r="G1205" s="16">
        <f>'Raw Data'!I1205</f>
        <v/>
      </c>
      <c r="H1205" s="14">
        <f>IF(G1205&lt;15,"Low Variability",IF(G1205&lt;=35,"Moderate Variability","High Variability"))</f>
        <v/>
      </c>
      <c r="I1205" s="18">
        <f>'Raw Data'!O1205</f>
        <v/>
      </c>
      <c r="J1205" s="14">
        <f>IF(I1205=0,"No Flood",IF(I1205&lt;=0.5,"Low",IF(I1205&lt;=2,"Moderate","High")))</f>
        <v/>
      </c>
    </row>
    <row r="1206" ht="15" customHeight="1" s="12">
      <c r="A1206" s="14">
        <f>'Raw Data'!A1206</f>
        <v/>
      </c>
      <c r="B1206" s="14">
        <f>'Raw Data'!B1206</f>
        <v/>
      </c>
      <c r="C1206" s="14">
        <f>'Raw Data'!C1206</f>
        <v/>
      </c>
      <c r="D1206" s="15">
        <f>'Raw Data'!M1206</f>
        <v/>
      </c>
      <c r="E1206" s="18">
        <f>'Raw Data'!M1206/'Raw Data'!L1206*100</f>
        <v/>
      </c>
      <c r="F1206" s="14">
        <f>IF(E1206&gt;15,"Wet Year",IF(E1206&lt;-15,"Dry Year","Normal Year"))</f>
        <v/>
      </c>
      <c r="G1206" s="16">
        <f>'Raw Data'!I1206</f>
        <v/>
      </c>
      <c r="H1206" s="14">
        <f>IF(G1206&lt;15,"Low Variability",IF(G1206&lt;=35,"Moderate Variability","High Variability"))</f>
        <v/>
      </c>
      <c r="I1206" s="18">
        <f>'Raw Data'!O1206</f>
        <v/>
      </c>
      <c r="J1206" s="14">
        <f>IF(I1206=0,"No Flood",IF(I1206&lt;=0.5,"Low",IF(I1206&lt;=2,"Moderate","High")))</f>
        <v/>
      </c>
    </row>
    <row r="1207" ht="15" customHeight="1" s="12">
      <c r="A1207" s="14">
        <f>'Raw Data'!A1207</f>
        <v/>
      </c>
      <c r="B1207" s="14">
        <f>'Raw Data'!B1207</f>
        <v/>
      </c>
      <c r="C1207" s="14">
        <f>'Raw Data'!C1207</f>
        <v/>
      </c>
      <c r="D1207" s="15">
        <f>'Raw Data'!M1207</f>
        <v/>
      </c>
      <c r="E1207" s="18">
        <f>'Raw Data'!M1207/'Raw Data'!L1207*100</f>
        <v/>
      </c>
      <c r="F1207" s="14">
        <f>IF(E1207&gt;15,"Wet Year",IF(E1207&lt;-15,"Dry Year","Normal Year"))</f>
        <v/>
      </c>
      <c r="G1207" s="16">
        <f>'Raw Data'!I1207</f>
        <v/>
      </c>
      <c r="H1207" s="14">
        <f>IF(G1207&lt;15,"Low Variability",IF(G1207&lt;=35,"Moderate Variability","High Variability"))</f>
        <v/>
      </c>
      <c r="I1207" s="18">
        <f>'Raw Data'!O1207</f>
        <v/>
      </c>
      <c r="J1207" s="14">
        <f>IF(I1207=0,"No Flood",IF(I1207&lt;=0.5,"Low",IF(I1207&lt;=2,"Moderate","High")))</f>
        <v/>
      </c>
    </row>
    <row r="1208" ht="15" customHeight="1" s="12">
      <c r="A1208" s="14">
        <f>'Raw Data'!A1208</f>
        <v/>
      </c>
      <c r="B1208" s="14">
        <f>'Raw Data'!B1208</f>
        <v/>
      </c>
      <c r="C1208" s="14">
        <f>'Raw Data'!C1208</f>
        <v/>
      </c>
      <c r="D1208" s="15">
        <f>'Raw Data'!M1208</f>
        <v/>
      </c>
      <c r="E1208" s="18">
        <f>'Raw Data'!M1208/'Raw Data'!L1208*100</f>
        <v/>
      </c>
      <c r="F1208" s="14">
        <f>IF(E1208&gt;15,"Wet Year",IF(E1208&lt;-15,"Dry Year","Normal Year"))</f>
        <v/>
      </c>
      <c r="G1208" s="16">
        <f>'Raw Data'!I1208</f>
        <v/>
      </c>
      <c r="H1208" s="14">
        <f>IF(G1208&lt;15,"Low Variability",IF(G1208&lt;=35,"Moderate Variability","High Variability"))</f>
        <v/>
      </c>
      <c r="I1208" s="18">
        <f>'Raw Data'!O1208</f>
        <v/>
      </c>
      <c r="J1208" s="14">
        <f>IF(I1208=0,"No Flood",IF(I1208&lt;=0.5,"Low",IF(I1208&lt;=2,"Moderate","High")))</f>
        <v/>
      </c>
    </row>
    <row r="1209" ht="15" customHeight="1" s="12">
      <c r="A1209" s="14">
        <f>'Raw Data'!A1209</f>
        <v/>
      </c>
      <c r="B1209" s="14">
        <f>'Raw Data'!B1209</f>
        <v/>
      </c>
      <c r="C1209" s="14">
        <f>'Raw Data'!C1209</f>
        <v/>
      </c>
      <c r="D1209" s="15">
        <f>'Raw Data'!M1209</f>
        <v/>
      </c>
      <c r="E1209" s="18">
        <f>'Raw Data'!M1209/'Raw Data'!L1209*100</f>
        <v/>
      </c>
      <c r="F1209" s="14">
        <f>IF(E1209&gt;15,"Wet Year",IF(E1209&lt;-15,"Dry Year","Normal Year"))</f>
        <v/>
      </c>
      <c r="G1209" s="16">
        <f>'Raw Data'!I1209</f>
        <v/>
      </c>
      <c r="H1209" s="14">
        <f>IF(G1209&lt;15,"Low Variability",IF(G1209&lt;=35,"Moderate Variability","High Variability"))</f>
        <v/>
      </c>
      <c r="I1209" s="18">
        <f>'Raw Data'!O1209</f>
        <v/>
      </c>
      <c r="J1209" s="14">
        <f>IF(I1209=0,"No Flood",IF(I1209&lt;=0.5,"Low",IF(I1209&lt;=2,"Moderate","High")))</f>
        <v/>
      </c>
    </row>
    <row r="1210" ht="15" customHeight="1" s="12">
      <c r="A1210" s="14">
        <f>'Raw Data'!A1210</f>
        <v/>
      </c>
      <c r="B1210" s="14">
        <f>'Raw Data'!B1210</f>
        <v/>
      </c>
      <c r="C1210" s="14">
        <f>'Raw Data'!C1210</f>
        <v/>
      </c>
      <c r="D1210" s="15">
        <f>'Raw Data'!M1210</f>
        <v/>
      </c>
      <c r="E1210" s="18">
        <f>'Raw Data'!M1210/'Raw Data'!L1210*100</f>
        <v/>
      </c>
      <c r="F1210" s="14">
        <f>IF(E1210&gt;15,"Wet Year",IF(E1210&lt;-15,"Dry Year","Normal Year"))</f>
        <v/>
      </c>
      <c r="G1210" s="16">
        <f>'Raw Data'!I1210</f>
        <v/>
      </c>
      <c r="H1210" s="14">
        <f>IF(G1210&lt;15,"Low Variability",IF(G1210&lt;=35,"Moderate Variability","High Variability"))</f>
        <v/>
      </c>
      <c r="I1210" s="18">
        <f>'Raw Data'!O1210</f>
        <v/>
      </c>
      <c r="J1210" s="14">
        <f>IF(I1210=0,"No Flood",IF(I1210&lt;=0.5,"Low",IF(I1210&lt;=2,"Moderate","High")))</f>
        <v/>
      </c>
    </row>
    <row r="1211" ht="15" customHeight="1" s="12">
      <c r="A1211" s="14">
        <f>'Raw Data'!A1211</f>
        <v/>
      </c>
      <c r="B1211" s="14">
        <f>'Raw Data'!B1211</f>
        <v/>
      </c>
      <c r="C1211" s="14">
        <f>'Raw Data'!C1211</f>
        <v/>
      </c>
      <c r="D1211" s="15">
        <f>'Raw Data'!M1211</f>
        <v/>
      </c>
      <c r="E1211" s="18">
        <f>'Raw Data'!M1211/'Raw Data'!L1211*100</f>
        <v/>
      </c>
      <c r="F1211" s="14">
        <f>IF(E1211&gt;15,"Wet Year",IF(E1211&lt;-15,"Dry Year","Normal Year"))</f>
        <v/>
      </c>
      <c r="G1211" s="16">
        <f>'Raw Data'!I1211</f>
        <v/>
      </c>
      <c r="H1211" s="14">
        <f>IF(G1211&lt;15,"Low Variability",IF(G1211&lt;=35,"Moderate Variability","High Variability"))</f>
        <v/>
      </c>
      <c r="I1211" s="18">
        <f>'Raw Data'!O1211</f>
        <v/>
      </c>
      <c r="J1211" s="14">
        <f>IF(I1211=0,"No Flood",IF(I1211&lt;=0.5,"Low",IF(I1211&lt;=2,"Moderate","High")))</f>
        <v/>
      </c>
    </row>
    <row r="1212" ht="15" customHeight="1" s="12">
      <c r="A1212" s="14">
        <f>'Raw Data'!A1212</f>
        <v/>
      </c>
      <c r="B1212" s="14">
        <f>'Raw Data'!B1212</f>
        <v/>
      </c>
      <c r="C1212" s="14">
        <f>'Raw Data'!C1212</f>
        <v/>
      </c>
      <c r="D1212" s="15">
        <f>'Raw Data'!M1212</f>
        <v/>
      </c>
      <c r="E1212" s="18">
        <f>'Raw Data'!M1212/'Raw Data'!L1212*100</f>
        <v/>
      </c>
      <c r="F1212" s="14">
        <f>IF(E1212&gt;15,"Wet Year",IF(E1212&lt;-15,"Dry Year","Normal Year"))</f>
        <v/>
      </c>
      <c r="G1212" s="16">
        <f>'Raw Data'!I1212</f>
        <v/>
      </c>
      <c r="H1212" s="14">
        <f>IF(G1212&lt;15,"Low Variability",IF(G1212&lt;=35,"Moderate Variability","High Variability"))</f>
        <v/>
      </c>
      <c r="I1212" s="18">
        <f>'Raw Data'!O1212</f>
        <v/>
      </c>
      <c r="J1212" s="14">
        <f>IF(I1212=0,"No Flood",IF(I1212&lt;=0.5,"Low",IF(I1212&lt;=2,"Moderate","High")))</f>
        <v/>
      </c>
    </row>
    <row r="1213" ht="15" customHeight="1" s="12">
      <c r="A1213" s="14">
        <f>'Raw Data'!A1213</f>
        <v/>
      </c>
      <c r="B1213" s="14">
        <f>'Raw Data'!B1213</f>
        <v/>
      </c>
      <c r="C1213" s="14">
        <f>'Raw Data'!C1213</f>
        <v/>
      </c>
      <c r="D1213" s="15">
        <f>'Raw Data'!M1213</f>
        <v/>
      </c>
      <c r="E1213" s="18">
        <f>'Raw Data'!M1213/'Raw Data'!L1213*100</f>
        <v/>
      </c>
      <c r="F1213" s="14">
        <f>IF(E1213&gt;15,"Wet Year",IF(E1213&lt;-15,"Dry Year","Normal Year"))</f>
        <v/>
      </c>
      <c r="G1213" s="16">
        <f>'Raw Data'!I1213</f>
        <v/>
      </c>
      <c r="H1213" s="14">
        <f>IF(G1213&lt;15,"Low Variability",IF(G1213&lt;=35,"Moderate Variability","High Variability"))</f>
        <v/>
      </c>
      <c r="I1213" s="18">
        <f>'Raw Data'!O1213</f>
        <v/>
      </c>
      <c r="J1213" s="14">
        <f>IF(I1213=0,"No Flood",IF(I1213&lt;=0.5,"Low",IF(I1213&lt;=2,"Moderate","High")))</f>
        <v/>
      </c>
    </row>
    <row r="1214" ht="15" customHeight="1" s="12">
      <c r="A1214" s="14">
        <f>'Raw Data'!A1214</f>
        <v/>
      </c>
      <c r="B1214" s="14">
        <f>'Raw Data'!B1214</f>
        <v/>
      </c>
      <c r="C1214" s="14">
        <f>'Raw Data'!C1214</f>
        <v/>
      </c>
      <c r="D1214" s="15">
        <f>'Raw Data'!M1214</f>
        <v/>
      </c>
      <c r="E1214" s="18">
        <f>'Raw Data'!M1214/'Raw Data'!L1214*100</f>
        <v/>
      </c>
      <c r="F1214" s="14">
        <f>IF(E1214&gt;15,"Wet Year",IF(E1214&lt;-15,"Dry Year","Normal Year"))</f>
        <v/>
      </c>
      <c r="G1214" s="16">
        <f>'Raw Data'!I1214</f>
        <v/>
      </c>
      <c r="H1214" s="14">
        <f>IF(G1214&lt;15,"Low Variability",IF(G1214&lt;=35,"Moderate Variability","High Variability"))</f>
        <v/>
      </c>
      <c r="I1214" s="18">
        <f>'Raw Data'!O1214</f>
        <v/>
      </c>
      <c r="J1214" s="14">
        <f>IF(I1214=0,"No Flood",IF(I1214&lt;=0.5,"Low",IF(I1214&lt;=2,"Moderate","High")))</f>
        <v/>
      </c>
    </row>
    <row r="1215" ht="15" customHeight="1" s="12">
      <c r="A1215" s="14">
        <f>'Raw Data'!A1215</f>
        <v/>
      </c>
      <c r="B1215" s="14">
        <f>'Raw Data'!B1215</f>
        <v/>
      </c>
      <c r="C1215" s="14">
        <f>'Raw Data'!C1215</f>
        <v/>
      </c>
      <c r="D1215" s="15">
        <f>'Raw Data'!M1215</f>
        <v/>
      </c>
      <c r="E1215" s="18">
        <f>'Raw Data'!M1215/'Raw Data'!L1215*100</f>
        <v/>
      </c>
      <c r="F1215" s="14">
        <f>IF(E1215&gt;15,"Wet Year",IF(E1215&lt;-15,"Dry Year","Normal Year"))</f>
        <v/>
      </c>
      <c r="G1215" s="16">
        <f>'Raw Data'!I1215</f>
        <v/>
      </c>
      <c r="H1215" s="14">
        <f>IF(G1215&lt;15,"Low Variability",IF(G1215&lt;=35,"Moderate Variability","High Variability"))</f>
        <v/>
      </c>
      <c r="I1215" s="18">
        <f>'Raw Data'!O1215</f>
        <v/>
      </c>
      <c r="J1215" s="14">
        <f>IF(I1215=0,"No Flood",IF(I1215&lt;=0.5,"Low",IF(I1215&lt;=2,"Moderate","High")))</f>
        <v/>
      </c>
    </row>
    <row r="1216" ht="15" customHeight="1" s="12">
      <c r="A1216" s="14">
        <f>'Raw Data'!A1216</f>
        <v/>
      </c>
      <c r="B1216" s="14">
        <f>'Raw Data'!B1216</f>
        <v/>
      </c>
      <c r="C1216" s="14">
        <f>'Raw Data'!C1216</f>
        <v/>
      </c>
      <c r="D1216" s="15">
        <f>'Raw Data'!M1216</f>
        <v/>
      </c>
      <c r="E1216" s="18">
        <f>'Raw Data'!M1216/'Raw Data'!L1216*100</f>
        <v/>
      </c>
      <c r="F1216" s="14">
        <f>IF(E1216&gt;15,"Wet Year",IF(E1216&lt;-15,"Dry Year","Normal Year"))</f>
        <v/>
      </c>
      <c r="G1216" s="16">
        <f>'Raw Data'!I1216</f>
        <v/>
      </c>
      <c r="H1216" s="14">
        <f>IF(G1216&lt;15,"Low Variability",IF(G1216&lt;=35,"Moderate Variability","High Variability"))</f>
        <v/>
      </c>
      <c r="I1216" s="18">
        <f>'Raw Data'!O1216</f>
        <v/>
      </c>
      <c r="J1216" s="14">
        <f>IF(I1216=0,"No Flood",IF(I1216&lt;=0.5,"Low",IF(I1216&lt;=2,"Moderate","High")))</f>
        <v/>
      </c>
    </row>
    <row r="1217" ht="15" customHeight="1" s="12">
      <c r="A1217" s="14">
        <f>'Raw Data'!A1217</f>
        <v/>
      </c>
      <c r="B1217" s="14">
        <f>'Raw Data'!B1217</f>
        <v/>
      </c>
      <c r="C1217" s="14">
        <f>'Raw Data'!C1217</f>
        <v/>
      </c>
      <c r="D1217" s="15">
        <f>'Raw Data'!M1217</f>
        <v/>
      </c>
      <c r="E1217" s="18">
        <f>'Raw Data'!M1217/'Raw Data'!L1217*100</f>
        <v/>
      </c>
      <c r="F1217" s="14">
        <f>IF(E1217&gt;15,"Wet Year",IF(E1217&lt;-15,"Dry Year","Normal Year"))</f>
        <v/>
      </c>
      <c r="G1217" s="16">
        <f>'Raw Data'!I1217</f>
        <v/>
      </c>
      <c r="H1217" s="14">
        <f>IF(G1217&lt;15,"Low Variability",IF(G1217&lt;=35,"Moderate Variability","High Variability"))</f>
        <v/>
      </c>
      <c r="I1217" s="18">
        <f>'Raw Data'!O1217</f>
        <v/>
      </c>
      <c r="J1217" s="14">
        <f>IF(I1217=0,"No Flood",IF(I1217&lt;=0.5,"Low",IF(I1217&lt;=2,"Moderate","High")))</f>
        <v/>
      </c>
    </row>
    <row r="1218" ht="15" customHeight="1" s="12">
      <c r="A1218" s="14">
        <f>'Raw Data'!A1218</f>
        <v/>
      </c>
      <c r="B1218" s="14">
        <f>'Raw Data'!B1218</f>
        <v/>
      </c>
      <c r="C1218" s="14">
        <f>'Raw Data'!C1218</f>
        <v/>
      </c>
      <c r="D1218" s="15">
        <f>'Raw Data'!M1218</f>
        <v/>
      </c>
      <c r="E1218" s="18">
        <f>'Raw Data'!M1218/'Raw Data'!L1218*100</f>
        <v/>
      </c>
      <c r="F1218" s="14">
        <f>IF(E1218&gt;15,"Wet Year",IF(E1218&lt;-15,"Dry Year","Normal Year"))</f>
        <v/>
      </c>
      <c r="G1218" s="16">
        <f>'Raw Data'!I1218</f>
        <v/>
      </c>
      <c r="H1218" s="14">
        <f>IF(G1218&lt;15,"Low Variability",IF(G1218&lt;=35,"Moderate Variability","High Variability"))</f>
        <v/>
      </c>
      <c r="I1218" s="18">
        <f>'Raw Data'!O1218</f>
        <v/>
      </c>
      <c r="J1218" s="14">
        <f>IF(I1218=0,"No Flood",IF(I1218&lt;=0.5,"Low",IF(I1218&lt;=2,"Moderate","High")))</f>
        <v/>
      </c>
    </row>
    <row r="1219" ht="15" customHeight="1" s="12">
      <c r="A1219" s="14">
        <f>'Raw Data'!A1219</f>
        <v/>
      </c>
      <c r="B1219" s="14">
        <f>'Raw Data'!B1219</f>
        <v/>
      </c>
      <c r="C1219" s="14">
        <f>'Raw Data'!C1219</f>
        <v/>
      </c>
      <c r="D1219" s="15">
        <f>'Raw Data'!M1219</f>
        <v/>
      </c>
      <c r="E1219" s="18">
        <f>'Raw Data'!M1219/'Raw Data'!L1219*100</f>
        <v/>
      </c>
      <c r="F1219" s="14">
        <f>IF(E1219&gt;15,"Wet Year",IF(E1219&lt;-15,"Dry Year","Normal Year"))</f>
        <v/>
      </c>
      <c r="G1219" s="16">
        <f>'Raw Data'!I1219</f>
        <v/>
      </c>
      <c r="H1219" s="14">
        <f>IF(G1219&lt;15,"Low Variability",IF(G1219&lt;=35,"Moderate Variability","High Variability"))</f>
        <v/>
      </c>
      <c r="I1219" s="18">
        <f>'Raw Data'!O1219</f>
        <v/>
      </c>
      <c r="J1219" s="14">
        <f>IF(I1219=0,"No Flood",IF(I1219&lt;=0.5,"Low",IF(I1219&lt;=2,"Moderate","High")))</f>
        <v/>
      </c>
    </row>
    <row r="1220" ht="15" customHeight="1" s="12">
      <c r="A1220" s="14">
        <f>'Raw Data'!A1220</f>
        <v/>
      </c>
      <c r="B1220" s="14">
        <f>'Raw Data'!B1220</f>
        <v/>
      </c>
      <c r="C1220" s="14">
        <f>'Raw Data'!C1220</f>
        <v/>
      </c>
      <c r="D1220" s="15">
        <f>'Raw Data'!M1220</f>
        <v/>
      </c>
      <c r="E1220" s="18">
        <f>'Raw Data'!M1220/'Raw Data'!L1220*100</f>
        <v/>
      </c>
      <c r="F1220" s="14">
        <f>IF(E1220&gt;15,"Wet Year",IF(E1220&lt;-15,"Dry Year","Normal Year"))</f>
        <v/>
      </c>
      <c r="G1220" s="16">
        <f>'Raw Data'!I1220</f>
        <v/>
      </c>
      <c r="H1220" s="14">
        <f>IF(G1220&lt;15,"Low Variability",IF(G1220&lt;=35,"Moderate Variability","High Variability"))</f>
        <v/>
      </c>
      <c r="I1220" s="18">
        <f>'Raw Data'!O1220</f>
        <v/>
      </c>
      <c r="J1220" s="14">
        <f>IF(I1220=0,"No Flood",IF(I1220&lt;=0.5,"Low",IF(I1220&lt;=2,"Moderate","High")))</f>
        <v/>
      </c>
    </row>
    <row r="1221" ht="15" customHeight="1" s="12">
      <c r="A1221" s="14">
        <f>'Raw Data'!A1221</f>
        <v/>
      </c>
      <c r="B1221" s="14">
        <f>'Raw Data'!B1221</f>
        <v/>
      </c>
      <c r="C1221" s="14">
        <f>'Raw Data'!C1221</f>
        <v/>
      </c>
      <c r="D1221" s="15">
        <f>'Raw Data'!M1221</f>
        <v/>
      </c>
      <c r="E1221" s="18">
        <f>'Raw Data'!M1221/'Raw Data'!L1221*100</f>
        <v/>
      </c>
      <c r="F1221" s="14">
        <f>IF(E1221&gt;15,"Wet Year",IF(E1221&lt;-15,"Dry Year","Normal Year"))</f>
        <v/>
      </c>
      <c r="G1221" s="16">
        <f>'Raw Data'!I1221</f>
        <v/>
      </c>
      <c r="H1221" s="14">
        <f>IF(G1221&lt;15,"Low Variability",IF(G1221&lt;=35,"Moderate Variability","High Variability"))</f>
        <v/>
      </c>
      <c r="I1221" s="18">
        <f>'Raw Data'!O1221</f>
        <v/>
      </c>
      <c r="J1221" s="14">
        <f>IF(I1221=0,"No Flood",IF(I1221&lt;=0.5,"Low",IF(I1221&lt;=2,"Moderate","High")))</f>
        <v/>
      </c>
    </row>
    <row r="1222" ht="15" customHeight="1" s="12">
      <c r="A1222" s="14">
        <f>'Raw Data'!A1222</f>
        <v/>
      </c>
      <c r="B1222" s="14">
        <f>'Raw Data'!B1222</f>
        <v/>
      </c>
      <c r="C1222" s="14">
        <f>'Raw Data'!C1222</f>
        <v/>
      </c>
      <c r="D1222" s="15">
        <f>'Raw Data'!M1222</f>
        <v/>
      </c>
      <c r="E1222" s="18">
        <f>'Raw Data'!M1222/'Raw Data'!L1222*100</f>
        <v/>
      </c>
      <c r="F1222" s="14">
        <f>IF(E1222&gt;15,"Wet Year",IF(E1222&lt;-15,"Dry Year","Normal Year"))</f>
        <v/>
      </c>
      <c r="G1222" s="16">
        <f>'Raw Data'!I1222</f>
        <v/>
      </c>
      <c r="H1222" s="14">
        <f>IF(G1222&lt;15,"Low Variability",IF(G1222&lt;=35,"Moderate Variability","High Variability"))</f>
        <v/>
      </c>
      <c r="I1222" s="18">
        <f>'Raw Data'!O1222</f>
        <v/>
      </c>
      <c r="J1222" s="14">
        <f>IF(I1222=0,"No Flood",IF(I1222&lt;=0.5,"Low",IF(I1222&lt;=2,"Moderate","High")))</f>
        <v/>
      </c>
    </row>
    <row r="1223" ht="15" customHeight="1" s="12">
      <c r="A1223" s="14">
        <f>'Raw Data'!A1223</f>
        <v/>
      </c>
      <c r="B1223" s="14">
        <f>'Raw Data'!B1223</f>
        <v/>
      </c>
      <c r="C1223" s="14">
        <f>'Raw Data'!C1223</f>
        <v/>
      </c>
      <c r="D1223" s="15">
        <f>'Raw Data'!M1223</f>
        <v/>
      </c>
      <c r="E1223" s="18">
        <f>'Raw Data'!M1223/'Raw Data'!L1223*100</f>
        <v/>
      </c>
      <c r="F1223" s="14">
        <f>IF(E1223&gt;15,"Wet Year",IF(E1223&lt;-15,"Dry Year","Normal Year"))</f>
        <v/>
      </c>
      <c r="G1223" s="16">
        <f>'Raw Data'!I1223</f>
        <v/>
      </c>
      <c r="H1223" s="14">
        <f>IF(G1223&lt;15,"Low Variability",IF(G1223&lt;=35,"Moderate Variability","High Variability"))</f>
        <v/>
      </c>
      <c r="I1223" s="18">
        <f>'Raw Data'!O1223</f>
        <v/>
      </c>
      <c r="J1223" s="14">
        <f>IF(I1223=0,"No Flood",IF(I1223&lt;=0.5,"Low",IF(I1223&lt;=2,"Moderate","High")))</f>
        <v/>
      </c>
    </row>
    <row r="1224" ht="15" customHeight="1" s="12">
      <c r="A1224" s="14">
        <f>'Raw Data'!A1224</f>
        <v/>
      </c>
      <c r="B1224" s="14">
        <f>'Raw Data'!B1224</f>
        <v/>
      </c>
      <c r="C1224" s="14">
        <f>'Raw Data'!C1224</f>
        <v/>
      </c>
      <c r="D1224" s="15">
        <f>'Raw Data'!M1224</f>
        <v/>
      </c>
      <c r="E1224" s="18">
        <f>'Raw Data'!M1224/'Raw Data'!L1224*100</f>
        <v/>
      </c>
      <c r="F1224" s="14">
        <f>IF(E1224&gt;15,"Wet Year",IF(E1224&lt;-15,"Dry Year","Normal Year"))</f>
        <v/>
      </c>
      <c r="G1224" s="16">
        <f>'Raw Data'!I1224</f>
        <v/>
      </c>
      <c r="H1224" s="14">
        <f>IF(G1224&lt;15,"Low Variability",IF(G1224&lt;=35,"Moderate Variability","High Variability"))</f>
        <v/>
      </c>
      <c r="I1224" s="18">
        <f>'Raw Data'!O1224</f>
        <v/>
      </c>
      <c r="J1224" s="14">
        <f>IF(I1224=0,"No Flood",IF(I1224&lt;=0.5,"Low",IF(I1224&lt;=2,"Moderate","High")))</f>
        <v/>
      </c>
    </row>
    <row r="1225" ht="15" customHeight="1" s="12">
      <c r="A1225" s="14">
        <f>'Raw Data'!A1225</f>
        <v/>
      </c>
      <c r="B1225" s="14">
        <f>'Raw Data'!B1225</f>
        <v/>
      </c>
      <c r="C1225" s="14">
        <f>'Raw Data'!C1225</f>
        <v/>
      </c>
      <c r="D1225" s="15">
        <f>'Raw Data'!M1225</f>
        <v/>
      </c>
      <c r="E1225" s="18">
        <f>'Raw Data'!M1225/'Raw Data'!L1225*100</f>
        <v/>
      </c>
      <c r="F1225" s="14">
        <f>IF(E1225&gt;15,"Wet Year",IF(E1225&lt;-15,"Dry Year","Normal Year"))</f>
        <v/>
      </c>
      <c r="G1225" s="16">
        <f>'Raw Data'!I1225</f>
        <v/>
      </c>
      <c r="H1225" s="14">
        <f>IF(G1225&lt;15,"Low Variability",IF(G1225&lt;=35,"Moderate Variability","High Variability"))</f>
        <v/>
      </c>
      <c r="I1225" s="18">
        <f>'Raw Data'!O1225</f>
        <v/>
      </c>
      <c r="J1225" s="14">
        <f>IF(I1225=0,"No Flood",IF(I1225&lt;=0.5,"Low",IF(I1225&lt;=2,"Moderate","High")))</f>
        <v/>
      </c>
    </row>
    <row r="1226" ht="15" customHeight="1" s="12">
      <c r="A1226" s="14">
        <f>'Raw Data'!A1226</f>
        <v/>
      </c>
      <c r="B1226" s="14">
        <f>'Raw Data'!B1226</f>
        <v/>
      </c>
      <c r="C1226" s="14">
        <f>'Raw Data'!C1226</f>
        <v/>
      </c>
      <c r="D1226" s="15">
        <f>'Raw Data'!M1226</f>
        <v/>
      </c>
      <c r="E1226" s="18">
        <f>'Raw Data'!M1226/'Raw Data'!L1226*100</f>
        <v/>
      </c>
      <c r="F1226" s="14">
        <f>IF(E1226&gt;15,"Wet Year",IF(E1226&lt;-15,"Dry Year","Normal Year"))</f>
        <v/>
      </c>
      <c r="G1226" s="16">
        <f>'Raw Data'!I1226</f>
        <v/>
      </c>
      <c r="H1226" s="14">
        <f>IF(G1226&lt;15,"Low Variability",IF(G1226&lt;=35,"Moderate Variability","High Variability"))</f>
        <v/>
      </c>
      <c r="I1226" s="18">
        <f>'Raw Data'!O1226</f>
        <v/>
      </c>
      <c r="J1226" s="14">
        <f>IF(I1226=0,"No Flood",IF(I1226&lt;=0.5,"Low",IF(I1226&lt;=2,"Moderate","High")))</f>
        <v/>
      </c>
    </row>
    <row r="1227" ht="15" customHeight="1" s="12">
      <c r="A1227" s="14">
        <f>'Raw Data'!A1227</f>
        <v/>
      </c>
      <c r="B1227" s="14">
        <f>'Raw Data'!B1227</f>
        <v/>
      </c>
      <c r="C1227" s="14">
        <f>'Raw Data'!C1227</f>
        <v/>
      </c>
      <c r="D1227" s="15">
        <f>'Raw Data'!M1227</f>
        <v/>
      </c>
      <c r="E1227" s="18">
        <f>'Raw Data'!M1227/'Raw Data'!L1227*100</f>
        <v/>
      </c>
      <c r="F1227" s="14">
        <f>IF(E1227&gt;15,"Wet Year",IF(E1227&lt;-15,"Dry Year","Normal Year"))</f>
        <v/>
      </c>
      <c r="G1227" s="16">
        <f>'Raw Data'!I1227</f>
        <v/>
      </c>
      <c r="H1227" s="14">
        <f>IF(G1227&lt;15,"Low Variability",IF(G1227&lt;=35,"Moderate Variability","High Variability"))</f>
        <v/>
      </c>
      <c r="I1227" s="18">
        <f>'Raw Data'!O1227</f>
        <v/>
      </c>
      <c r="J1227" s="14">
        <f>IF(I1227=0,"No Flood",IF(I1227&lt;=0.5,"Low",IF(I1227&lt;=2,"Moderate","High")))</f>
        <v/>
      </c>
    </row>
    <row r="1228" ht="15" customHeight="1" s="12">
      <c r="A1228" s="14">
        <f>'Raw Data'!A1228</f>
        <v/>
      </c>
      <c r="B1228" s="14">
        <f>'Raw Data'!B1228</f>
        <v/>
      </c>
      <c r="C1228" s="14">
        <f>'Raw Data'!C1228</f>
        <v/>
      </c>
      <c r="D1228" s="15">
        <f>'Raw Data'!M1228</f>
        <v/>
      </c>
      <c r="E1228" s="18">
        <f>'Raw Data'!M1228/'Raw Data'!L1228*100</f>
        <v/>
      </c>
      <c r="F1228" s="14">
        <f>IF(E1228&gt;15,"Wet Year",IF(E1228&lt;-15,"Dry Year","Normal Year"))</f>
        <v/>
      </c>
      <c r="G1228" s="16">
        <f>'Raw Data'!I1228</f>
        <v/>
      </c>
      <c r="H1228" s="14">
        <f>IF(G1228&lt;15,"Low Variability",IF(G1228&lt;=35,"Moderate Variability","High Variability"))</f>
        <v/>
      </c>
      <c r="I1228" s="18">
        <f>'Raw Data'!O1228</f>
        <v/>
      </c>
      <c r="J1228" s="14">
        <f>IF(I1228=0,"No Flood",IF(I1228&lt;=0.5,"Low",IF(I1228&lt;=2,"Moderate","High")))</f>
        <v/>
      </c>
    </row>
    <row r="1229" ht="15" customHeight="1" s="12">
      <c r="A1229" s="14">
        <f>'Raw Data'!A1229</f>
        <v/>
      </c>
      <c r="B1229" s="14">
        <f>'Raw Data'!B1229</f>
        <v/>
      </c>
      <c r="C1229" s="14">
        <f>'Raw Data'!C1229</f>
        <v/>
      </c>
      <c r="D1229" s="15">
        <f>'Raw Data'!M1229</f>
        <v/>
      </c>
      <c r="E1229" s="18">
        <f>'Raw Data'!M1229/'Raw Data'!L1229*100</f>
        <v/>
      </c>
      <c r="F1229" s="14">
        <f>IF(E1229&gt;15,"Wet Year",IF(E1229&lt;-15,"Dry Year","Normal Year"))</f>
        <v/>
      </c>
      <c r="G1229" s="16">
        <f>'Raw Data'!I1229</f>
        <v/>
      </c>
      <c r="H1229" s="14">
        <f>IF(G1229&lt;15,"Low Variability",IF(G1229&lt;=35,"Moderate Variability","High Variability"))</f>
        <v/>
      </c>
      <c r="I1229" s="18">
        <f>'Raw Data'!O1229</f>
        <v/>
      </c>
      <c r="J1229" s="14">
        <f>IF(I1229=0,"No Flood",IF(I1229&lt;=0.5,"Low",IF(I1229&lt;=2,"Moderate","High")))</f>
        <v/>
      </c>
    </row>
    <row r="1230" ht="15" customHeight="1" s="12">
      <c r="A1230" s="14">
        <f>'Raw Data'!A1230</f>
        <v/>
      </c>
      <c r="B1230" s="14">
        <f>'Raw Data'!B1230</f>
        <v/>
      </c>
      <c r="C1230" s="14">
        <f>'Raw Data'!C1230</f>
        <v/>
      </c>
      <c r="D1230" s="15">
        <f>'Raw Data'!M1230</f>
        <v/>
      </c>
      <c r="E1230" s="18">
        <f>'Raw Data'!M1230/'Raw Data'!L1230*100</f>
        <v/>
      </c>
      <c r="F1230" s="14">
        <f>IF(E1230&gt;15,"Wet Year",IF(E1230&lt;-15,"Dry Year","Normal Year"))</f>
        <v/>
      </c>
      <c r="G1230" s="16">
        <f>'Raw Data'!I1230</f>
        <v/>
      </c>
      <c r="H1230" s="14">
        <f>IF(G1230&lt;15,"Low Variability",IF(G1230&lt;=35,"Moderate Variability","High Variability"))</f>
        <v/>
      </c>
      <c r="I1230" s="18">
        <f>'Raw Data'!O1230</f>
        <v/>
      </c>
      <c r="J1230" s="14">
        <f>IF(I1230=0,"No Flood",IF(I1230&lt;=0.5,"Low",IF(I1230&lt;=2,"Moderate","High")))</f>
        <v/>
      </c>
    </row>
    <row r="1231" ht="15" customHeight="1" s="12">
      <c r="A1231" s="14">
        <f>'Raw Data'!A1231</f>
        <v/>
      </c>
      <c r="B1231" s="14">
        <f>'Raw Data'!B1231</f>
        <v/>
      </c>
      <c r="C1231" s="14">
        <f>'Raw Data'!C1231</f>
        <v/>
      </c>
      <c r="D1231" s="15">
        <f>'Raw Data'!M1231</f>
        <v/>
      </c>
      <c r="E1231" s="18">
        <f>'Raw Data'!M1231/'Raw Data'!L1231*100</f>
        <v/>
      </c>
      <c r="F1231" s="14">
        <f>IF(E1231&gt;15,"Wet Year",IF(E1231&lt;-15,"Dry Year","Normal Year"))</f>
        <v/>
      </c>
      <c r="G1231" s="16">
        <f>'Raw Data'!I1231</f>
        <v/>
      </c>
      <c r="H1231" s="14">
        <f>IF(G1231&lt;15,"Low Variability",IF(G1231&lt;=35,"Moderate Variability","High Variability"))</f>
        <v/>
      </c>
      <c r="I1231" s="18">
        <f>'Raw Data'!O1231</f>
        <v/>
      </c>
      <c r="J1231" s="14">
        <f>IF(I1231=0,"No Flood",IF(I1231&lt;=0.5,"Low",IF(I1231&lt;=2,"Moderate","High")))</f>
        <v/>
      </c>
    </row>
    <row r="1232" ht="15" customHeight="1" s="12">
      <c r="A1232" s="14">
        <f>'Raw Data'!A1232</f>
        <v/>
      </c>
      <c r="B1232" s="14">
        <f>'Raw Data'!B1232</f>
        <v/>
      </c>
      <c r="C1232" s="14">
        <f>'Raw Data'!C1232</f>
        <v/>
      </c>
      <c r="D1232" s="15">
        <f>'Raw Data'!M1232</f>
        <v/>
      </c>
      <c r="E1232" s="18">
        <f>'Raw Data'!M1232/'Raw Data'!L1232*100</f>
        <v/>
      </c>
      <c r="F1232" s="14">
        <f>IF(E1232&gt;15,"Wet Year",IF(E1232&lt;-15,"Dry Year","Normal Year"))</f>
        <v/>
      </c>
      <c r="G1232" s="16">
        <f>'Raw Data'!I1232</f>
        <v/>
      </c>
      <c r="H1232" s="14">
        <f>IF(G1232&lt;15,"Low Variability",IF(G1232&lt;=35,"Moderate Variability","High Variability"))</f>
        <v/>
      </c>
      <c r="I1232" s="18">
        <f>'Raw Data'!O1232</f>
        <v/>
      </c>
      <c r="J1232" s="14">
        <f>IF(I1232=0,"No Flood",IF(I1232&lt;=0.5,"Low",IF(I1232&lt;=2,"Moderate","High")))</f>
        <v/>
      </c>
    </row>
    <row r="1233" ht="15" customHeight="1" s="12">
      <c r="A1233" s="14">
        <f>'Raw Data'!A1233</f>
        <v/>
      </c>
      <c r="B1233" s="14">
        <f>'Raw Data'!B1233</f>
        <v/>
      </c>
      <c r="C1233" s="14">
        <f>'Raw Data'!C1233</f>
        <v/>
      </c>
      <c r="D1233" s="15">
        <f>'Raw Data'!M1233</f>
        <v/>
      </c>
      <c r="E1233" s="18">
        <f>'Raw Data'!M1233/'Raw Data'!L1233*100</f>
        <v/>
      </c>
      <c r="F1233" s="14">
        <f>IF(E1233&gt;15,"Wet Year",IF(E1233&lt;-15,"Dry Year","Normal Year"))</f>
        <v/>
      </c>
      <c r="G1233" s="16">
        <f>'Raw Data'!I1233</f>
        <v/>
      </c>
      <c r="H1233" s="14">
        <f>IF(G1233&lt;15,"Low Variability",IF(G1233&lt;=35,"Moderate Variability","High Variability"))</f>
        <v/>
      </c>
      <c r="I1233" s="18">
        <f>'Raw Data'!O1233</f>
        <v/>
      </c>
      <c r="J1233" s="14">
        <f>IF(I1233=0,"No Flood",IF(I1233&lt;=0.5,"Low",IF(I1233&lt;=2,"Moderate","High")))</f>
        <v/>
      </c>
    </row>
    <row r="1234" ht="15" customHeight="1" s="12">
      <c r="A1234" s="14">
        <f>'Raw Data'!A1234</f>
        <v/>
      </c>
      <c r="B1234" s="14">
        <f>'Raw Data'!B1234</f>
        <v/>
      </c>
      <c r="C1234" s="14">
        <f>'Raw Data'!C1234</f>
        <v/>
      </c>
      <c r="D1234" s="15">
        <f>'Raw Data'!M1234</f>
        <v/>
      </c>
      <c r="E1234" s="18">
        <f>'Raw Data'!M1234/'Raw Data'!L1234*100</f>
        <v/>
      </c>
      <c r="F1234" s="14">
        <f>IF(E1234&gt;15,"Wet Year",IF(E1234&lt;-15,"Dry Year","Normal Year"))</f>
        <v/>
      </c>
      <c r="G1234" s="16">
        <f>'Raw Data'!I1234</f>
        <v/>
      </c>
      <c r="H1234" s="14">
        <f>IF(G1234&lt;15,"Low Variability",IF(G1234&lt;=35,"Moderate Variability","High Variability"))</f>
        <v/>
      </c>
      <c r="I1234" s="18">
        <f>'Raw Data'!O1234</f>
        <v/>
      </c>
      <c r="J1234" s="14">
        <f>IF(I1234=0,"No Flood",IF(I1234&lt;=0.5,"Low",IF(I1234&lt;=2,"Moderate","High")))</f>
        <v/>
      </c>
    </row>
    <row r="1235" ht="15" customHeight="1" s="12">
      <c r="A1235" s="14">
        <f>'Raw Data'!A1235</f>
        <v/>
      </c>
      <c r="B1235" s="14">
        <f>'Raw Data'!B1235</f>
        <v/>
      </c>
      <c r="C1235" s="14">
        <f>'Raw Data'!C1235</f>
        <v/>
      </c>
      <c r="D1235" s="15">
        <f>'Raw Data'!M1235</f>
        <v/>
      </c>
      <c r="E1235" s="18">
        <f>'Raw Data'!M1235/'Raw Data'!L1235*100</f>
        <v/>
      </c>
      <c r="F1235" s="14">
        <f>IF(E1235&gt;15,"Wet Year",IF(E1235&lt;-15,"Dry Year","Normal Year"))</f>
        <v/>
      </c>
      <c r="G1235" s="16">
        <f>'Raw Data'!I1235</f>
        <v/>
      </c>
      <c r="H1235" s="14">
        <f>IF(G1235&lt;15,"Low Variability",IF(G1235&lt;=35,"Moderate Variability","High Variability"))</f>
        <v/>
      </c>
      <c r="I1235" s="18">
        <f>'Raw Data'!O1235</f>
        <v/>
      </c>
      <c r="J1235" s="14">
        <f>IF(I1235=0,"No Flood",IF(I1235&lt;=0.5,"Low",IF(I1235&lt;=2,"Moderate","High")))</f>
        <v/>
      </c>
    </row>
    <row r="1236" ht="15" customHeight="1" s="12">
      <c r="A1236" s="14">
        <f>'Raw Data'!A1236</f>
        <v/>
      </c>
      <c r="B1236" s="14">
        <f>'Raw Data'!B1236</f>
        <v/>
      </c>
      <c r="C1236" s="14">
        <f>'Raw Data'!C1236</f>
        <v/>
      </c>
      <c r="D1236" s="15">
        <f>'Raw Data'!M1236</f>
        <v/>
      </c>
      <c r="E1236" s="18">
        <f>'Raw Data'!M1236/'Raw Data'!L1236*100</f>
        <v/>
      </c>
      <c r="F1236" s="14">
        <f>IF(E1236&gt;15,"Wet Year",IF(E1236&lt;-15,"Dry Year","Normal Year"))</f>
        <v/>
      </c>
      <c r="G1236" s="16">
        <f>'Raw Data'!I1236</f>
        <v/>
      </c>
      <c r="H1236" s="14">
        <f>IF(G1236&lt;15,"Low Variability",IF(G1236&lt;=35,"Moderate Variability","High Variability"))</f>
        <v/>
      </c>
      <c r="I1236" s="18">
        <f>'Raw Data'!O1236</f>
        <v/>
      </c>
      <c r="J1236" s="14">
        <f>IF(I1236=0,"No Flood",IF(I1236&lt;=0.5,"Low",IF(I1236&lt;=2,"Moderate","High")))</f>
        <v/>
      </c>
    </row>
    <row r="1237" ht="15" customHeight="1" s="12">
      <c r="A1237" s="14">
        <f>'Raw Data'!A1237</f>
        <v/>
      </c>
      <c r="B1237" s="14">
        <f>'Raw Data'!B1237</f>
        <v/>
      </c>
      <c r="C1237" s="14">
        <f>'Raw Data'!C1237</f>
        <v/>
      </c>
      <c r="D1237" s="15">
        <f>'Raw Data'!M1237</f>
        <v/>
      </c>
      <c r="E1237" s="18">
        <f>'Raw Data'!M1237/'Raw Data'!L1237*100</f>
        <v/>
      </c>
      <c r="F1237" s="14">
        <f>IF(E1237&gt;15,"Wet Year",IF(E1237&lt;-15,"Dry Year","Normal Year"))</f>
        <v/>
      </c>
      <c r="G1237" s="16">
        <f>'Raw Data'!I1237</f>
        <v/>
      </c>
      <c r="H1237" s="14">
        <f>IF(G1237&lt;15,"Low Variability",IF(G1237&lt;=35,"Moderate Variability","High Variability"))</f>
        <v/>
      </c>
      <c r="I1237" s="18">
        <f>'Raw Data'!O1237</f>
        <v/>
      </c>
      <c r="J1237" s="14">
        <f>IF(I1237=0,"No Flood",IF(I1237&lt;=0.5,"Low",IF(I1237&lt;=2,"Moderate","High")))</f>
        <v/>
      </c>
    </row>
    <row r="1238" ht="15" customHeight="1" s="12">
      <c r="A1238" s="14">
        <f>'Raw Data'!A1238</f>
        <v/>
      </c>
      <c r="B1238" s="14">
        <f>'Raw Data'!B1238</f>
        <v/>
      </c>
      <c r="C1238" s="14">
        <f>'Raw Data'!C1238</f>
        <v/>
      </c>
      <c r="D1238" s="15">
        <f>'Raw Data'!M1238</f>
        <v/>
      </c>
      <c r="E1238" s="18">
        <f>'Raw Data'!M1238/'Raw Data'!L1238*100</f>
        <v/>
      </c>
      <c r="F1238" s="14">
        <f>IF(E1238&gt;15,"Wet Year",IF(E1238&lt;-15,"Dry Year","Normal Year"))</f>
        <v/>
      </c>
      <c r="G1238" s="16">
        <f>'Raw Data'!I1238</f>
        <v/>
      </c>
      <c r="H1238" s="14">
        <f>IF(G1238&lt;15,"Low Variability",IF(G1238&lt;=35,"Moderate Variability","High Variability"))</f>
        <v/>
      </c>
      <c r="I1238" s="18">
        <f>'Raw Data'!O1238</f>
        <v/>
      </c>
      <c r="J1238" s="14">
        <f>IF(I1238=0,"No Flood",IF(I1238&lt;=0.5,"Low",IF(I1238&lt;=2,"Moderate","High")))</f>
        <v/>
      </c>
    </row>
    <row r="1239" ht="15" customHeight="1" s="12">
      <c r="A1239" s="14">
        <f>'Raw Data'!A1239</f>
        <v/>
      </c>
      <c r="B1239" s="14">
        <f>'Raw Data'!B1239</f>
        <v/>
      </c>
      <c r="C1239" s="14">
        <f>'Raw Data'!C1239</f>
        <v/>
      </c>
      <c r="D1239" s="15">
        <f>'Raw Data'!M1239</f>
        <v/>
      </c>
      <c r="E1239" s="18">
        <f>'Raw Data'!M1239/'Raw Data'!L1239*100</f>
        <v/>
      </c>
      <c r="F1239" s="14">
        <f>IF(E1239&gt;15,"Wet Year",IF(E1239&lt;-15,"Dry Year","Normal Year"))</f>
        <v/>
      </c>
      <c r="G1239" s="16">
        <f>'Raw Data'!I1239</f>
        <v/>
      </c>
      <c r="H1239" s="14">
        <f>IF(G1239&lt;15,"Low Variability",IF(G1239&lt;=35,"Moderate Variability","High Variability"))</f>
        <v/>
      </c>
      <c r="I1239" s="18">
        <f>'Raw Data'!O1239</f>
        <v/>
      </c>
      <c r="J1239" s="14">
        <f>IF(I1239=0,"No Flood",IF(I1239&lt;=0.5,"Low",IF(I1239&lt;=2,"Moderate","High")))</f>
        <v/>
      </c>
    </row>
    <row r="1240" ht="15" customHeight="1" s="12">
      <c r="A1240" s="14">
        <f>'Raw Data'!A1240</f>
        <v/>
      </c>
      <c r="B1240" s="14">
        <f>'Raw Data'!B1240</f>
        <v/>
      </c>
      <c r="C1240" s="14">
        <f>'Raw Data'!C1240</f>
        <v/>
      </c>
      <c r="D1240" s="15">
        <f>'Raw Data'!M1240</f>
        <v/>
      </c>
      <c r="E1240" s="18">
        <f>'Raw Data'!M1240/'Raw Data'!L1240*100</f>
        <v/>
      </c>
      <c r="F1240" s="14">
        <f>IF(E1240&gt;15,"Wet Year",IF(E1240&lt;-15,"Dry Year","Normal Year"))</f>
        <v/>
      </c>
      <c r="G1240" s="16">
        <f>'Raw Data'!I1240</f>
        <v/>
      </c>
      <c r="H1240" s="14">
        <f>IF(G1240&lt;15,"Low Variability",IF(G1240&lt;=35,"Moderate Variability","High Variability"))</f>
        <v/>
      </c>
      <c r="I1240" s="18">
        <f>'Raw Data'!O1240</f>
        <v/>
      </c>
      <c r="J1240" s="14">
        <f>IF(I1240=0,"No Flood",IF(I1240&lt;=0.5,"Low",IF(I1240&lt;=2,"Moderate","High")))</f>
        <v/>
      </c>
    </row>
    <row r="1241" ht="15" customHeight="1" s="12">
      <c r="A1241" s="14">
        <f>'Raw Data'!A1241</f>
        <v/>
      </c>
      <c r="B1241" s="14">
        <f>'Raw Data'!B1241</f>
        <v/>
      </c>
      <c r="C1241" s="14">
        <f>'Raw Data'!C1241</f>
        <v/>
      </c>
      <c r="D1241" s="15">
        <f>'Raw Data'!M1241</f>
        <v/>
      </c>
      <c r="E1241" s="18">
        <f>'Raw Data'!M1241/'Raw Data'!L1241*100</f>
        <v/>
      </c>
      <c r="F1241" s="14">
        <f>IF(E1241&gt;15,"Wet Year",IF(E1241&lt;-15,"Dry Year","Normal Year"))</f>
        <v/>
      </c>
      <c r="G1241" s="16">
        <f>'Raw Data'!I1241</f>
        <v/>
      </c>
      <c r="H1241" s="14">
        <f>IF(G1241&lt;15,"Low Variability",IF(G1241&lt;=35,"Moderate Variability","High Variability"))</f>
        <v/>
      </c>
      <c r="I1241" s="18">
        <f>'Raw Data'!O1241</f>
        <v/>
      </c>
      <c r="J1241" s="14">
        <f>IF(I1241=0,"No Flood",IF(I1241&lt;=0.5,"Low",IF(I1241&lt;=2,"Moderate","High")))</f>
        <v/>
      </c>
    </row>
    <row r="1242" ht="15" customHeight="1" s="12">
      <c r="A1242" s="14">
        <f>'Raw Data'!A1242</f>
        <v/>
      </c>
      <c r="B1242" s="14">
        <f>'Raw Data'!B1242</f>
        <v/>
      </c>
      <c r="C1242" s="14">
        <f>'Raw Data'!C1242</f>
        <v/>
      </c>
      <c r="D1242" s="15">
        <f>'Raw Data'!M1242</f>
        <v/>
      </c>
      <c r="E1242" s="18">
        <f>'Raw Data'!M1242/'Raw Data'!L1242*100</f>
        <v/>
      </c>
      <c r="F1242" s="14">
        <f>IF(E1242&gt;15,"Wet Year",IF(E1242&lt;-15,"Dry Year","Normal Year"))</f>
        <v/>
      </c>
      <c r="G1242" s="16">
        <f>'Raw Data'!I1242</f>
        <v/>
      </c>
      <c r="H1242" s="14">
        <f>IF(G1242&lt;15,"Low Variability",IF(G1242&lt;=35,"Moderate Variability","High Variability"))</f>
        <v/>
      </c>
      <c r="I1242" s="18">
        <f>'Raw Data'!O1242</f>
        <v/>
      </c>
      <c r="J1242" s="14">
        <f>IF(I1242=0,"No Flood",IF(I1242&lt;=0.5,"Low",IF(I1242&lt;=2,"Moderate","High")))</f>
        <v/>
      </c>
    </row>
    <row r="1243" ht="15" customHeight="1" s="12">
      <c r="A1243" s="14">
        <f>'Raw Data'!A1243</f>
        <v/>
      </c>
      <c r="B1243" s="14">
        <f>'Raw Data'!B1243</f>
        <v/>
      </c>
      <c r="C1243" s="14">
        <f>'Raw Data'!C1243</f>
        <v/>
      </c>
      <c r="D1243" s="15">
        <f>'Raw Data'!M1243</f>
        <v/>
      </c>
      <c r="E1243" s="18">
        <f>'Raw Data'!M1243/'Raw Data'!L1243*100</f>
        <v/>
      </c>
      <c r="F1243" s="14">
        <f>IF(E1243&gt;15,"Wet Year",IF(E1243&lt;-15,"Dry Year","Normal Year"))</f>
        <v/>
      </c>
      <c r="G1243" s="16">
        <f>'Raw Data'!I1243</f>
        <v/>
      </c>
      <c r="H1243" s="14">
        <f>IF(G1243&lt;15,"Low Variability",IF(G1243&lt;=35,"Moderate Variability","High Variability"))</f>
        <v/>
      </c>
      <c r="I1243" s="18">
        <f>'Raw Data'!O1243</f>
        <v/>
      </c>
      <c r="J1243" s="14">
        <f>IF(I1243=0,"No Flood",IF(I1243&lt;=0.5,"Low",IF(I1243&lt;=2,"Moderate","High")))</f>
        <v/>
      </c>
    </row>
    <row r="1244" ht="15" customHeight="1" s="12">
      <c r="A1244" s="14">
        <f>'Raw Data'!A1244</f>
        <v/>
      </c>
      <c r="B1244" s="14">
        <f>'Raw Data'!B1244</f>
        <v/>
      </c>
      <c r="C1244" s="14">
        <f>'Raw Data'!C1244</f>
        <v/>
      </c>
      <c r="D1244" s="15">
        <f>'Raw Data'!M1244</f>
        <v/>
      </c>
      <c r="E1244" s="18">
        <f>'Raw Data'!M1244/'Raw Data'!L1244*100</f>
        <v/>
      </c>
      <c r="F1244" s="14">
        <f>IF(E1244&gt;15,"Wet Year",IF(E1244&lt;-15,"Dry Year","Normal Year"))</f>
        <v/>
      </c>
      <c r="G1244" s="16">
        <f>'Raw Data'!I1244</f>
        <v/>
      </c>
      <c r="H1244" s="14">
        <f>IF(G1244&lt;15,"Low Variability",IF(G1244&lt;=35,"Moderate Variability","High Variability"))</f>
        <v/>
      </c>
      <c r="I1244" s="18">
        <f>'Raw Data'!O1244</f>
        <v/>
      </c>
      <c r="J1244" s="14">
        <f>IF(I1244=0,"No Flood",IF(I1244&lt;=0.5,"Low",IF(I1244&lt;=2,"Moderate","High")))</f>
        <v/>
      </c>
    </row>
    <row r="1245" ht="15" customHeight="1" s="12">
      <c r="A1245" s="14">
        <f>'Raw Data'!A1245</f>
        <v/>
      </c>
      <c r="B1245" s="14">
        <f>'Raw Data'!B1245</f>
        <v/>
      </c>
      <c r="C1245" s="14">
        <f>'Raw Data'!C1245</f>
        <v/>
      </c>
      <c r="D1245" s="15">
        <f>'Raw Data'!M1245</f>
        <v/>
      </c>
      <c r="E1245" s="18">
        <f>'Raw Data'!M1245/'Raw Data'!L1245*100</f>
        <v/>
      </c>
      <c r="F1245" s="14">
        <f>IF(E1245&gt;15,"Wet Year",IF(E1245&lt;-15,"Dry Year","Normal Year"))</f>
        <v/>
      </c>
      <c r="G1245" s="16">
        <f>'Raw Data'!I1245</f>
        <v/>
      </c>
      <c r="H1245" s="14">
        <f>IF(G1245&lt;15,"Low Variability",IF(G1245&lt;=35,"Moderate Variability","High Variability"))</f>
        <v/>
      </c>
      <c r="I1245" s="18">
        <f>'Raw Data'!O1245</f>
        <v/>
      </c>
      <c r="J1245" s="14">
        <f>IF(I1245=0,"No Flood",IF(I1245&lt;=0.5,"Low",IF(I1245&lt;=2,"Moderate","High")))</f>
        <v/>
      </c>
    </row>
    <row r="1246" ht="15" customHeight="1" s="12">
      <c r="A1246" s="14">
        <f>'Raw Data'!A1246</f>
        <v/>
      </c>
      <c r="B1246" s="14">
        <f>'Raw Data'!B1246</f>
        <v/>
      </c>
      <c r="C1246" s="14">
        <f>'Raw Data'!C1246</f>
        <v/>
      </c>
      <c r="D1246" s="15">
        <f>'Raw Data'!M1246</f>
        <v/>
      </c>
      <c r="E1246" s="18">
        <f>'Raw Data'!M1246/'Raw Data'!L1246*100</f>
        <v/>
      </c>
      <c r="F1246" s="14">
        <f>IF(E1246&gt;15,"Wet Year",IF(E1246&lt;-15,"Dry Year","Normal Year"))</f>
        <v/>
      </c>
      <c r="G1246" s="16">
        <f>'Raw Data'!I1246</f>
        <v/>
      </c>
      <c r="H1246" s="14">
        <f>IF(G1246&lt;15,"Low Variability",IF(G1246&lt;=35,"Moderate Variability","High Variability"))</f>
        <v/>
      </c>
      <c r="I1246" s="18">
        <f>'Raw Data'!O1246</f>
        <v/>
      </c>
      <c r="J1246" s="14">
        <f>IF(I1246=0,"No Flood",IF(I1246&lt;=0.5,"Low",IF(I1246&lt;=2,"Moderate","High")))</f>
        <v/>
      </c>
    </row>
    <row r="1247" ht="15" customHeight="1" s="12">
      <c r="A1247" s="14">
        <f>'Raw Data'!A1247</f>
        <v/>
      </c>
      <c r="B1247" s="14">
        <f>'Raw Data'!B1247</f>
        <v/>
      </c>
      <c r="C1247" s="14">
        <f>'Raw Data'!C1247</f>
        <v/>
      </c>
      <c r="D1247" s="15">
        <f>'Raw Data'!M1247</f>
        <v/>
      </c>
      <c r="E1247" s="18">
        <f>'Raw Data'!M1247/'Raw Data'!L1247*100</f>
        <v/>
      </c>
      <c r="F1247" s="14">
        <f>IF(E1247&gt;15,"Wet Year",IF(E1247&lt;-15,"Dry Year","Normal Year"))</f>
        <v/>
      </c>
      <c r="G1247" s="16">
        <f>'Raw Data'!I1247</f>
        <v/>
      </c>
      <c r="H1247" s="14">
        <f>IF(G1247&lt;15,"Low Variability",IF(G1247&lt;=35,"Moderate Variability","High Variability"))</f>
        <v/>
      </c>
      <c r="I1247" s="18">
        <f>'Raw Data'!O1247</f>
        <v/>
      </c>
      <c r="J1247" s="14">
        <f>IF(I1247=0,"No Flood",IF(I1247&lt;=0.5,"Low",IF(I1247&lt;=2,"Moderate","High")))</f>
        <v/>
      </c>
    </row>
    <row r="1248" ht="15" customHeight="1" s="12">
      <c r="A1248" s="14">
        <f>'Raw Data'!A1248</f>
        <v/>
      </c>
      <c r="B1248" s="14">
        <f>'Raw Data'!B1248</f>
        <v/>
      </c>
      <c r="C1248" s="14">
        <f>'Raw Data'!C1248</f>
        <v/>
      </c>
      <c r="D1248" s="15">
        <f>'Raw Data'!M1248</f>
        <v/>
      </c>
      <c r="E1248" s="18">
        <f>'Raw Data'!M1248/'Raw Data'!L1248*100</f>
        <v/>
      </c>
      <c r="F1248" s="14">
        <f>IF(E1248&gt;15,"Wet Year",IF(E1248&lt;-15,"Dry Year","Normal Year"))</f>
        <v/>
      </c>
      <c r="G1248" s="16">
        <f>'Raw Data'!I1248</f>
        <v/>
      </c>
      <c r="H1248" s="14">
        <f>IF(G1248&lt;15,"Low Variability",IF(G1248&lt;=35,"Moderate Variability","High Variability"))</f>
        <v/>
      </c>
      <c r="I1248" s="18">
        <f>'Raw Data'!O1248</f>
        <v/>
      </c>
      <c r="J1248" s="14">
        <f>IF(I1248=0,"No Flood",IF(I1248&lt;=0.5,"Low",IF(I1248&lt;=2,"Moderate","High")))</f>
        <v/>
      </c>
    </row>
    <row r="1249" ht="15" customHeight="1" s="12">
      <c r="A1249" s="14">
        <f>'Raw Data'!A1249</f>
        <v/>
      </c>
      <c r="B1249" s="14">
        <f>'Raw Data'!B1249</f>
        <v/>
      </c>
      <c r="C1249" s="14">
        <f>'Raw Data'!C1249</f>
        <v/>
      </c>
      <c r="D1249" s="15">
        <f>'Raw Data'!M1249</f>
        <v/>
      </c>
      <c r="E1249" s="18">
        <f>'Raw Data'!M1249/'Raw Data'!L1249*100</f>
        <v/>
      </c>
      <c r="F1249" s="14">
        <f>IF(E1249&gt;15,"Wet Year",IF(E1249&lt;-15,"Dry Year","Normal Year"))</f>
        <v/>
      </c>
      <c r="G1249" s="16">
        <f>'Raw Data'!I1249</f>
        <v/>
      </c>
      <c r="H1249" s="14">
        <f>IF(G1249&lt;15,"Low Variability",IF(G1249&lt;=35,"Moderate Variability","High Variability"))</f>
        <v/>
      </c>
      <c r="I1249" s="18">
        <f>'Raw Data'!O1249</f>
        <v/>
      </c>
      <c r="J1249" s="14">
        <f>IF(I1249=0,"No Flood",IF(I1249&lt;=0.5,"Low",IF(I1249&lt;=2,"Moderate","High")))</f>
        <v/>
      </c>
    </row>
    <row r="1250" ht="15" customHeight="1" s="12">
      <c r="A1250" s="14">
        <f>'Raw Data'!A1250</f>
        <v/>
      </c>
      <c r="B1250" s="14">
        <f>'Raw Data'!B1250</f>
        <v/>
      </c>
      <c r="C1250" s="14">
        <f>'Raw Data'!C1250</f>
        <v/>
      </c>
      <c r="D1250" s="15">
        <f>'Raw Data'!M1250</f>
        <v/>
      </c>
      <c r="E1250" s="18">
        <f>'Raw Data'!M1250/'Raw Data'!L1250*100</f>
        <v/>
      </c>
      <c r="F1250" s="14">
        <f>IF(E1250&gt;15,"Wet Year",IF(E1250&lt;-15,"Dry Year","Normal Year"))</f>
        <v/>
      </c>
      <c r="G1250" s="16">
        <f>'Raw Data'!I1250</f>
        <v/>
      </c>
      <c r="H1250" s="14">
        <f>IF(G1250&lt;15,"Low Variability",IF(G1250&lt;=35,"Moderate Variability","High Variability"))</f>
        <v/>
      </c>
      <c r="I1250" s="18">
        <f>'Raw Data'!O1250</f>
        <v/>
      </c>
      <c r="J1250" s="14">
        <f>IF(I1250=0,"No Flood",IF(I1250&lt;=0.5,"Low",IF(I1250&lt;=2,"Moderate","High")))</f>
        <v/>
      </c>
    </row>
    <row r="1251" ht="15" customHeight="1" s="12">
      <c r="A1251" s="14">
        <f>'Raw Data'!A1251</f>
        <v/>
      </c>
      <c r="B1251" s="14">
        <f>'Raw Data'!B1251</f>
        <v/>
      </c>
      <c r="C1251" s="14">
        <f>'Raw Data'!C1251</f>
        <v/>
      </c>
      <c r="D1251" s="15">
        <f>'Raw Data'!M1251</f>
        <v/>
      </c>
      <c r="E1251" s="18">
        <f>'Raw Data'!M1251/'Raw Data'!L1251*100</f>
        <v/>
      </c>
      <c r="F1251" s="14">
        <f>IF(E1251&gt;15,"Wet Year",IF(E1251&lt;-15,"Dry Year","Normal Year"))</f>
        <v/>
      </c>
      <c r="G1251" s="16">
        <f>'Raw Data'!I1251</f>
        <v/>
      </c>
      <c r="H1251" s="14">
        <f>IF(G1251&lt;15,"Low Variability",IF(G1251&lt;=35,"Moderate Variability","High Variability"))</f>
        <v/>
      </c>
      <c r="I1251" s="18">
        <f>'Raw Data'!O1251</f>
        <v/>
      </c>
      <c r="J1251" s="14">
        <f>IF(I1251=0,"No Flood",IF(I1251&lt;=0.5,"Low",IF(I1251&lt;=2,"Moderate","High")))</f>
        <v/>
      </c>
    </row>
    <row r="1252" ht="15" customHeight="1" s="12">
      <c r="A1252" s="14">
        <f>'Raw Data'!A1252</f>
        <v/>
      </c>
      <c r="B1252" s="14">
        <f>'Raw Data'!B1252</f>
        <v/>
      </c>
      <c r="C1252" s="14">
        <f>'Raw Data'!C1252</f>
        <v/>
      </c>
      <c r="D1252" s="15">
        <f>'Raw Data'!M1252</f>
        <v/>
      </c>
      <c r="E1252" s="18">
        <f>'Raw Data'!M1252/'Raw Data'!L1252*100</f>
        <v/>
      </c>
      <c r="F1252" s="14">
        <f>IF(E1252&gt;15,"Wet Year",IF(E1252&lt;-15,"Dry Year","Normal Year"))</f>
        <v/>
      </c>
      <c r="G1252" s="16">
        <f>'Raw Data'!I1252</f>
        <v/>
      </c>
      <c r="H1252" s="14">
        <f>IF(G1252&lt;15,"Low Variability",IF(G1252&lt;=35,"Moderate Variability","High Variability"))</f>
        <v/>
      </c>
      <c r="I1252" s="18">
        <f>'Raw Data'!O1252</f>
        <v/>
      </c>
      <c r="J1252" s="14">
        <f>IF(I1252=0,"No Flood",IF(I1252&lt;=0.5,"Low",IF(I1252&lt;=2,"Moderate","High")))</f>
        <v/>
      </c>
    </row>
    <row r="1253" ht="15" customHeight="1" s="12">
      <c r="A1253" s="14">
        <f>'Raw Data'!A1253</f>
        <v/>
      </c>
      <c r="B1253" s="14">
        <f>'Raw Data'!B1253</f>
        <v/>
      </c>
      <c r="C1253" s="14">
        <f>'Raw Data'!C1253</f>
        <v/>
      </c>
      <c r="D1253" s="15">
        <f>'Raw Data'!M1253</f>
        <v/>
      </c>
      <c r="E1253" s="18">
        <f>'Raw Data'!M1253/'Raw Data'!L1253*100</f>
        <v/>
      </c>
      <c r="F1253" s="14">
        <f>IF(E1253&gt;15,"Wet Year",IF(E1253&lt;-15,"Dry Year","Normal Year"))</f>
        <v/>
      </c>
      <c r="G1253" s="16">
        <f>'Raw Data'!I1253</f>
        <v/>
      </c>
      <c r="H1253" s="14">
        <f>IF(G1253&lt;15,"Low Variability",IF(G1253&lt;=35,"Moderate Variability","High Variability"))</f>
        <v/>
      </c>
      <c r="I1253" s="18">
        <f>'Raw Data'!O1253</f>
        <v/>
      </c>
      <c r="J1253" s="14">
        <f>IF(I1253=0,"No Flood",IF(I1253&lt;=0.5,"Low",IF(I1253&lt;=2,"Moderate","High")))</f>
        <v/>
      </c>
    </row>
    <row r="1254" ht="15" customHeight="1" s="12">
      <c r="A1254" s="14">
        <f>'Raw Data'!A1254</f>
        <v/>
      </c>
      <c r="B1254" s="14">
        <f>'Raw Data'!B1254</f>
        <v/>
      </c>
      <c r="C1254" s="14">
        <f>'Raw Data'!C1254</f>
        <v/>
      </c>
      <c r="D1254" s="15">
        <f>'Raw Data'!M1254</f>
        <v/>
      </c>
      <c r="E1254" s="18">
        <f>'Raw Data'!M1254/'Raw Data'!L1254*100</f>
        <v/>
      </c>
      <c r="F1254" s="14">
        <f>IF(E1254&gt;15,"Wet Year",IF(E1254&lt;-15,"Dry Year","Normal Year"))</f>
        <v/>
      </c>
      <c r="G1254" s="16">
        <f>'Raw Data'!I1254</f>
        <v/>
      </c>
      <c r="H1254" s="14">
        <f>IF(G1254&lt;15,"Low Variability",IF(G1254&lt;=35,"Moderate Variability","High Variability"))</f>
        <v/>
      </c>
      <c r="I1254" s="18">
        <f>'Raw Data'!O1254</f>
        <v/>
      </c>
      <c r="J1254" s="14">
        <f>IF(I1254=0,"No Flood",IF(I1254&lt;=0.5,"Low",IF(I1254&lt;=2,"Moderate","High")))</f>
        <v/>
      </c>
    </row>
    <row r="1255" ht="15" customHeight="1" s="12">
      <c r="A1255" s="14">
        <f>'Raw Data'!A1255</f>
        <v/>
      </c>
      <c r="B1255" s="14">
        <f>'Raw Data'!B1255</f>
        <v/>
      </c>
      <c r="C1255" s="14">
        <f>'Raw Data'!C1255</f>
        <v/>
      </c>
      <c r="D1255" s="15">
        <f>'Raw Data'!M1255</f>
        <v/>
      </c>
      <c r="E1255" s="18">
        <f>'Raw Data'!M1255/'Raw Data'!L1255*100</f>
        <v/>
      </c>
      <c r="F1255" s="14">
        <f>IF(E1255&gt;15,"Wet Year",IF(E1255&lt;-15,"Dry Year","Normal Year"))</f>
        <v/>
      </c>
      <c r="G1255" s="16">
        <f>'Raw Data'!I1255</f>
        <v/>
      </c>
      <c r="H1255" s="14">
        <f>IF(G1255&lt;15,"Low Variability",IF(G1255&lt;=35,"Moderate Variability","High Variability"))</f>
        <v/>
      </c>
      <c r="I1255" s="18">
        <f>'Raw Data'!O1255</f>
        <v/>
      </c>
      <c r="J1255" s="14">
        <f>IF(I1255=0,"No Flood",IF(I1255&lt;=0.5,"Low",IF(I1255&lt;=2,"Moderate","High")))</f>
        <v/>
      </c>
    </row>
    <row r="1256" ht="15" customHeight="1" s="12">
      <c r="A1256" s="14">
        <f>'Raw Data'!A1256</f>
        <v/>
      </c>
      <c r="B1256" s="14">
        <f>'Raw Data'!B1256</f>
        <v/>
      </c>
      <c r="C1256" s="14">
        <f>'Raw Data'!C1256</f>
        <v/>
      </c>
      <c r="D1256" s="15">
        <f>'Raw Data'!M1256</f>
        <v/>
      </c>
      <c r="E1256" s="18">
        <f>'Raw Data'!M1256/'Raw Data'!L1256*100</f>
        <v/>
      </c>
      <c r="F1256" s="14">
        <f>IF(E1256&gt;15,"Wet Year",IF(E1256&lt;-15,"Dry Year","Normal Year"))</f>
        <v/>
      </c>
      <c r="G1256" s="16">
        <f>'Raw Data'!I1256</f>
        <v/>
      </c>
      <c r="H1256" s="14">
        <f>IF(G1256&lt;15,"Low Variability",IF(G1256&lt;=35,"Moderate Variability","High Variability"))</f>
        <v/>
      </c>
      <c r="I1256" s="18">
        <f>'Raw Data'!O1256</f>
        <v/>
      </c>
      <c r="J1256" s="14">
        <f>IF(I1256=0,"No Flood",IF(I1256&lt;=0.5,"Low",IF(I1256&lt;=2,"Moderate","High")))</f>
        <v/>
      </c>
    </row>
    <row r="1257" ht="15" customHeight="1" s="12">
      <c r="A1257" s="14">
        <f>'Raw Data'!A1257</f>
        <v/>
      </c>
      <c r="B1257" s="14">
        <f>'Raw Data'!B1257</f>
        <v/>
      </c>
      <c r="C1257" s="14">
        <f>'Raw Data'!C1257</f>
        <v/>
      </c>
      <c r="D1257" s="15">
        <f>'Raw Data'!M1257</f>
        <v/>
      </c>
      <c r="E1257" s="18">
        <f>'Raw Data'!M1257/'Raw Data'!L1257*100</f>
        <v/>
      </c>
      <c r="F1257" s="14">
        <f>IF(E1257&gt;15,"Wet Year",IF(E1257&lt;-15,"Dry Year","Normal Year"))</f>
        <v/>
      </c>
      <c r="G1257" s="16">
        <f>'Raw Data'!I1257</f>
        <v/>
      </c>
      <c r="H1257" s="14">
        <f>IF(G1257&lt;15,"Low Variability",IF(G1257&lt;=35,"Moderate Variability","High Variability"))</f>
        <v/>
      </c>
      <c r="I1257" s="18">
        <f>'Raw Data'!O1257</f>
        <v/>
      </c>
      <c r="J1257" s="14">
        <f>IF(I1257=0,"No Flood",IF(I1257&lt;=0.5,"Low",IF(I1257&lt;=2,"Moderate","High")))</f>
        <v/>
      </c>
    </row>
    <row r="1258" ht="15" customHeight="1" s="12">
      <c r="A1258" s="14">
        <f>'Raw Data'!A1258</f>
        <v/>
      </c>
      <c r="B1258" s="14">
        <f>'Raw Data'!B1258</f>
        <v/>
      </c>
      <c r="C1258" s="14">
        <f>'Raw Data'!C1258</f>
        <v/>
      </c>
      <c r="D1258" s="15">
        <f>'Raw Data'!M1258</f>
        <v/>
      </c>
      <c r="E1258" s="18">
        <f>'Raw Data'!M1258/'Raw Data'!L1258*100</f>
        <v/>
      </c>
      <c r="F1258" s="14">
        <f>IF(E1258&gt;15,"Wet Year",IF(E1258&lt;-15,"Dry Year","Normal Year"))</f>
        <v/>
      </c>
      <c r="G1258" s="16">
        <f>'Raw Data'!I1258</f>
        <v/>
      </c>
      <c r="H1258" s="14">
        <f>IF(G1258&lt;15,"Low Variability",IF(G1258&lt;=35,"Moderate Variability","High Variability"))</f>
        <v/>
      </c>
      <c r="I1258" s="18">
        <f>'Raw Data'!O1258</f>
        <v/>
      </c>
      <c r="J1258" s="14">
        <f>IF(I1258=0,"No Flood",IF(I1258&lt;=0.5,"Low",IF(I1258&lt;=2,"Moderate","High")))</f>
        <v/>
      </c>
    </row>
    <row r="1259" ht="15" customHeight="1" s="12">
      <c r="A1259" s="14">
        <f>'Raw Data'!A1259</f>
        <v/>
      </c>
      <c r="B1259" s="14">
        <f>'Raw Data'!B1259</f>
        <v/>
      </c>
      <c r="C1259" s="14">
        <f>'Raw Data'!C1259</f>
        <v/>
      </c>
      <c r="D1259" s="15">
        <f>'Raw Data'!M1259</f>
        <v/>
      </c>
      <c r="E1259" s="18">
        <f>'Raw Data'!M1259/'Raw Data'!L1259*100</f>
        <v/>
      </c>
      <c r="F1259" s="14">
        <f>IF(E1259&gt;15,"Wet Year",IF(E1259&lt;-15,"Dry Year","Normal Year"))</f>
        <v/>
      </c>
      <c r="G1259" s="16">
        <f>'Raw Data'!I1259</f>
        <v/>
      </c>
      <c r="H1259" s="14">
        <f>IF(G1259&lt;15,"Low Variability",IF(G1259&lt;=35,"Moderate Variability","High Variability"))</f>
        <v/>
      </c>
      <c r="I1259" s="18">
        <f>'Raw Data'!O1259</f>
        <v/>
      </c>
      <c r="J1259" s="14">
        <f>IF(I1259=0,"No Flood",IF(I1259&lt;=0.5,"Low",IF(I1259&lt;=2,"Moderate","High")))</f>
        <v/>
      </c>
    </row>
    <row r="1260" ht="15" customHeight="1" s="12">
      <c r="A1260" s="14">
        <f>'Raw Data'!A1260</f>
        <v/>
      </c>
      <c r="B1260" s="14">
        <f>'Raw Data'!B1260</f>
        <v/>
      </c>
      <c r="C1260" s="14">
        <f>'Raw Data'!C1260</f>
        <v/>
      </c>
      <c r="D1260" s="15">
        <f>'Raw Data'!M1260</f>
        <v/>
      </c>
      <c r="E1260" s="18">
        <f>'Raw Data'!M1260/'Raw Data'!L1260*100</f>
        <v/>
      </c>
      <c r="F1260" s="14">
        <f>IF(E1260&gt;15,"Wet Year",IF(E1260&lt;-15,"Dry Year","Normal Year"))</f>
        <v/>
      </c>
      <c r="G1260" s="16">
        <f>'Raw Data'!I1260</f>
        <v/>
      </c>
      <c r="H1260" s="14">
        <f>IF(G1260&lt;15,"Low Variability",IF(G1260&lt;=35,"Moderate Variability","High Variability"))</f>
        <v/>
      </c>
      <c r="I1260" s="18">
        <f>'Raw Data'!O1260</f>
        <v/>
      </c>
      <c r="J1260" s="14">
        <f>IF(I1260=0,"No Flood",IF(I1260&lt;=0.5,"Low",IF(I1260&lt;=2,"Moderate","High")))</f>
        <v/>
      </c>
    </row>
    <row r="1261" ht="15" customHeight="1" s="12">
      <c r="A1261" s="14">
        <f>'Raw Data'!A1261</f>
        <v/>
      </c>
      <c r="B1261" s="14">
        <f>'Raw Data'!B1261</f>
        <v/>
      </c>
      <c r="C1261" s="14">
        <f>'Raw Data'!C1261</f>
        <v/>
      </c>
      <c r="D1261" s="15">
        <f>'Raw Data'!M1261</f>
        <v/>
      </c>
      <c r="E1261" s="18">
        <f>'Raw Data'!M1261/'Raw Data'!L1261*100</f>
        <v/>
      </c>
      <c r="F1261" s="14">
        <f>IF(E1261&gt;15,"Wet Year",IF(E1261&lt;-15,"Dry Year","Normal Year"))</f>
        <v/>
      </c>
      <c r="G1261" s="16">
        <f>'Raw Data'!I1261</f>
        <v/>
      </c>
      <c r="H1261" s="14">
        <f>IF(G1261&lt;15,"Low Variability",IF(G1261&lt;=35,"Moderate Variability","High Variability"))</f>
        <v/>
      </c>
      <c r="I1261" s="18">
        <f>'Raw Data'!O1261</f>
        <v/>
      </c>
      <c r="J1261" s="14">
        <f>IF(I1261=0,"No Flood",IF(I1261&lt;=0.5,"Low",IF(I1261&lt;=2,"Moderate","High")))</f>
        <v/>
      </c>
    </row>
    <row r="1262" ht="15" customHeight="1" s="12">
      <c r="A1262" s="14">
        <f>'Raw Data'!A1262</f>
        <v/>
      </c>
      <c r="B1262" s="14">
        <f>'Raw Data'!B1262</f>
        <v/>
      </c>
      <c r="C1262" s="14">
        <f>'Raw Data'!C1262</f>
        <v/>
      </c>
      <c r="D1262" s="15">
        <f>'Raw Data'!M1262</f>
        <v/>
      </c>
      <c r="E1262" s="18">
        <f>'Raw Data'!M1262/'Raw Data'!L1262*100</f>
        <v/>
      </c>
      <c r="F1262" s="14">
        <f>IF(E1262&gt;15,"Wet Year",IF(E1262&lt;-15,"Dry Year","Normal Year"))</f>
        <v/>
      </c>
      <c r="G1262" s="16">
        <f>'Raw Data'!I1262</f>
        <v/>
      </c>
      <c r="H1262" s="14">
        <f>IF(G1262&lt;15,"Low Variability",IF(G1262&lt;=35,"Moderate Variability","High Variability"))</f>
        <v/>
      </c>
      <c r="I1262" s="18">
        <f>'Raw Data'!O1262</f>
        <v/>
      </c>
      <c r="J1262" s="14">
        <f>IF(I1262=0,"No Flood",IF(I1262&lt;=0.5,"Low",IF(I1262&lt;=2,"Moderate","High")))</f>
        <v/>
      </c>
    </row>
    <row r="1263" ht="15" customHeight="1" s="12">
      <c r="A1263" s="14">
        <f>'Raw Data'!A1263</f>
        <v/>
      </c>
      <c r="B1263" s="14">
        <f>'Raw Data'!B1263</f>
        <v/>
      </c>
      <c r="C1263" s="14">
        <f>'Raw Data'!C1263</f>
        <v/>
      </c>
      <c r="D1263" s="15">
        <f>'Raw Data'!M1263</f>
        <v/>
      </c>
      <c r="E1263" s="18">
        <f>'Raw Data'!M1263/'Raw Data'!L1263*100</f>
        <v/>
      </c>
      <c r="F1263" s="14">
        <f>IF(E1263&gt;15,"Wet Year",IF(E1263&lt;-15,"Dry Year","Normal Year"))</f>
        <v/>
      </c>
      <c r="G1263" s="16">
        <f>'Raw Data'!I1263</f>
        <v/>
      </c>
      <c r="H1263" s="14">
        <f>IF(G1263&lt;15,"Low Variability",IF(G1263&lt;=35,"Moderate Variability","High Variability"))</f>
        <v/>
      </c>
      <c r="I1263" s="18">
        <f>'Raw Data'!O1263</f>
        <v/>
      </c>
      <c r="J1263" s="14">
        <f>IF(I1263=0,"No Flood",IF(I1263&lt;=0.5,"Low",IF(I1263&lt;=2,"Moderate","High")))</f>
        <v/>
      </c>
    </row>
    <row r="1264" ht="15" customHeight="1" s="12">
      <c r="A1264" s="14">
        <f>'Raw Data'!A1264</f>
        <v/>
      </c>
      <c r="B1264" s="14">
        <f>'Raw Data'!B1264</f>
        <v/>
      </c>
      <c r="C1264" s="14">
        <f>'Raw Data'!C1264</f>
        <v/>
      </c>
      <c r="D1264" s="15">
        <f>'Raw Data'!M1264</f>
        <v/>
      </c>
      <c r="E1264" s="18">
        <f>'Raw Data'!M1264/'Raw Data'!L1264*100</f>
        <v/>
      </c>
      <c r="F1264" s="14">
        <f>IF(E1264&gt;15,"Wet Year",IF(E1264&lt;-15,"Dry Year","Normal Year"))</f>
        <v/>
      </c>
      <c r="G1264" s="16">
        <f>'Raw Data'!I1264</f>
        <v/>
      </c>
      <c r="H1264" s="14">
        <f>IF(G1264&lt;15,"Low Variability",IF(G1264&lt;=35,"Moderate Variability","High Variability"))</f>
        <v/>
      </c>
      <c r="I1264" s="18">
        <f>'Raw Data'!O1264</f>
        <v/>
      </c>
      <c r="J1264" s="14">
        <f>IF(I1264=0,"No Flood",IF(I1264&lt;=0.5,"Low",IF(I1264&lt;=2,"Moderate","High")))</f>
        <v/>
      </c>
    </row>
    <row r="1265" ht="15" customHeight="1" s="12">
      <c r="A1265" s="14">
        <f>'Raw Data'!A1265</f>
        <v/>
      </c>
      <c r="B1265" s="14">
        <f>'Raw Data'!B1265</f>
        <v/>
      </c>
      <c r="C1265" s="14">
        <f>'Raw Data'!C1265</f>
        <v/>
      </c>
      <c r="D1265" s="15">
        <f>'Raw Data'!M1265</f>
        <v/>
      </c>
      <c r="E1265" s="18">
        <f>'Raw Data'!M1265/'Raw Data'!L1265*100</f>
        <v/>
      </c>
      <c r="F1265" s="14">
        <f>IF(E1265&gt;15,"Wet Year",IF(E1265&lt;-15,"Dry Year","Normal Year"))</f>
        <v/>
      </c>
      <c r="G1265" s="16">
        <f>'Raw Data'!I1265</f>
        <v/>
      </c>
      <c r="H1265" s="14">
        <f>IF(G1265&lt;15,"Low Variability",IF(G1265&lt;=35,"Moderate Variability","High Variability"))</f>
        <v/>
      </c>
      <c r="I1265" s="18">
        <f>'Raw Data'!O1265</f>
        <v/>
      </c>
      <c r="J1265" s="14">
        <f>IF(I1265=0,"No Flood",IF(I1265&lt;=0.5,"Low",IF(I1265&lt;=2,"Moderate","High")))</f>
        <v/>
      </c>
    </row>
    <row r="1266" ht="15" customHeight="1" s="12">
      <c r="A1266" s="14">
        <f>'Raw Data'!A1266</f>
        <v/>
      </c>
      <c r="B1266" s="14">
        <f>'Raw Data'!B1266</f>
        <v/>
      </c>
      <c r="C1266" s="14">
        <f>'Raw Data'!C1266</f>
        <v/>
      </c>
      <c r="D1266" s="15">
        <f>'Raw Data'!M1266</f>
        <v/>
      </c>
      <c r="E1266" s="18">
        <f>'Raw Data'!M1266/'Raw Data'!L1266*100</f>
        <v/>
      </c>
      <c r="F1266" s="14">
        <f>IF(E1266&gt;15,"Wet Year",IF(E1266&lt;-15,"Dry Year","Normal Year"))</f>
        <v/>
      </c>
      <c r="G1266" s="16">
        <f>'Raw Data'!I1266</f>
        <v/>
      </c>
      <c r="H1266" s="14">
        <f>IF(G1266&lt;15,"Low Variability",IF(G1266&lt;=35,"Moderate Variability","High Variability"))</f>
        <v/>
      </c>
      <c r="I1266" s="18">
        <f>'Raw Data'!O1266</f>
        <v/>
      </c>
      <c r="J1266" s="14">
        <f>IF(I1266=0,"No Flood",IF(I1266&lt;=0.5,"Low",IF(I1266&lt;=2,"Moderate","High")))</f>
        <v/>
      </c>
    </row>
    <row r="1267" ht="15" customHeight="1" s="12">
      <c r="A1267" s="14">
        <f>'Raw Data'!A1267</f>
        <v/>
      </c>
      <c r="B1267" s="14">
        <f>'Raw Data'!B1267</f>
        <v/>
      </c>
      <c r="C1267" s="14">
        <f>'Raw Data'!C1267</f>
        <v/>
      </c>
      <c r="D1267" s="15">
        <f>'Raw Data'!M1267</f>
        <v/>
      </c>
      <c r="E1267" s="18">
        <f>'Raw Data'!M1267/'Raw Data'!L1267*100</f>
        <v/>
      </c>
      <c r="F1267" s="14">
        <f>IF(E1267&gt;15,"Wet Year",IF(E1267&lt;-15,"Dry Year","Normal Year"))</f>
        <v/>
      </c>
      <c r="G1267" s="16">
        <f>'Raw Data'!I1267</f>
        <v/>
      </c>
      <c r="H1267" s="14">
        <f>IF(G1267&lt;15,"Low Variability",IF(G1267&lt;=35,"Moderate Variability","High Variability"))</f>
        <v/>
      </c>
      <c r="I1267" s="18">
        <f>'Raw Data'!O1267</f>
        <v/>
      </c>
      <c r="J1267" s="14">
        <f>IF(I1267=0,"No Flood",IF(I1267&lt;=0.5,"Low",IF(I1267&lt;=2,"Moderate","High")))</f>
        <v/>
      </c>
    </row>
    <row r="1268" ht="15" customHeight="1" s="12">
      <c r="A1268" s="14">
        <f>'Raw Data'!A1268</f>
        <v/>
      </c>
      <c r="B1268" s="14">
        <f>'Raw Data'!B1268</f>
        <v/>
      </c>
      <c r="C1268" s="14">
        <f>'Raw Data'!C1268</f>
        <v/>
      </c>
      <c r="D1268" s="15">
        <f>'Raw Data'!M1268</f>
        <v/>
      </c>
      <c r="E1268" s="18">
        <f>'Raw Data'!M1268/'Raw Data'!L1268*100</f>
        <v/>
      </c>
      <c r="F1268" s="14">
        <f>IF(E1268&gt;15,"Wet Year",IF(E1268&lt;-15,"Dry Year","Normal Year"))</f>
        <v/>
      </c>
      <c r="G1268" s="16">
        <f>'Raw Data'!I1268</f>
        <v/>
      </c>
      <c r="H1268" s="14">
        <f>IF(G1268&lt;15,"Low Variability",IF(G1268&lt;=35,"Moderate Variability","High Variability"))</f>
        <v/>
      </c>
      <c r="I1268" s="18">
        <f>'Raw Data'!O1268</f>
        <v/>
      </c>
      <c r="J1268" s="14">
        <f>IF(I1268=0,"No Flood",IF(I1268&lt;=0.5,"Low",IF(I1268&lt;=2,"Moderate","High")))</f>
        <v/>
      </c>
    </row>
    <row r="1269" ht="15" customHeight="1" s="12">
      <c r="A1269" s="14">
        <f>'Raw Data'!A1269</f>
        <v/>
      </c>
      <c r="B1269" s="14">
        <f>'Raw Data'!B1269</f>
        <v/>
      </c>
      <c r="C1269" s="14">
        <f>'Raw Data'!C1269</f>
        <v/>
      </c>
      <c r="D1269" s="15">
        <f>'Raw Data'!M1269</f>
        <v/>
      </c>
      <c r="E1269" s="18">
        <f>'Raw Data'!M1269/'Raw Data'!L1269*100</f>
        <v/>
      </c>
      <c r="F1269" s="14">
        <f>IF(E1269&gt;15,"Wet Year",IF(E1269&lt;-15,"Dry Year","Normal Year"))</f>
        <v/>
      </c>
      <c r="G1269" s="16">
        <f>'Raw Data'!I1269</f>
        <v/>
      </c>
      <c r="H1269" s="14">
        <f>IF(G1269&lt;15,"Low Variability",IF(G1269&lt;=35,"Moderate Variability","High Variability"))</f>
        <v/>
      </c>
      <c r="I1269" s="18">
        <f>'Raw Data'!O1269</f>
        <v/>
      </c>
      <c r="J1269" s="14">
        <f>IF(I1269=0,"No Flood",IF(I1269&lt;=0.5,"Low",IF(I1269&lt;=2,"Moderate","High")))</f>
        <v/>
      </c>
    </row>
    <row r="1270" ht="15" customHeight="1" s="12">
      <c r="A1270" s="14">
        <f>'Raw Data'!A1270</f>
        <v/>
      </c>
      <c r="B1270" s="14">
        <f>'Raw Data'!B1270</f>
        <v/>
      </c>
      <c r="C1270" s="14">
        <f>'Raw Data'!C1270</f>
        <v/>
      </c>
      <c r="D1270" s="15">
        <f>'Raw Data'!M1270</f>
        <v/>
      </c>
      <c r="E1270" s="18">
        <f>'Raw Data'!M1270/'Raw Data'!L1270*100</f>
        <v/>
      </c>
      <c r="F1270" s="14">
        <f>IF(E1270&gt;15,"Wet Year",IF(E1270&lt;-15,"Dry Year","Normal Year"))</f>
        <v/>
      </c>
      <c r="G1270" s="16">
        <f>'Raw Data'!I1270</f>
        <v/>
      </c>
      <c r="H1270" s="14">
        <f>IF(G1270&lt;15,"Low Variability",IF(G1270&lt;=35,"Moderate Variability","High Variability"))</f>
        <v/>
      </c>
      <c r="I1270" s="18">
        <f>'Raw Data'!O1270</f>
        <v/>
      </c>
      <c r="J1270" s="14">
        <f>IF(I1270=0,"No Flood",IF(I1270&lt;=0.5,"Low",IF(I1270&lt;=2,"Moderate","High")))</f>
        <v/>
      </c>
    </row>
    <row r="1271" ht="15" customHeight="1" s="12">
      <c r="A1271" s="14">
        <f>'Raw Data'!A1271</f>
        <v/>
      </c>
      <c r="B1271" s="14">
        <f>'Raw Data'!B1271</f>
        <v/>
      </c>
      <c r="C1271" s="14">
        <f>'Raw Data'!C1271</f>
        <v/>
      </c>
      <c r="D1271" s="15">
        <f>'Raw Data'!M1271</f>
        <v/>
      </c>
      <c r="E1271" s="18">
        <f>'Raw Data'!M1271/'Raw Data'!L1271*100</f>
        <v/>
      </c>
      <c r="F1271" s="14">
        <f>IF(E1271&gt;15,"Wet Year",IF(E1271&lt;-15,"Dry Year","Normal Year"))</f>
        <v/>
      </c>
      <c r="G1271" s="16">
        <f>'Raw Data'!I1271</f>
        <v/>
      </c>
      <c r="H1271" s="14">
        <f>IF(G1271&lt;15,"Low Variability",IF(G1271&lt;=35,"Moderate Variability","High Variability"))</f>
        <v/>
      </c>
      <c r="I1271" s="18">
        <f>'Raw Data'!O1271</f>
        <v/>
      </c>
      <c r="J1271" s="14">
        <f>IF(I1271=0,"No Flood",IF(I1271&lt;=0.5,"Low",IF(I1271&lt;=2,"Moderate","High")))</f>
        <v/>
      </c>
    </row>
    <row r="1272" ht="15" customHeight="1" s="12">
      <c r="A1272" s="14">
        <f>'Raw Data'!A1272</f>
        <v/>
      </c>
      <c r="B1272" s="14">
        <f>'Raw Data'!B1272</f>
        <v/>
      </c>
      <c r="C1272" s="14">
        <f>'Raw Data'!C1272</f>
        <v/>
      </c>
      <c r="D1272" s="15">
        <f>'Raw Data'!M1272</f>
        <v/>
      </c>
      <c r="E1272" s="18">
        <f>'Raw Data'!M1272/'Raw Data'!L1272*100</f>
        <v/>
      </c>
      <c r="F1272" s="14">
        <f>IF(E1272&gt;15,"Wet Year",IF(E1272&lt;-15,"Dry Year","Normal Year"))</f>
        <v/>
      </c>
      <c r="G1272" s="16">
        <f>'Raw Data'!I1272</f>
        <v/>
      </c>
      <c r="H1272" s="14">
        <f>IF(G1272&lt;15,"Low Variability",IF(G1272&lt;=35,"Moderate Variability","High Variability"))</f>
        <v/>
      </c>
      <c r="I1272" s="18">
        <f>'Raw Data'!O1272</f>
        <v/>
      </c>
      <c r="J1272" s="14">
        <f>IF(I1272=0,"No Flood",IF(I1272&lt;=0.5,"Low",IF(I1272&lt;=2,"Moderate","High")))</f>
        <v/>
      </c>
    </row>
    <row r="1273" ht="15" customHeight="1" s="12">
      <c r="A1273" s="14">
        <f>'Raw Data'!A1273</f>
        <v/>
      </c>
      <c r="B1273" s="14">
        <f>'Raw Data'!B1273</f>
        <v/>
      </c>
      <c r="C1273" s="14">
        <f>'Raw Data'!C1273</f>
        <v/>
      </c>
      <c r="D1273" s="15">
        <f>'Raw Data'!M1273</f>
        <v/>
      </c>
      <c r="E1273" s="18">
        <f>'Raw Data'!M1273/'Raw Data'!L1273*100</f>
        <v/>
      </c>
      <c r="F1273" s="14">
        <f>IF(E1273&gt;15,"Wet Year",IF(E1273&lt;-15,"Dry Year","Normal Year"))</f>
        <v/>
      </c>
      <c r="G1273" s="16">
        <f>'Raw Data'!I1273</f>
        <v/>
      </c>
      <c r="H1273" s="14">
        <f>IF(G1273&lt;15,"Low Variability",IF(G1273&lt;=35,"Moderate Variability","High Variability"))</f>
        <v/>
      </c>
      <c r="I1273" s="18">
        <f>'Raw Data'!O1273</f>
        <v/>
      </c>
      <c r="J1273" s="14">
        <f>IF(I1273=0,"No Flood",IF(I1273&lt;=0.5,"Low",IF(I1273&lt;=2,"Moderate","High")))</f>
        <v/>
      </c>
    </row>
    <row r="1274" ht="15" customHeight="1" s="12">
      <c r="A1274" s="14">
        <f>'Raw Data'!A1274</f>
        <v/>
      </c>
      <c r="B1274" s="14">
        <f>'Raw Data'!B1274</f>
        <v/>
      </c>
      <c r="C1274" s="14">
        <f>'Raw Data'!C1274</f>
        <v/>
      </c>
      <c r="D1274" s="15">
        <f>'Raw Data'!M1274</f>
        <v/>
      </c>
      <c r="E1274" s="18">
        <f>'Raw Data'!M1274/'Raw Data'!L1274*100</f>
        <v/>
      </c>
      <c r="F1274" s="14">
        <f>IF(E1274&gt;15,"Wet Year",IF(E1274&lt;-15,"Dry Year","Normal Year"))</f>
        <v/>
      </c>
      <c r="G1274" s="16">
        <f>'Raw Data'!I1274</f>
        <v/>
      </c>
      <c r="H1274" s="14">
        <f>IF(G1274&lt;15,"Low Variability",IF(G1274&lt;=35,"Moderate Variability","High Variability"))</f>
        <v/>
      </c>
      <c r="I1274" s="18">
        <f>'Raw Data'!O1274</f>
        <v/>
      </c>
      <c r="J1274" s="14">
        <f>IF(I1274=0,"No Flood",IF(I1274&lt;=0.5,"Low",IF(I1274&lt;=2,"Moderate","High")))</f>
        <v/>
      </c>
    </row>
    <row r="1275" ht="15" customHeight="1" s="12">
      <c r="A1275" s="14">
        <f>'Raw Data'!A1275</f>
        <v/>
      </c>
      <c r="B1275" s="14">
        <f>'Raw Data'!B1275</f>
        <v/>
      </c>
      <c r="C1275" s="14">
        <f>'Raw Data'!C1275</f>
        <v/>
      </c>
      <c r="D1275" s="15">
        <f>'Raw Data'!M1275</f>
        <v/>
      </c>
      <c r="E1275" s="18">
        <f>'Raw Data'!M1275/'Raw Data'!L1275*100</f>
        <v/>
      </c>
      <c r="F1275" s="14">
        <f>IF(E1275&gt;15,"Wet Year",IF(E1275&lt;-15,"Dry Year","Normal Year"))</f>
        <v/>
      </c>
      <c r="G1275" s="16">
        <f>'Raw Data'!I1275</f>
        <v/>
      </c>
      <c r="H1275" s="14">
        <f>IF(G1275&lt;15,"Low Variability",IF(G1275&lt;=35,"Moderate Variability","High Variability"))</f>
        <v/>
      </c>
      <c r="I1275" s="18">
        <f>'Raw Data'!O1275</f>
        <v/>
      </c>
      <c r="J1275" s="14">
        <f>IF(I1275=0,"No Flood",IF(I1275&lt;=0.5,"Low",IF(I1275&lt;=2,"Moderate","High")))</f>
        <v/>
      </c>
    </row>
    <row r="1276" ht="15" customHeight="1" s="12">
      <c r="A1276" s="14">
        <f>'Raw Data'!A1276</f>
        <v/>
      </c>
      <c r="B1276" s="14">
        <f>'Raw Data'!B1276</f>
        <v/>
      </c>
      <c r="C1276" s="14">
        <f>'Raw Data'!C1276</f>
        <v/>
      </c>
      <c r="D1276" s="15">
        <f>'Raw Data'!M1276</f>
        <v/>
      </c>
      <c r="E1276" s="18">
        <f>'Raw Data'!M1276/'Raw Data'!L1276*100</f>
        <v/>
      </c>
      <c r="F1276" s="14">
        <f>IF(E1276&gt;15,"Wet Year",IF(E1276&lt;-15,"Dry Year","Normal Year"))</f>
        <v/>
      </c>
      <c r="G1276" s="16">
        <f>'Raw Data'!I1276</f>
        <v/>
      </c>
      <c r="H1276" s="14">
        <f>IF(G1276&lt;15,"Low Variability",IF(G1276&lt;=35,"Moderate Variability","High Variability"))</f>
        <v/>
      </c>
      <c r="I1276" s="18">
        <f>'Raw Data'!O1276</f>
        <v/>
      </c>
      <c r="J1276" s="14">
        <f>IF(I1276=0,"No Flood",IF(I1276&lt;=0.5,"Low",IF(I1276&lt;=2,"Moderate","High")))</f>
        <v/>
      </c>
    </row>
    <row r="1277" ht="15" customHeight="1" s="12">
      <c r="A1277" s="14">
        <f>'Raw Data'!A1277</f>
        <v/>
      </c>
      <c r="B1277" s="14">
        <f>'Raw Data'!B1277</f>
        <v/>
      </c>
      <c r="C1277" s="14">
        <f>'Raw Data'!C1277</f>
        <v/>
      </c>
      <c r="D1277" s="15">
        <f>'Raw Data'!M1277</f>
        <v/>
      </c>
      <c r="E1277" s="18">
        <f>'Raw Data'!M1277/'Raw Data'!L1277*100</f>
        <v/>
      </c>
      <c r="F1277" s="14">
        <f>IF(E1277&gt;15,"Wet Year",IF(E1277&lt;-15,"Dry Year","Normal Year"))</f>
        <v/>
      </c>
      <c r="G1277" s="16">
        <f>'Raw Data'!I1277</f>
        <v/>
      </c>
      <c r="H1277" s="14">
        <f>IF(G1277&lt;15,"Low Variability",IF(G1277&lt;=35,"Moderate Variability","High Variability"))</f>
        <v/>
      </c>
      <c r="I1277" s="18">
        <f>'Raw Data'!O1277</f>
        <v/>
      </c>
      <c r="J1277" s="14">
        <f>IF(I1277=0,"No Flood",IF(I1277&lt;=0.5,"Low",IF(I1277&lt;=2,"Moderate","High")))</f>
        <v/>
      </c>
    </row>
    <row r="1278" ht="15" customHeight="1" s="12">
      <c r="A1278" s="14">
        <f>'Raw Data'!A1278</f>
        <v/>
      </c>
      <c r="B1278" s="14">
        <f>'Raw Data'!B1278</f>
        <v/>
      </c>
      <c r="C1278" s="14">
        <f>'Raw Data'!C1278</f>
        <v/>
      </c>
      <c r="D1278" s="15">
        <f>'Raw Data'!M1278</f>
        <v/>
      </c>
      <c r="E1278" s="18">
        <f>'Raw Data'!M1278/'Raw Data'!L1278*100</f>
        <v/>
      </c>
      <c r="F1278" s="14">
        <f>IF(E1278&gt;15,"Wet Year",IF(E1278&lt;-15,"Dry Year","Normal Year"))</f>
        <v/>
      </c>
      <c r="G1278" s="16">
        <f>'Raw Data'!I1278</f>
        <v/>
      </c>
      <c r="H1278" s="14">
        <f>IF(G1278&lt;15,"Low Variability",IF(G1278&lt;=35,"Moderate Variability","High Variability"))</f>
        <v/>
      </c>
      <c r="I1278" s="18">
        <f>'Raw Data'!O1278</f>
        <v/>
      </c>
      <c r="J1278" s="14">
        <f>IF(I1278=0,"No Flood",IF(I1278&lt;=0.5,"Low",IF(I1278&lt;=2,"Moderate","High")))</f>
        <v/>
      </c>
    </row>
    <row r="1279" ht="15" customHeight="1" s="12">
      <c r="A1279" s="14">
        <f>'Raw Data'!A1279</f>
        <v/>
      </c>
      <c r="B1279" s="14">
        <f>'Raw Data'!B1279</f>
        <v/>
      </c>
      <c r="C1279" s="14">
        <f>'Raw Data'!C1279</f>
        <v/>
      </c>
      <c r="D1279" s="15">
        <f>'Raw Data'!M1279</f>
        <v/>
      </c>
      <c r="E1279" s="18">
        <f>'Raw Data'!M1279/'Raw Data'!L1279*100</f>
        <v/>
      </c>
      <c r="F1279" s="14">
        <f>IF(E1279&gt;15,"Wet Year",IF(E1279&lt;-15,"Dry Year","Normal Year"))</f>
        <v/>
      </c>
      <c r="G1279" s="16">
        <f>'Raw Data'!I1279</f>
        <v/>
      </c>
      <c r="H1279" s="14">
        <f>IF(G1279&lt;15,"Low Variability",IF(G1279&lt;=35,"Moderate Variability","High Variability"))</f>
        <v/>
      </c>
      <c r="I1279" s="18">
        <f>'Raw Data'!O1279</f>
        <v/>
      </c>
      <c r="J1279" s="14">
        <f>IF(I1279=0,"No Flood",IF(I1279&lt;=0.5,"Low",IF(I1279&lt;=2,"Moderate","High")))</f>
        <v/>
      </c>
    </row>
    <row r="1280" ht="15" customHeight="1" s="12">
      <c r="A1280" s="14">
        <f>'Raw Data'!A1280</f>
        <v/>
      </c>
      <c r="B1280" s="14">
        <f>'Raw Data'!B1280</f>
        <v/>
      </c>
      <c r="C1280" s="14">
        <f>'Raw Data'!C1280</f>
        <v/>
      </c>
      <c r="D1280" s="15">
        <f>'Raw Data'!M1280</f>
        <v/>
      </c>
      <c r="E1280" s="18">
        <f>'Raw Data'!M1280/'Raw Data'!L1280*100</f>
        <v/>
      </c>
      <c r="F1280" s="14">
        <f>IF(E1280&gt;15,"Wet Year",IF(E1280&lt;-15,"Dry Year","Normal Year"))</f>
        <v/>
      </c>
      <c r="G1280" s="16">
        <f>'Raw Data'!I1280</f>
        <v/>
      </c>
      <c r="H1280" s="14">
        <f>IF(G1280&lt;15,"Low Variability",IF(G1280&lt;=35,"Moderate Variability","High Variability"))</f>
        <v/>
      </c>
      <c r="I1280" s="18">
        <f>'Raw Data'!O1280</f>
        <v/>
      </c>
      <c r="J1280" s="14">
        <f>IF(I1280=0,"No Flood",IF(I1280&lt;=0.5,"Low",IF(I1280&lt;=2,"Moderate","High")))</f>
        <v/>
      </c>
    </row>
    <row r="1281" ht="15" customHeight="1" s="12">
      <c r="A1281" s="14">
        <f>'Raw Data'!A1281</f>
        <v/>
      </c>
      <c r="B1281" s="14">
        <f>'Raw Data'!B1281</f>
        <v/>
      </c>
      <c r="C1281" s="14">
        <f>'Raw Data'!C1281</f>
        <v/>
      </c>
      <c r="D1281" s="15">
        <f>'Raw Data'!M1281</f>
        <v/>
      </c>
      <c r="E1281" s="18">
        <f>'Raw Data'!M1281/'Raw Data'!L1281*100</f>
        <v/>
      </c>
      <c r="F1281" s="14">
        <f>IF(E1281&gt;15,"Wet Year",IF(E1281&lt;-15,"Dry Year","Normal Year"))</f>
        <v/>
      </c>
      <c r="G1281" s="16">
        <f>'Raw Data'!I1281</f>
        <v/>
      </c>
      <c r="H1281" s="14">
        <f>IF(G1281&lt;15,"Low Variability",IF(G1281&lt;=35,"Moderate Variability","High Variability"))</f>
        <v/>
      </c>
      <c r="I1281" s="18">
        <f>'Raw Data'!O1281</f>
        <v/>
      </c>
      <c r="J1281" s="14">
        <f>IF(I1281=0,"No Flood",IF(I1281&lt;=0.5,"Low",IF(I1281&lt;=2,"Moderate","High")))</f>
        <v/>
      </c>
    </row>
    <row r="1282" ht="15" customHeight="1" s="12">
      <c r="A1282" s="14">
        <f>'Raw Data'!A1282</f>
        <v/>
      </c>
      <c r="B1282" s="14">
        <f>'Raw Data'!B1282</f>
        <v/>
      </c>
      <c r="C1282" s="14">
        <f>'Raw Data'!C1282</f>
        <v/>
      </c>
      <c r="D1282" s="15">
        <f>'Raw Data'!M1282</f>
        <v/>
      </c>
      <c r="E1282" s="18">
        <f>'Raw Data'!M1282/'Raw Data'!L1282*100</f>
        <v/>
      </c>
      <c r="F1282" s="14">
        <f>IF(E1282&gt;15,"Wet Year",IF(E1282&lt;-15,"Dry Year","Normal Year"))</f>
        <v/>
      </c>
      <c r="G1282" s="16">
        <f>'Raw Data'!I1282</f>
        <v/>
      </c>
      <c r="H1282" s="14">
        <f>IF(G1282&lt;15,"Low Variability",IF(G1282&lt;=35,"Moderate Variability","High Variability"))</f>
        <v/>
      </c>
      <c r="I1282" s="18">
        <f>'Raw Data'!O1282</f>
        <v/>
      </c>
      <c r="J1282" s="14">
        <f>IF(I1282=0,"No Flood",IF(I1282&lt;=0.5,"Low",IF(I1282&lt;=2,"Moderate","High")))</f>
        <v/>
      </c>
    </row>
    <row r="1283" ht="15" customHeight="1" s="12">
      <c r="A1283" s="14">
        <f>'Raw Data'!A1283</f>
        <v/>
      </c>
      <c r="B1283" s="14">
        <f>'Raw Data'!B1283</f>
        <v/>
      </c>
      <c r="C1283" s="14">
        <f>'Raw Data'!C1283</f>
        <v/>
      </c>
      <c r="D1283" s="15">
        <f>'Raw Data'!M1283</f>
        <v/>
      </c>
      <c r="E1283" s="18">
        <f>'Raw Data'!M1283/'Raw Data'!L1283*100</f>
        <v/>
      </c>
      <c r="F1283" s="14">
        <f>IF(E1283&gt;15,"Wet Year",IF(E1283&lt;-15,"Dry Year","Normal Year"))</f>
        <v/>
      </c>
      <c r="G1283" s="16">
        <f>'Raw Data'!I1283</f>
        <v/>
      </c>
      <c r="H1283" s="14">
        <f>IF(G1283&lt;15,"Low Variability",IF(G1283&lt;=35,"Moderate Variability","High Variability"))</f>
        <v/>
      </c>
      <c r="I1283" s="18">
        <f>'Raw Data'!O1283</f>
        <v/>
      </c>
      <c r="J1283" s="14">
        <f>IF(I1283=0,"No Flood",IF(I1283&lt;=0.5,"Low",IF(I1283&lt;=2,"Moderate","High")))</f>
        <v/>
      </c>
    </row>
    <row r="1284" ht="15" customHeight="1" s="12">
      <c r="A1284" s="14">
        <f>'Raw Data'!A1284</f>
        <v/>
      </c>
      <c r="B1284" s="14">
        <f>'Raw Data'!B1284</f>
        <v/>
      </c>
      <c r="C1284" s="14">
        <f>'Raw Data'!C1284</f>
        <v/>
      </c>
      <c r="D1284" s="15">
        <f>'Raw Data'!M1284</f>
        <v/>
      </c>
      <c r="E1284" s="18">
        <f>'Raw Data'!M1284/'Raw Data'!L1284*100</f>
        <v/>
      </c>
      <c r="F1284" s="14">
        <f>IF(E1284&gt;15,"Wet Year",IF(E1284&lt;-15,"Dry Year","Normal Year"))</f>
        <v/>
      </c>
      <c r="G1284" s="16">
        <f>'Raw Data'!I1284</f>
        <v/>
      </c>
      <c r="H1284" s="14">
        <f>IF(G1284&lt;15,"Low Variability",IF(G1284&lt;=35,"Moderate Variability","High Variability"))</f>
        <v/>
      </c>
      <c r="I1284" s="18">
        <f>'Raw Data'!O1284</f>
        <v/>
      </c>
      <c r="J1284" s="14">
        <f>IF(I1284=0,"No Flood",IF(I1284&lt;=0.5,"Low",IF(I1284&lt;=2,"Moderate","High")))</f>
        <v/>
      </c>
    </row>
    <row r="1285" ht="15" customHeight="1" s="12">
      <c r="A1285" s="14">
        <f>'Raw Data'!A1285</f>
        <v/>
      </c>
      <c r="B1285" s="14">
        <f>'Raw Data'!B1285</f>
        <v/>
      </c>
      <c r="C1285" s="14">
        <f>'Raw Data'!C1285</f>
        <v/>
      </c>
      <c r="D1285" s="15">
        <f>'Raw Data'!M1285</f>
        <v/>
      </c>
      <c r="E1285" s="18">
        <f>'Raw Data'!M1285/'Raw Data'!L1285*100</f>
        <v/>
      </c>
      <c r="F1285" s="14">
        <f>IF(E1285&gt;15,"Wet Year",IF(E1285&lt;-15,"Dry Year","Normal Year"))</f>
        <v/>
      </c>
      <c r="G1285" s="16">
        <f>'Raw Data'!I1285</f>
        <v/>
      </c>
      <c r="H1285" s="14">
        <f>IF(G1285&lt;15,"Low Variability",IF(G1285&lt;=35,"Moderate Variability","High Variability"))</f>
        <v/>
      </c>
      <c r="I1285" s="18">
        <f>'Raw Data'!O1285</f>
        <v/>
      </c>
      <c r="J1285" s="14">
        <f>IF(I1285=0,"No Flood",IF(I1285&lt;=0.5,"Low",IF(I1285&lt;=2,"Moderate","High")))</f>
        <v/>
      </c>
    </row>
    <row r="1286" ht="15" customHeight="1" s="12">
      <c r="A1286" s="14">
        <f>'Raw Data'!A1286</f>
        <v/>
      </c>
      <c r="B1286" s="14">
        <f>'Raw Data'!B1286</f>
        <v/>
      </c>
      <c r="C1286" s="14">
        <f>'Raw Data'!C1286</f>
        <v/>
      </c>
      <c r="D1286" s="15">
        <f>'Raw Data'!M1286</f>
        <v/>
      </c>
      <c r="E1286" s="18">
        <f>'Raw Data'!M1286/'Raw Data'!L1286*100</f>
        <v/>
      </c>
      <c r="F1286" s="14">
        <f>IF(E1286&gt;15,"Wet Year",IF(E1286&lt;-15,"Dry Year","Normal Year"))</f>
        <v/>
      </c>
      <c r="G1286" s="16">
        <f>'Raw Data'!I1286</f>
        <v/>
      </c>
      <c r="H1286" s="14">
        <f>IF(G1286&lt;15,"Low Variability",IF(G1286&lt;=35,"Moderate Variability","High Variability"))</f>
        <v/>
      </c>
      <c r="I1286" s="18">
        <f>'Raw Data'!O1286</f>
        <v/>
      </c>
      <c r="J1286" s="14">
        <f>IF(I1286=0,"No Flood",IF(I1286&lt;=0.5,"Low",IF(I1286&lt;=2,"Moderate","High")))</f>
        <v/>
      </c>
    </row>
    <row r="1287" ht="15" customHeight="1" s="12">
      <c r="A1287" s="14">
        <f>'Raw Data'!A1287</f>
        <v/>
      </c>
      <c r="B1287" s="14">
        <f>'Raw Data'!B1287</f>
        <v/>
      </c>
      <c r="C1287" s="14">
        <f>'Raw Data'!C1287</f>
        <v/>
      </c>
      <c r="D1287" s="15">
        <f>'Raw Data'!M1287</f>
        <v/>
      </c>
      <c r="E1287" s="18">
        <f>'Raw Data'!M1287/'Raw Data'!L1287*100</f>
        <v/>
      </c>
      <c r="F1287" s="14">
        <f>IF(E1287&gt;15,"Wet Year",IF(E1287&lt;-15,"Dry Year","Normal Year"))</f>
        <v/>
      </c>
      <c r="G1287" s="16">
        <f>'Raw Data'!I1287</f>
        <v/>
      </c>
      <c r="H1287" s="14">
        <f>IF(G1287&lt;15,"Low Variability",IF(G1287&lt;=35,"Moderate Variability","High Variability"))</f>
        <v/>
      </c>
      <c r="I1287" s="18">
        <f>'Raw Data'!O1287</f>
        <v/>
      </c>
      <c r="J1287" s="14">
        <f>IF(I1287=0,"No Flood",IF(I1287&lt;=0.5,"Low",IF(I1287&lt;=2,"Moderate","High")))</f>
        <v/>
      </c>
    </row>
    <row r="1288" ht="15" customHeight="1" s="12">
      <c r="A1288" s="14">
        <f>'Raw Data'!A1288</f>
        <v/>
      </c>
      <c r="B1288" s="14">
        <f>'Raw Data'!B1288</f>
        <v/>
      </c>
      <c r="C1288" s="14">
        <f>'Raw Data'!C1288</f>
        <v/>
      </c>
      <c r="D1288" s="15">
        <f>'Raw Data'!M1288</f>
        <v/>
      </c>
      <c r="E1288" s="18">
        <f>'Raw Data'!M1288/'Raw Data'!L1288*100</f>
        <v/>
      </c>
      <c r="F1288" s="14">
        <f>IF(E1288&gt;15,"Wet Year",IF(E1288&lt;-15,"Dry Year","Normal Year"))</f>
        <v/>
      </c>
      <c r="G1288" s="16">
        <f>'Raw Data'!I1288</f>
        <v/>
      </c>
      <c r="H1288" s="14">
        <f>IF(G1288&lt;15,"Low Variability",IF(G1288&lt;=35,"Moderate Variability","High Variability"))</f>
        <v/>
      </c>
      <c r="I1288" s="18">
        <f>'Raw Data'!O1288</f>
        <v/>
      </c>
      <c r="J1288" s="14">
        <f>IF(I1288=0,"No Flood",IF(I1288&lt;=0.5,"Low",IF(I1288&lt;=2,"Moderate","High")))</f>
        <v/>
      </c>
    </row>
    <row r="1289" ht="15" customHeight="1" s="12">
      <c r="A1289" s="14">
        <f>'Raw Data'!A1289</f>
        <v/>
      </c>
      <c r="B1289" s="14">
        <f>'Raw Data'!B1289</f>
        <v/>
      </c>
      <c r="C1289" s="14">
        <f>'Raw Data'!C1289</f>
        <v/>
      </c>
      <c r="D1289" s="15">
        <f>'Raw Data'!M1289</f>
        <v/>
      </c>
      <c r="E1289" s="18">
        <f>'Raw Data'!M1289/'Raw Data'!L1289*100</f>
        <v/>
      </c>
      <c r="F1289" s="14">
        <f>IF(E1289&gt;15,"Wet Year",IF(E1289&lt;-15,"Dry Year","Normal Year"))</f>
        <v/>
      </c>
      <c r="G1289" s="16">
        <f>'Raw Data'!I1289</f>
        <v/>
      </c>
      <c r="H1289" s="14">
        <f>IF(G1289&lt;15,"Low Variability",IF(G1289&lt;=35,"Moderate Variability","High Variability"))</f>
        <v/>
      </c>
      <c r="I1289" s="18">
        <f>'Raw Data'!O1289</f>
        <v/>
      </c>
      <c r="J1289" s="14">
        <f>IF(I1289=0,"No Flood",IF(I1289&lt;=0.5,"Low",IF(I1289&lt;=2,"Moderate","High")))</f>
        <v/>
      </c>
    </row>
    <row r="1290" ht="15" customHeight="1" s="12">
      <c r="A1290" s="14">
        <f>'Raw Data'!A1290</f>
        <v/>
      </c>
      <c r="B1290" s="14">
        <f>'Raw Data'!B1290</f>
        <v/>
      </c>
      <c r="C1290" s="14">
        <f>'Raw Data'!C1290</f>
        <v/>
      </c>
      <c r="D1290" s="15">
        <f>'Raw Data'!M1290</f>
        <v/>
      </c>
      <c r="E1290" s="18">
        <f>'Raw Data'!M1290/'Raw Data'!L1290*100</f>
        <v/>
      </c>
      <c r="F1290" s="14">
        <f>IF(E1290&gt;15,"Wet Year",IF(E1290&lt;-15,"Dry Year","Normal Year"))</f>
        <v/>
      </c>
      <c r="G1290" s="16">
        <f>'Raw Data'!I1290</f>
        <v/>
      </c>
      <c r="H1290" s="14">
        <f>IF(G1290&lt;15,"Low Variability",IF(G1290&lt;=35,"Moderate Variability","High Variability"))</f>
        <v/>
      </c>
      <c r="I1290" s="18">
        <f>'Raw Data'!O1290</f>
        <v/>
      </c>
      <c r="J1290" s="14">
        <f>IF(I1290=0,"No Flood",IF(I1290&lt;=0.5,"Low",IF(I1290&lt;=2,"Moderate","High")))</f>
        <v/>
      </c>
    </row>
    <row r="1291" ht="15" customHeight="1" s="12">
      <c r="A1291" s="14">
        <f>'Raw Data'!A1291</f>
        <v/>
      </c>
      <c r="B1291" s="14">
        <f>'Raw Data'!B1291</f>
        <v/>
      </c>
      <c r="C1291" s="14">
        <f>'Raw Data'!C1291</f>
        <v/>
      </c>
      <c r="D1291" s="15">
        <f>'Raw Data'!M1291</f>
        <v/>
      </c>
      <c r="E1291" s="18">
        <f>'Raw Data'!M1291/'Raw Data'!L1291*100</f>
        <v/>
      </c>
      <c r="F1291" s="14">
        <f>IF(E1291&gt;15,"Wet Year",IF(E1291&lt;-15,"Dry Year","Normal Year"))</f>
        <v/>
      </c>
      <c r="G1291" s="16">
        <f>'Raw Data'!I1291</f>
        <v/>
      </c>
      <c r="H1291" s="14">
        <f>IF(G1291&lt;15,"Low Variability",IF(G1291&lt;=35,"Moderate Variability","High Variability"))</f>
        <v/>
      </c>
      <c r="I1291" s="18">
        <f>'Raw Data'!O1291</f>
        <v/>
      </c>
      <c r="J1291" s="14">
        <f>IF(I1291=0,"No Flood",IF(I1291&lt;=0.5,"Low",IF(I1291&lt;=2,"Moderate","High")))</f>
        <v/>
      </c>
    </row>
    <row r="1292" ht="15" customHeight="1" s="12">
      <c r="A1292" s="14">
        <f>'Raw Data'!A1292</f>
        <v/>
      </c>
      <c r="B1292" s="14">
        <f>'Raw Data'!B1292</f>
        <v/>
      </c>
      <c r="C1292" s="14">
        <f>'Raw Data'!C1292</f>
        <v/>
      </c>
      <c r="D1292" s="15">
        <f>'Raw Data'!M1292</f>
        <v/>
      </c>
      <c r="E1292" s="18">
        <f>'Raw Data'!M1292/'Raw Data'!L1292*100</f>
        <v/>
      </c>
      <c r="F1292" s="14">
        <f>IF(E1292&gt;15,"Wet Year",IF(E1292&lt;-15,"Dry Year","Normal Year"))</f>
        <v/>
      </c>
      <c r="G1292" s="16">
        <f>'Raw Data'!I1292</f>
        <v/>
      </c>
      <c r="H1292" s="14">
        <f>IF(G1292&lt;15,"Low Variability",IF(G1292&lt;=35,"Moderate Variability","High Variability"))</f>
        <v/>
      </c>
      <c r="I1292" s="18">
        <f>'Raw Data'!O1292</f>
        <v/>
      </c>
      <c r="J1292" s="14">
        <f>IF(I1292=0,"No Flood",IF(I1292&lt;=0.5,"Low",IF(I1292&lt;=2,"Moderate","High")))</f>
        <v/>
      </c>
    </row>
    <row r="1293" ht="15" customHeight="1" s="12">
      <c r="A1293" s="14">
        <f>'Raw Data'!A1293</f>
        <v/>
      </c>
      <c r="B1293" s="14">
        <f>'Raw Data'!B1293</f>
        <v/>
      </c>
      <c r="C1293" s="14">
        <f>'Raw Data'!C1293</f>
        <v/>
      </c>
      <c r="D1293" s="15">
        <f>'Raw Data'!M1293</f>
        <v/>
      </c>
      <c r="E1293" s="18">
        <f>'Raw Data'!M1293/'Raw Data'!L1293*100</f>
        <v/>
      </c>
      <c r="F1293" s="14">
        <f>IF(E1293&gt;15,"Wet Year",IF(E1293&lt;-15,"Dry Year","Normal Year"))</f>
        <v/>
      </c>
      <c r="G1293" s="16">
        <f>'Raw Data'!I1293</f>
        <v/>
      </c>
      <c r="H1293" s="14">
        <f>IF(G1293&lt;15,"Low Variability",IF(G1293&lt;=35,"Moderate Variability","High Variability"))</f>
        <v/>
      </c>
      <c r="I1293" s="18">
        <f>'Raw Data'!O1293</f>
        <v/>
      </c>
      <c r="J1293" s="14">
        <f>IF(I1293=0,"No Flood",IF(I1293&lt;=0.5,"Low",IF(I1293&lt;=2,"Moderate","High")))</f>
        <v/>
      </c>
    </row>
    <row r="1294" ht="15" customHeight="1" s="12">
      <c r="A1294" s="14">
        <f>'Raw Data'!A1294</f>
        <v/>
      </c>
      <c r="B1294" s="14">
        <f>'Raw Data'!B1294</f>
        <v/>
      </c>
      <c r="C1294" s="14">
        <f>'Raw Data'!C1294</f>
        <v/>
      </c>
      <c r="D1294" s="15">
        <f>'Raw Data'!M1294</f>
        <v/>
      </c>
      <c r="E1294" s="18">
        <f>'Raw Data'!M1294/'Raw Data'!L1294*100</f>
        <v/>
      </c>
      <c r="F1294" s="14">
        <f>IF(E1294&gt;15,"Wet Year",IF(E1294&lt;-15,"Dry Year","Normal Year"))</f>
        <v/>
      </c>
      <c r="G1294" s="16">
        <f>'Raw Data'!I1294</f>
        <v/>
      </c>
      <c r="H1294" s="14">
        <f>IF(G1294&lt;15,"Low Variability",IF(G1294&lt;=35,"Moderate Variability","High Variability"))</f>
        <v/>
      </c>
      <c r="I1294" s="18">
        <f>'Raw Data'!O1294</f>
        <v/>
      </c>
      <c r="J1294" s="14">
        <f>IF(I1294=0,"No Flood",IF(I1294&lt;=0.5,"Low",IF(I1294&lt;=2,"Moderate","High")))</f>
        <v/>
      </c>
    </row>
    <row r="1295" ht="15" customHeight="1" s="12">
      <c r="A1295" s="14">
        <f>'Raw Data'!A1295</f>
        <v/>
      </c>
      <c r="B1295" s="14">
        <f>'Raw Data'!B1295</f>
        <v/>
      </c>
      <c r="C1295" s="14">
        <f>'Raw Data'!C1295</f>
        <v/>
      </c>
      <c r="D1295" s="15">
        <f>'Raw Data'!M1295</f>
        <v/>
      </c>
      <c r="E1295" s="18">
        <f>'Raw Data'!M1295/'Raw Data'!L1295*100</f>
        <v/>
      </c>
      <c r="F1295" s="14">
        <f>IF(E1295&gt;15,"Wet Year",IF(E1295&lt;-15,"Dry Year","Normal Year"))</f>
        <v/>
      </c>
      <c r="G1295" s="16">
        <f>'Raw Data'!I1295</f>
        <v/>
      </c>
      <c r="H1295" s="14">
        <f>IF(G1295&lt;15,"Low Variability",IF(G1295&lt;=35,"Moderate Variability","High Variability"))</f>
        <v/>
      </c>
      <c r="I1295" s="18">
        <f>'Raw Data'!O1295</f>
        <v/>
      </c>
      <c r="J1295" s="14">
        <f>IF(I1295=0,"No Flood",IF(I1295&lt;=0.5,"Low",IF(I1295&lt;=2,"Moderate","High")))</f>
        <v/>
      </c>
    </row>
    <row r="1296" ht="15" customHeight="1" s="12">
      <c r="A1296" s="14">
        <f>'Raw Data'!A1296</f>
        <v/>
      </c>
      <c r="B1296" s="14">
        <f>'Raw Data'!B1296</f>
        <v/>
      </c>
      <c r="C1296" s="14">
        <f>'Raw Data'!C1296</f>
        <v/>
      </c>
      <c r="D1296" s="15">
        <f>'Raw Data'!M1296</f>
        <v/>
      </c>
      <c r="E1296" s="18">
        <f>'Raw Data'!M1296/'Raw Data'!L1296*100</f>
        <v/>
      </c>
      <c r="F1296" s="14">
        <f>IF(E1296&gt;15,"Wet Year",IF(E1296&lt;-15,"Dry Year","Normal Year"))</f>
        <v/>
      </c>
      <c r="G1296" s="16">
        <f>'Raw Data'!I1296</f>
        <v/>
      </c>
      <c r="H1296" s="14">
        <f>IF(G1296&lt;15,"Low Variability",IF(G1296&lt;=35,"Moderate Variability","High Variability"))</f>
        <v/>
      </c>
      <c r="I1296" s="18">
        <f>'Raw Data'!O1296</f>
        <v/>
      </c>
      <c r="J1296" s="14">
        <f>IF(I1296=0,"No Flood",IF(I1296&lt;=0.5,"Low",IF(I1296&lt;=2,"Moderate","High")))</f>
        <v/>
      </c>
    </row>
    <row r="1297" ht="15" customHeight="1" s="12">
      <c r="A1297" s="14">
        <f>'Raw Data'!A1297</f>
        <v/>
      </c>
      <c r="B1297" s="14">
        <f>'Raw Data'!B1297</f>
        <v/>
      </c>
      <c r="C1297" s="14">
        <f>'Raw Data'!C1297</f>
        <v/>
      </c>
      <c r="D1297" s="15">
        <f>'Raw Data'!M1297</f>
        <v/>
      </c>
      <c r="E1297" s="18">
        <f>'Raw Data'!M1297/'Raw Data'!L1297*100</f>
        <v/>
      </c>
      <c r="F1297" s="14">
        <f>IF(E1297&gt;15,"Wet Year",IF(E1297&lt;-15,"Dry Year","Normal Year"))</f>
        <v/>
      </c>
      <c r="G1297" s="16">
        <f>'Raw Data'!I1297</f>
        <v/>
      </c>
      <c r="H1297" s="14">
        <f>IF(G1297&lt;15,"Low Variability",IF(G1297&lt;=35,"Moderate Variability","High Variability"))</f>
        <v/>
      </c>
      <c r="I1297" s="18">
        <f>'Raw Data'!O1297</f>
        <v/>
      </c>
      <c r="J1297" s="14">
        <f>IF(I1297=0,"No Flood",IF(I1297&lt;=0.5,"Low",IF(I1297&lt;=2,"Moderate","High")))</f>
        <v/>
      </c>
    </row>
    <row r="1298" ht="15" customHeight="1" s="12">
      <c r="A1298" s="14">
        <f>'Raw Data'!A1298</f>
        <v/>
      </c>
      <c r="B1298" s="14">
        <f>'Raw Data'!B1298</f>
        <v/>
      </c>
      <c r="C1298" s="14">
        <f>'Raw Data'!C1298</f>
        <v/>
      </c>
      <c r="D1298" s="15">
        <f>'Raw Data'!M1298</f>
        <v/>
      </c>
      <c r="E1298" s="18">
        <f>'Raw Data'!M1298/'Raw Data'!L1298*100</f>
        <v/>
      </c>
      <c r="F1298" s="14">
        <f>IF(E1298&gt;15,"Wet Year",IF(E1298&lt;-15,"Dry Year","Normal Year"))</f>
        <v/>
      </c>
      <c r="G1298" s="16">
        <f>'Raw Data'!I1298</f>
        <v/>
      </c>
      <c r="H1298" s="14">
        <f>IF(G1298&lt;15,"Low Variability",IF(G1298&lt;=35,"Moderate Variability","High Variability"))</f>
        <v/>
      </c>
      <c r="I1298" s="18">
        <f>'Raw Data'!O1298</f>
        <v/>
      </c>
      <c r="J1298" s="14">
        <f>IF(I1298=0,"No Flood",IF(I1298&lt;=0.5,"Low",IF(I1298&lt;=2,"Moderate","High")))</f>
        <v/>
      </c>
    </row>
    <row r="1299" ht="15" customHeight="1" s="12">
      <c r="A1299" s="14">
        <f>'Raw Data'!A1299</f>
        <v/>
      </c>
      <c r="B1299" s="14">
        <f>'Raw Data'!B1299</f>
        <v/>
      </c>
      <c r="C1299" s="14">
        <f>'Raw Data'!C1299</f>
        <v/>
      </c>
      <c r="D1299" s="15">
        <f>'Raw Data'!M1299</f>
        <v/>
      </c>
      <c r="E1299" s="18">
        <f>'Raw Data'!M1299/'Raw Data'!L1299*100</f>
        <v/>
      </c>
      <c r="F1299" s="14">
        <f>IF(E1299&gt;15,"Wet Year",IF(E1299&lt;-15,"Dry Year","Normal Year"))</f>
        <v/>
      </c>
      <c r="G1299" s="16">
        <f>'Raw Data'!I1299</f>
        <v/>
      </c>
      <c r="H1299" s="14">
        <f>IF(G1299&lt;15,"Low Variability",IF(G1299&lt;=35,"Moderate Variability","High Variability"))</f>
        <v/>
      </c>
      <c r="I1299" s="18">
        <f>'Raw Data'!O1299</f>
        <v/>
      </c>
      <c r="J1299" s="14">
        <f>IF(I1299=0,"No Flood",IF(I1299&lt;=0.5,"Low",IF(I1299&lt;=2,"Moderate","High")))</f>
        <v/>
      </c>
    </row>
    <row r="1300" ht="15" customHeight="1" s="12">
      <c r="A1300" s="14">
        <f>'Raw Data'!A1300</f>
        <v/>
      </c>
      <c r="B1300" s="14">
        <f>'Raw Data'!B1300</f>
        <v/>
      </c>
      <c r="C1300" s="14">
        <f>'Raw Data'!C1300</f>
        <v/>
      </c>
      <c r="D1300" s="15">
        <f>'Raw Data'!M1300</f>
        <v/>
      </c>
      <c r="E1300" s="18">
        <f>'Raw Data'!M1300/'Raw Data'!L1300*100</f>
        <v/>
      </c>
      <c r="F1300" s="14">
        <f>IF(E1300&gt;15,"Wet Year",IF(E1300&lt;-15,"Dry Year","Normal Year"))</f>
        <v/>
      </c>
      <c r="G1300" s="16">
        <f>'Raw Data'!I1300</f>
        <v/>
      </c>
      <c r="H1300" s="14">
        <f>IF(G1300&lt;15,"Low Variability",IF(G1300&lt;=35,"Moderate Variability","High Variability"))</f>
        <v/>
      </c>
      <c r="I1300" s="18">
        <f>'Raw Data'!O1300</f>
        <v/>
      </c>
      <c r="J1300" s="14">
        <f>IF(I1300=0,"No Flood",IF(I1300&lt;=0.5,"Low",IF(I1300&lt;=2,"Moderate","High")))</f>
        <v/>
      </c>
    </row>
    <row r="1301" ht="15" customHeight="1" s="12">
      <c r="A1301" s="14">
        <f>'Raw Data'!A1301</f>
        <v/>
      </c>
      <c r="B1301" s="14">
        <f>'Raw Data'!B1301</f>
        <v/>
      </c>
      <c r="C1301" s="14">
        <f>'Raw Data'!C1301</f>
        <v/>
      </c>
      <c r="D1301" s="15">
        <f>'Raw Data'!M1301</f>
        <v/>
      </c>
      <c r="E1301" s="18">
        <f>'Raw Data'!M1301/'Raw Data'!L1301*100</f>
        <v/>
      </c>
      <c r="F1301" s="14">
        <f>IF(E1301&gt;15,"Wet Year",IF(E1301&lt;-15,"Dry Year","Normal Year"))</f>
        <v/>
      </c>
      <c r="G1301" s="16">
        <f>'Raw Data'!I1301</f>
        <v/>
      </c>
      <c r="H1301" s="14">
        <f>IF(G1301&lt;15,"Low Variability",IF(G1301&lt;=35,"Moderate Variability","High Variability"))</f>
        <v/>
      </c>
      <c r="I1301" s="18">
        <f>'Raw Data'!O1301</f>
        <v/>
      </c>
      <c r="J1301" s="14">
        <f>IF(I1301=0,"No Flood",IF(I1301&lt;=0.5,"Low",IF(I1301&lt;=2,"Moderate","High")))</f>
        <v/>
      </c>
    </row>
    <row r="1302" ht="15" customHeight="1" s="12">
      <c r="A1302" s="14">
        <f>'Raw Data'!A1302</f>
        <v/>
      </c>
      <c r="B1302" s="14">
        <f>'Raw Data'!B1302</f>
        <v/>
      </c>
      <c r="C1302" s="14">
        <f>'Raw Data'!C1302</f>
        <v/>
      </c>
      <c r="D1302" s="15">
        <f>'Raw Data'!M1302</f>
        <v/>
      </c>
      <c r="E1302" s="18">
        <f>'Raw Data'!M1302/'Raw Data'!L1302*100</f>
        <v/>
      </c>
      <c r="F1302" s="14">
        <f>IF(E1302&gt;15,"Wet Year",IF(E1302&lt;-15,"Dry Year","Normal Year"))</f>
        <v/>
      </c>
      <c r="G1302" s="16">
        <f>'Raw Data'!I1302</f>
        <v/>
      </c>
      <c r="H1302" s="14">
        <f>IF(G1302&lt;15,"Low Variability",IF(G1302&lt;=35,"Moderate Variability","High Variability"))</f>
        <v/>
      </c>
      <c r="I1302" s="18">
        <f>'Raw Data'!O1302</f>
        <v/>
      </c>
      <c r="J1302" s="14">
        <f>IF(I1302=0,"No Flood",IF(I1302&lt;=0.5,"Low",IF(I1302&lt;=2,"Moderate","High")))</f>
        <v/>
      </c>
    </row>
    <row r="1303" ht="15" customHeight="1" s="12">
      <c r="A1303" s="14">
        <f>'Raw Data'!A1303</f>
        <v/>
      </c>
      <c r="B1303" s="14">
        <f>'Raw Data'!B1303</f>
        <v/>
      </c>
      <c r="C1303" s="14">
        <f>'Raw Data'!C1303</f>
        <v/>
      </c>
      <c r="D1303" s="15">
        <f>'Raw Data'!M1303</f>
        <v/>
      </c>
      <c r="E1303" s="18">
        <f>'Raw Data'!M1303/'Raw Data'!L1303*100</f>
        <v/>
      </c>
      <c r="F1303" s="14">
        <f>IF(E1303&gt;15,"Wet Year",IF(E1303&lt;-15,"Dry Year","Normal Year"))</f>
        <v/>
      </c>
      <c r="G1303" s="16">
        <f>'Raw Data'!I1303</f>
        <v/>
      </c>
      <c r="H1303" s="14">
        <f>IF(G1303&lt;15,"Low Variability",IF(G1303&lt;=35,"Moderate Variability","High Variability"))</f>
        <v/>
      </c>
      <c r="I1303" s="18">
        <f>'Raw Data'!O1303</f>
        <v/>
      </c>
      <c r="J1303" s="14">
        <f>IF(I1303=0,"No Flood",IF(I1303&lt;=0.5,"Low",IF(I1303&lt;=2,"Moderate","High")))</f>
        <v/>
      </c>
    </row>
    <row r="1304" ht="15" customHeight="1" s="12">
      <c r="A1304" s="14">
        <f>'Raw Data'!A1304</f>
        <v/>
      </c>
      <c r="B1304" s="14">
        <f>'Raw Data'!B1304</f>
        <v/>
      </c>
      <c r="C1304" s="14">
        <f>'Raw Data'!C1304</f>
        <v/>
      </c>
      <c r="D1304" s="15">
        <f>'Raw Data'!M1304</f>
        <v/>
      </c>
      <c r="E1304" s="18">
        <f>'Raw Data'!M1304/'Raw Data'!L1304*100</f>
        <v/>
      </c>
      <c r="F1304" s="14">
        <f>IF(E1304&gt;15,"Wet Year",IF(E1304&lt;-15,"Dry Year","Normal Year"))</f>
        <v/>
      </c>
      <c r="G1304" s="16">
        <f>'Raw Data'!I1304</f>
        <v/>
      </c>
      <c r="H1304" s="14">
        <f>IF(G1304&lt;15,"Low Variability",IF(G1304&lt;=35,"Moderate Variability","High Variability"))</f>
        <v/>
      </c>
      <c r="I1304" s="18">
        <f>'Raw Data'!O1304</f>
        <v/>
      </c>
      <c r="J1304" s="14">
        <f>IF(I1304=0,"No Flood",IF(I1304&lt;=0.5,"Low",IF(I1304&lt;=2,"Moderate","High")))</f>
        <v/>
      </c>
    </row>
    <row r="1305" ht="15" customHeight="1" s="12">
      <c r="A1305" s="14">
        <f>'Raw Data'!A1305</f>
        <v/>
      </c>
      <c r="B1305" s="14">
        <f>'Raw Data'!B1305</f>
        <v/>
      </c>
      <c r="C1305" s="14">
        <f>'Raw Data'!C1305</f>
        <v/>
      </c>
      <c r="D1305" s="15">
        <f>'Raw Data'!M1305</f>
        <v/>
      </c>
      <c r="E1305" s="18">
        <f>'Raw Data'!M1305/'Raw Data'!L1305*100</f>
        <v/>
      </c>
      <c r="F1305" s="14">
        <f>IF(E1305&gt;15,"Wet Year",IF(E1305&lt;-15,"Dry Year","Normal Year"))</f>
        <v/>
      </c>
      <c r="G1305" s="16">
        <f>'Raw Data'!I1305</f>
        <v/>
      </c>
      <c r="H1305" s="14">
        <f>IF(G1305&lt;15,"Low Variability",IF(G1305&lt;=35,"Moderate Variability","High Variability"))</f>
        <v/>
      </c>
      <c r="I1305" s="18">
        <f>'Raw Data'!O1305</f>
        <v/>
      </c>
      <c r="J1305" s="14">
        <f>IF(I1305=0,"No Flood",IF(I1305&lt;=0.5,"Low",IF(I1305&lt;=2,"Moderate","High")))</f>
        <v/>
      </c>
    </row>
    <row r="1306" ht="15" customHeight="1" s="12">
      <c r="A1306" s="14">
        <f>'Raw Data'!A1306</f>
        <v/>
      </c>
      <c r="B1306" s="14">
        <f>'Raw Data'!B1306</f>
        <v/>
      </c>
      <c r="C1306" s="14">
        <f>'Raw Data'!C1306</f>
        <v/>
      </c>
      <c r="D1306" s="15">
        <f>'Raw Data'!M1306</f>
        <v/>
      </c>
      <c r="E1306" s="18">
        <f>'Raw Data'!M1306/'Raw Data'!L1306*100</f>
        <v/>
      </c>
      <c r="F1306" s="14">
        <f>IF(E1306&gt;15,"Wet Year",IF(E1306&lt;-15,"Dry Year","Normal Year"))</f>
        <v/>
      </c>
      <c r="G1306" s="16">
        <f>'Raw Data'!I1306</f>
        <v/>
      </c>
      <c r="H1306" s="14">
        <f>IF(G1306&lt;15,"Low Variability",IF(G1306&lt;=35,"Moderate Variability","High Variability"))</f>
        <v/>
      </c>
      <c r="I1306" s="18">
        <f>'Raw Data'!O1306</f>
        <v/>
      </c>
      <c r="J1306" s="14">
        <f>IF(I1306=0,"No Flood",IF(I1306&lt;=0.5,"Low",IF(I1306&lt;=2,"Moderate","High")))</f>
        <v/>
      </c>
    </row>
    <row r="1307" ht="15" customHeight="1" s="12">
      <c r="A1307" s="14">
        <f>'Raw Data'!A1307</f>
        <v/>
      </c>
      <c r="B1307" s="14">
        <f>'Raw Data'!B1307</f>
        <v/>
      </c>
      <c r="C1307" s="14">
        <f>'Raw Data'!C1307</f>
        <v/>
      </c>
      <c r="D1307" s="15">
        <f>'Raw Data'!M1307</f>
        <v/>
      </c>
      <c r="E1307" s="18">
        <f>'Raw Data'!M1307/'Raw Data'!L1307*100</f>
        <v/>
      </c>
      <c r="F1307" s="14">
        <f>IF(E1307&gt;15,"Wet Year",IF(E1307&lt;-15,"Dry Year","Normal Year"))</f>
        <v/>
      </c>
      <c r="G1307" s="16">
        <f>'Raw Data'!I1307</f>
        <v/>
      </c>
      <c r="H1307" s="14">
        <f>IF(G1307&lt;15,"Low Variability",IF(G1307&lt;=35,"Moderate Variability","High Variability"))</f>
        <v/>
      </c>
      <c r="I1307" s="18">
        <f>'Raw Data'!O1307</f>
        <v/>
      </c>
      <c r="J1307" s="14">
        <f>IF(I1307=0,"No Flood",IF(I1307&lt;=0.5,"Low",IF(I1307&lt;=2,"Moderate","High")))</f>
        <v/>
      </c>
    </row>
    <row r="1308" ht="15" customHeight="1" s="12">
      <c r="A1308" s="14">
        <f>'Raw Data'!A1308</f>
        <v/>
      </c>
      <c r="B1308" s="14">
        <f>'Raw Data'!B1308</f>
        <v/>
      </c>
      <c r="C1308" s="14">
        <f>'Raw Data'!C1308</f>
        <v/>
      </c>
      <c r="D1308" s="15">
        <f>'Raw Data'!M1308</f>
        <v/>
      </c>
      <c r="E1308" s="18">
        <f>'Raw Data'!M1308/'Raw Data'!L1308*100</f>
        <v/>
      </c>
      <c r="F1308" s="14">
        <f>IF(E1308&gt;15,"Wet Year",IF(E1308&lt;-15,"Dry Year","Normal Year"))</f>
        <v/>
      </c>
      <c r="G1308" s="16">
        <f>'Raw Data'!I1308</f>
        <v/>
      </c>
      <c r="H1308" s="14">
        <f>IF(G1308&lt;15,"Low Variability",IF(G1308&lt;=35,"Moderate Variability","High Variability"))</f>
        <v/>
      </c>
      <c r="I1308" s="18">
        <f>'Raw Data'!O1308</f>
        <v/>
      </c>
      <c r="J1308" s="14">
        <f>IF(I1308=0,"No Flood",IF(I1308&lt;=0.5,"Low",IF(I1308&lt;=2,"Moderate","High")))</f>
        <v/>
      </c>
    </row>
    <row r="1309" ht="15" customHeight="1" s="12">
      <c r="A1309" s="14">
        <f>'Raw Data'!A1309</f>
        <v/>
      </c>
      <c r="B1309" s="14">
        <f>'Raw Data'!B1309</f>
        <v/>
      </c>
      <c r="C1309" s="14">
        <f>'Raw Data'!C1309</f>
        <v/>
      </c>
      <c r="D1309" s="15">
        <f>'Raw Data'!M1309</f>
        <v/>
      </c>
      <c r="E1309" s="18">
        <f>'Raw Data'!M1309/'Raw Data'!L1309*100</f>
        <v/>
      </c>
      <c r="F1309" s="14">
        <f>IF(E1309&gt;15,"Wet Year",IF(E1309&lt;-15,"Dry Year","Normal Year"))</f>
        <v/>
      </c>
      <c r="G1309" s="16">
        <f>'Raw Data'!I1309</f>
        <v/>
      </c>
      <c r="H1309" s="14">
        <f>IF(G1309&lt;15,"Low Variability",IF(G1309&lt;=35,"Moderate Variability","High Variability"))</f>
        <v/>
      </c>
      <c r="I1309" s="18">
        <f>'Raw Data'!O1309</f>
        <v/>
      </c>
      <c r="J1309" s="14">
        <f>IF(I1309=0,"No Flood",IF(I1309&lt;=0.5,"Low",IF(I1309&lt;=2,"Moderate","High")))</f>
        <v/>
      </c>
    </row>
    <row r="1310" ht="15" customHeight="1" s="12">
      <c r="A1310" s="14">
        <f>'Raw Data'!A1310</f>
        <v/>
      </c>
      <c r="B1310" s="14">
        <f>'Raw Data'!B1310</f>
        <v/>
      </c>
      <c r="C1310" s="14">
        <f>'Raw Data'!C1310</f>
        <v/>
      </c>
      <c r="D1310" s="15">
        <f>'Raw Data'!M1310</f>
        <v/>
      </c>
      <c r="E1310" s="18">
        <f>'Raw Data'!M1310/'Raw Data'!L1310*100</f>
        <v/>
      </c>
      <c r="F1310" s="14">
        <f>IF(E1310&gt;15,"Wet Year",IF(E1310&lt;-15,"Dry Year","Normal Year"))</f>
        <v/>
      </c>
      <c r="G1310" s="16">
        <f>'Raw Data'!I1310</f>
        <v/>
      </c>
      <c r="H1310" s="14">
        <f>IF(G1310&lt;15,"Low Variability",IF(G1310&lt;=35,"Moderate Variability","High Variability"))</f>
        <v/>
      </c>
      <c r="I1310" s="18">
        <f>'Raw Data'!O1310</f>
        <v/>
      </c>
      <c r="J1310" s="14">
        <f>IF(I1310=0,"No Flood",IF(I1310&lt;=0.5,"Low",IF(I1310&lt;=2,"Moderate","High")))</f>
        <v/>
      </c>
    </row>
    <row r="1311" ht="15" customHeight="1" s="12">
      <c r="A1311" s="14">
        <f>'Raw Data'!A1311</f>
        <v/>
      </c>
      <c r="B1311" s="14">
        <f>'Raw Data'!B1311</f>
        <v/>
      </c>
      <c r="C1311" s="14">
        <f>'Raw Data'!C1311</f>
        <v/>
      </c>
      <c r="D1311" s="15">
        <f>'Raw Data'!M1311</f>
        <v/>
      </c>
      <c r="E1311" s="18">
        <f>'Raw Data'!M1311/'Raw Data'!L1311*100</f>
        <v/>
      </c>
      <c r="F1311" s="14">
        <f>IF(E1311&gt;15,"Wet Year",IF(E1311&lt;-15,"Dry Year","Normal Year"))</f>
        <v/>
      </c>
      <c r="G1311" s="16">
        <f>'Raw Data'!I1311</f>
        <v/>
      </c>
      <c r="H1311" s="14">
        <f>IF(G1311&lt;15,"Low Variability",IF(G1311&lt;=35,"Moderate Variability","High Variability"))</f>
        <v/>
      </c>
      <c r="I1311" s="18">
        <f>'Raw Data'!O1311</f>
        <v/>
      </c>
      <c r="J1311" s="14">
        <f>IF(I1311=0,"No Flood",IF(I1311&lt;=0.5,"Low",IF(I1311&lt;=2,"Moderate","High")))</f>
        <v/>
      </c>
    </row>
    <row r="1312" ht="15" customHeight="1" s="12">
      <c r="A1312" s="14">
        <f>'Raw Data'!A1312</f>
        <v/>
      </c>
      <c r="B1312" s="14">
        <f>'Raw Data'!B1312</f>
        <v/>
      </c>
      <c r="C1312" s="14">
        <f>'Raw Data'!C1312</f>
        <v/>
      </c>
      <c r="D1312" s="15">
        <f>'Raw Data'!M1312</f>
        <v/>
      </c>
      <c r="E1312" s="18">
        <f>'Raw Data'!M1312/'Raw Data'!L1312*100</f>
        <v/>
      </c>
      <c r="F1312" s="14">
        <f>IF(E1312&gt;15,"Wet Year",IF(E1312&lt;-15,"Dry Year","Normal Year"))</f>
        <v/>
      </c>
      <c r="G1312" s="16">
        <f>'Raw Data'!I1312</f>
        <v/>
      </c>
      <c r="H1312" s="14">
        <f>IF(G1312&lt;15,"Low Variability",IF(G1312&lt;=35,"Moderate Variability","High Variability"))</f>
        <v/>
      </c>
      <c r="I1312" s="18">
        <f>'Raw Data'!O1312</f>
        <v/>
      </c>
      <c r="J1312" s="14">
        <f>IF(I1312=0,"No Flood",IF(I1312&lt;=0.5,"Low",IF(I1312&lt;=2,"Moderate","High")))</f>
        <v/>
      </c>
    </row>
    <row r="1313" ht="15" customHeight="1" s="12">
      <c r="A1313" s="14">
        <f>'Raw Data'!A1313</f>
        <v/>
      </c>
      <c r="B1313" s="14">
        <f>'Raw Data'!B1313</f>
        <v/>
      </c>
      <c r="C1313" s="14">
        <f>'Raw Data'!C1313</f>
        <v/>
      </c>
      <c r="D1313" s="15">
        <f>'Raw Data'!M1313</f>
        <v/>
      </c>
      <c r="E1313" s="18">
        <f>'Raw Data'!M1313/'Raw Data'!L1313*100</f>
        <v/>
      </c>
      <c r="F1313" s="14">
        <f>IF(E1313&gt;15,"Wet Year",IF(E1313&lt;-15,"Dry Year","Normal Year"))</f>
        <v/>
      </c>
      <c r="G1313" s="16">
        <f>'Raw Data'!I1313</f>
        <v/>
      </c>
      <c r="H1313" s="14">
        <f>IF(G1313&lt;15,"Low Variability",IF(G1313&lt;=35,"Moderate Variability","High Variability"))</f>
        <v/>
      </c>
      <c r="I1313" s="18">
        <f>'Raw Data'!O1313</f>
        <v/>
      </c>
      <c r="J1313" s="14">
        <f>IF(I1313=0,"No Flood",IF(I1313&lt;=0.5,"Low",IF(I1313&lt;=2,"Moderate","High")))</f>
        <v/>
      </c>
    </row>
    <row r="1314" ht="15" customHeight="1" s="12">
      <c r="A1314" s="14">
        <f>'Raw Data'!A1314</f>
        <v/>
      </c>
      <c r="B1314" s="14">
        <f>'Raw Data'!B1314</f>
        <v/>
      </c>
      <c r="C1314" s="14">
        <f>'Raw Data'!C1314</f>
        <v/>
      </c>
      <c r="D1314" s="15">
        <f>'Raw Data'!M1314</f>
        <v/>
      </c>
      <c r="E1314" s="18">
        <f>'Raw Data'!M1314/'Raw Data'!L1314*100</f>
        <v/>
      </c>
      <c r="F1314" s="14">
        <f>IF(E1314&gt;15,"Wet Year",IF(E1314&lt;-15,"Dry Year","Normal Year"))</f>
        <v/>
      </c>
      <c r="G1314" s="16">
        <f>'Raw Data'!I1314</f>
        <v/>
      </c>
      <c r="H1314" s="14">
        <f>IF(G1314&lt;15,"Low Variability",IF(G1314&lt;=35,"Moderate Variability","High Variability"))</f>
        <v/>
      </c>
      <c r="I1314" s="18">
        <f>'Raw Data'!O1314</f>
        <v/>
      </c>
      <c r="J1314" s="14">
        <f>IF(I1314=0,"No Flood",IF(I1314&lt;=0.5,"Low",IF(I1314&lt;=2,"Moderate","High")))</f>
        <v/>
      </c>
    </row>
    <row r="1315" ht="15" customHeight="1" s="12">
      <c r="A1315" s="14">
        <f>'Raw Data'!A1315</f>
        <v/>
      </c>
      <c r="B1315" s="14">
        <f>'Raw Data'!B1315</f>
        <v/>
      </c>
      <c r="C1315" s="14">
        <f>'Raw Data'!C1315</f>
        <v/>
      </c>
      <c r="D1315" s="15">
        <f>'Raw Data'!M1315</f>
        <v/>
      </c>
      <c r="E1315" s="18">
        <f>'Raw Data'!M1315/'Raw Data'!L1315*100</f>
        <v/>
      </c>
      <c r="F1315" s="14">
        <f>IF(E1315&gt;15,"Wet Year",IF(E1315&lt;-15,"Dry Year","Normal Year"))</f>
        <v/>
      </c>
      <c r="G1315" s="16">
        <f>'Raw Data'!I1315</f>
        <v/>
      </c>
      <c r="H1315" s="14">
        <f>IF(G1315&lt;15,"Low Variability",IF(G1315&lt;=35,"Moderate Variability","High Variability"))</f>
        <v/>
      </c>
      <c r="I1315" s="18">
        <f>'Raw Data'!O1315</f>
        <v/>
      </c>
      <c r="J1315" s="14">
        <f>IF(I1315=0,"No Flood",IF(I1315&lt;=0.5,"Low",IF(I1315&lt;=2,"Moderate","High")))</f>
        <v/>
      </c>
    </row>
    <row r="1316" ht="15" customHeight="1" s="12">
      <c r="A1316" s="14">
        <f>'Raw Data'!A1316</f>
        <v/>
      </c>
      <c r="B1316" s="14">
        <f>'Raw Data'!B1316</f>
        <v/>
      </c>
      <c r="C1316" s="14">
        <f>'Raw Data'!C1316</f>
        <v/>
      </c>
      <c r="D1316" s="15">
        <f>'Raw Data'!M1316</f>
        <v/>
      </c>
      <c r="E1316" s="18">
        <f>'Raw Data'!M1316/'Raw Data'!L1316*100</f>
        <v/>
      </c>
      <c r="F1316" s="14">
        <f>IF(E1316&gt;15,"Wet Year",IF(E1316&lt;-15,"Dry Year","Normal Year"))</f>
        <v/>
      </c>
      <c r="G1316" s="16">
        <f>'Raw Data'!I1316</f>
        <v/>
      </c>
      <c r="H1316" s="14">
        <f>IF(G1316&lt;15,"Low Variability",IF(G1316&lt;=35,"Moderate Variability","High Variability"))</f>
        <v/>
      </c>
      <c r="I1316" s="18">
        <f>'Raw Data'!O1316</f>
        <v/>
      </c>
      <c r="J1316" s="14">
        <f>IF(I1316=0,"No Flood",IF(I1316&lt;=0.5,"Low",IF(I1316&lt;=2,"Moderate","High")))</f>
        <v/>
      </c>
    </row>
    <row r="1317" ht="15" customHeight="1" s="12">
      <c r="A1317" s="14">
        <f>'Raw Data'!A1317</f>
        <v/>
      </c>
      <c r="B1317" s="14">
        <f>'Raw Data'!B1317</f>
        <v/>
      </c>
      <c r="C1317" s="14">
        <f>'Raw Data'!C1317</f>
        <v/>
      </c>
      <c r="D1317" s="15">
        <f>'Raw Data'!M1317</f>
        <v/>
      </c>
      <c r="E1317" s="18">
        <f>'Raw Data'!M1317/'Raw Data'!L1317*100</f>
        <v/>
      </c>
      <c r="F1317" s="14">
        <f>IF(E1317&gt;15,"Wet Year",IF(E1317&lt;-15,"Dry Year","Normal Year"))</f>
        <v/>
      </c>
      <c r="G1317" s="16">
        <f>'Raw Data'!I1317</f>
        <v/>
      </c>
      <c r="H1317" s="14">
        <f>IF(G1317&lt;15,"Low Variability",IF(G1317&lt;=35,"Moderate Variability","High Variability"))</f>
        <v/>
      </c>
      <c r="I1317" s="18">
        <f>'Raw Data'!O1317</f>
        <v/>
      </c>
      <c r="J1317" s="14">
        <f>IF(I1317=0,"No Flood",IF(I1317&lt;=0.5,"Low",IF(I1317&lt;=2,"Moderate","High")))</f>
        <v/>
      </c>
    </row>
    <row r="1318" ht="15" customHeight="1" s="12">
      <c r="A1318" s="14">
        <f>'Raw Data'!A1318</f>
        <v/>
      </c>
      <c r="B1318" s="14">
        <f>'Raw Data'!B1318</f>
        <v/>
      </c>
      <c r="C1318" s="14">
        <f>'Raw Data'!C1318</f>
        <v/>
      </c>
      <c r="D1318" s="15">
        <f>'Raw Data'!M1318</f>
        <v/>
      </c>
      <c r="E1318" s="18">
        <f>'Raw Data'!M1318/'Raw Data'!L1318*100</f>
        <v/>
      </c>
      <c r="F1318" s="14">
        <f>IF(E1318&gt;15,"Wet Year",IF(E1318&lt;-15,"Dry Year","Normal Year"))</f>
        <v/>
      </c>
      <c r="G1318" s="16">
        <f>'Raw Data'!I1318</f>
        <v/>
      </c>
      <c r="H1318" s="14">
        <f>IF(G1318&lt;15,"Low Variability",IF(G1318&lt;=35,"Moderate Variability","High Variability"))</f>
        <v/>
      </c>
      <c r="I1318" s="18">
        <f>'Raw Data'!O1318</f>
        <v/>
      </c>
      <c r="J1318" s="14">
        <f>IF(I1318=0,"No Flood",IF(I1318&lt;=0.5,"Low",IF(I1318&lt;=2,"Moderate","High")))</f>
        <v/>
      </c>
    </row>
    <row r="1319" ht="15" customHeight="1" s="12">
      <c r="A1319" s="14">
        <f>'Raw Data'!A1319</f>
        <v/>
      </c>
      <c r="B1319" s="14">
        <f>'Raw Data'!B1319</f>
        <v/>
      </c>
      <c r="C1319" s="14">
        <f>'Raw Data'!C1319</f>
        <v/>
      </c>
      <c r="D1319" s="15">
        <f>'Raw Data'!M1319</f>
        <v/>
      </c>
      <c r="E1319" s="18">
        <f>'Raw Data'!M1319/'Raw Data'!L1319*100</f>
        <v/>
      </c>
      <c r="F1319" s="14">
        <f>IF(E1319&gt;15,"Wet Year",IF(E1319&lt;-15,"Dry Year","Normal Year"))</f>
        <v/>
      </c>
      <c r="G1319" s="16">
        <f>'Raw Data'!I1319</f>
        <v/>
      </c>
      <c r="H1319" s="14">
        <f>IF(G1319&lt;15,"Low Variability",IF(G1319&lt;=35,"Moderate Variability","High Variability"))</f>
        <v/>
      </c>
      <c r="I1319" s="18">
        <f>'Raw Data'!O1319</f>
        <v/>
      </c>
      <c r="J1319" s="14">
        <f>IF(I1319=0,"No Flood",IF(I1319&lt;=0.5,"Low",IF(I1319&lt;=2,"Moderate","High")))</f>
        <v/>
      </c>
    </row>
    <row r="1320" ht="15" customHeight="1" s="12">
      <c r="A1320" s="14">
        <f>'Raw Data'!A1320</f>
        <v/>
      </c>
      <c r="B1320" s="14">
        <f>'Raw Data'!B1320</f>
        <v/>
      </c>
      <c r="C1320" s="14">
        <f>'Raw Data'!C1320</f>
        <v/>
      </c>
      <c r="D1320" s="15">
        <f>'Raw Data'!M1320</f>
        <v/>
      </c>
      <c r="E1320" s="18">
        <f>'Raw Data'!M1320/'Raw Data'!L1320*100</f>
        <v/>
      </c>
      <c r="F1320" s="14">
        <f>IF(E1320&gt;15,"Wet Year",IF(E1320&lt;-15,"Dry Year","Normal Year"))</f>
        <v/>
      </c>
      <c r="G1320" s="16">
        <f>'Raw Data'!I1320</f>
        <v/>
      </c>
      <c r="H1320" s="14">
        <f>IF(G1320&lt;15,"Low Variability",IF(G1320&lt;=35,"Moderate Variability","High Variability"))</f>
        <v/>
      </c>
      <c r="I1320" s="18">
        <f>'Raw Data'!O1320</f>
        <v/>
      </c>
      <c r="J1320" s="14">
        <f>IF(I1320=0,"No Flood",IF(I1320&lt;=0.5,"Low",IF(I1320&lt;=2,"Moderate","High")))</f>
        <v/>
      </c>
    </row>
    <row r="1321" ht="15" customHeight="1" s="12">
      <c r="A1321" s="14">
        <f>'Raw Data'!A1321</f>
        <v/>
      </c>
      <c r="B1321" s="14">
        <f>'Raw Data'!B1321</f>
        <v/>
      </c>
      <c r="C1321" s="14">
        <f>'Raw Data'!C1321</f>
        <v/>
      </c>
      <c r="D1321" s="15">
        <f>'Raw Data'!M1321</f>
        <v/>
      </c>
      <c r="E1321" s="18">
        <f>'Raw Data'!M1321/'Raw Data'!L1321*100</f>
        <v/>
      </c>
      <c r="F1321" s="14">
        <f>IF(E1321&gt;15,"Wet Year",IF(E1321&lt;-15,"Dry Year","Normal Year"))</f>
        <v/>
      </c>
      <c r="G1321" s="16">
        <f>'Raw Data'!I1321</f>
        <v/>
      </c>
      <c r="H1321" s="14">
        <f>IF(G1321&lt;15,"Low Variability",IF(G1321&lt;=35,"Moderate Variability","High Variability"))</f>
        <v/>
      </c>
      <c r="I1321" s="18">
        <f>'Raw Data'!O1321</f>
        <v/>
      </c>
      <c r="J1321" s="14">
        <f>IF(I1321=0,"No Flood",IF(I1321&lt;=0.5,"Low",IF(I1321&lt;=2,"Moderate","High")))</f>
        <v/>
      </c>
    </row>
    <row r="1322" ht="15" customHeight="1" s="12">
      <c r="A1322" s="14">
        <f>'Raw Data'!A1322</f>
        <v/>
      </c>
      <c r="B1322" s="14">
        <f>'Raw Data'!B1322</f>
        <v/>
      </c>
      <c r="C1322" s="14">
        <f>'Raw Data'!C1322</f>
        <v/>
      </c>
      <c r="D1322" s="15">
        <f>'Raw Data'!M1322</f>
        <v/>
      </c>
      <c r="E1322" s="18">
        <f>'Raw Data'!M1322/'Raw Data'!L1322*100</f>
        <v/>
      </c>
      <c r="F1322" s="14">
        <f>IF(E1322&gt;15,"Wet Year",IF(E1322&lt;-15,"Dry Year","Normal Year"))</f>
        <v/>
      </c>
      <c r="G1322" s="16">
        <f>'Raw Data'!I1322</f>
        <v/>
      </c>
      <c r="H1322" s="14">
        <f>IF(G1322&lt;15,"Low Variability",IF(G1322&lt;=35,"Moderate Variability","High Variability"))</f>
        <v/>
      </c>
      <c r="I1322" s="18">
        <f>'Raw Data'!O1322</f>
        <v/>
      </c>
      <c r="J1322" s="14">
        <f>IF(I1322=0,"No Flood",IF(I1322&lt;=0.5,"Low",IF(I1322&lt;=2,"Moderate","High")))</f>
        <v/>
      </c>
    </row>
    <row r="1323" ht="15" customHeight="1" s="12">
      <c r="A1323" s="14">
        <f>'Raw Data'!A1323</f>
        <v/>
      </c>
      <c r="B1323" s="14">
        <f>'Raw Data'!B1323</f>
        <v/>
      </c>
      <c r="C1323" s="14">
        <f>'Raw Data'!C1323</f>
        <v/>
      </c>
      <c r="D1323" s="15">
        <f>'Raw Data'!M1323</f>
        <v/>
      </c>
      <c r="E1323" s="18">
        <f>'Raw Data'!M1323/'Raw Data'!L1323*100</f>
        <v/>
      </c>
      <c r="F1323" s="14">
        <f>IF(E1323&gt;15,"Wet Year",IF(E1323&lt;-15,"Dry Year","Normal Year"))</f>
        <v/>
      </c>
      <c r="G1323" s="16">
        <f>'Raw Data'!I1323</f>
        <v/>
      </c>
      <c r="H1323" s="14">
        <f>IF(G1323&lt;15,"Low Variability",IF(G1323&lt;=35,"Moderate Variability","High Variability"))</f>
        <v/>
      </c>
      <c r="I1323" s="18">
        <f>'Raw Data'!O1323</f>
        <v/>
      </c>
      <c r="J1323" s="14">
        <f>IF(I1323=0,"No Flood",IF(I1323&lt;=0.5,"Low",IF(I1323&lt;=2,"Moderate","High")))</f>
        <v/>
      </c>
    </row>
    <row r="1324" ht="15" customHeight="1" s="12">
      <c r="A1324" s="14">
        <f>'Raw Data'!A1324</f>
        <v/>
      </c>
      <c r="B1324" s="14">
        <f>'Raw Data'!B1324</f>
        <v/>
      </c>
      <c r="C1324" s="14">
        <f>'Raw Data'!C1324</f>
        <v/>
      </c>
      <c r="D1324" s="15">
        <f>'Raw Data'!M1324</f>
        <v/>
      </c>
      <c r="E1324" s="18">
        <f>'Raw Data'!M1324/'Raw Data'!L1324*100</f>
        <v/>
      </c>
      <c r="F1324" s="14">
        <f>IF(E1324&gt;15,"Wet Year",IF(E1324&lt;-15,"Dry Year","Normal Year"))</f>
        <v/>
      </c>
      <c r="G1324" s="16">
        <f>'Raw Data'!I1324</f>
        <v/>
      </c>
      <c r="H1324" s="14">
        <f>IF(G1324&lt;15,"Low Variability",IF(G1324&lt;=35,"Moderate Variability","High Variability"))</f>
        <v/>
      </c>
      <c r="I1324" s="18">
        <f>'Raw Data'!O1324</f>
        <v/>
      </c>
      <c r="J1324" s="14">
        <f>IF(I1324=0,"No Flood",IF(I1324&lt;=0.5,"Low",IF(I1324&lt;=2,"Moderate","High")))</f>
        <v/>
      </c>
    </row>
    <row r="1325" ht="15" customHeight="1" s="12">
      <c r="A1325" s="14">
        <f>'Raw Data'!A1325</f>
        <v/>
      </c>
      <c r="B1325" s="14">
        <f>'Raw Data'!B1325</f>
        <v/>
      </c>
      <c r="C1325" s="14">
        <f>'Raw Data'!C1325</f>
        <v/>
      </c>
      <c r="D1325" s="15">
        <f>'Raw Data'!M1325</f>
        <v/>
      </c>
      <c r="E1325" s="18">
        <f>'Raw Data'!M1325/'Raw Data'!L1325*100</f>
        <v/>
      </c>
      <c r="F1325" s="14">
        <f>IF(E1325&gt;15,"Wet Year",IF(E1325&lt;-15,"Dry Year","Normal Year"))</f>
        <v/>
      </c>
      <c r="G1325" s="16">
        <f>'Raw Data'!I1325</f>
        <v/>
      </c>
      <c r="H1325" s="14">
        <f>IF(G1325&lt;15,"Low Variability",IF(G1325&lt;=35,"Moderate Variability","High Variability"))</f>
        <v/>
      </c>
      <c r="I1325" s="18">
        <f>'Raw Data'!O1325</f>
        <v/>
      </c>
      <c r="J1325" s="14">
        <f>IF(I1325=0,"No Flood",IF(I1325&lt;=0.5,"Low",IF(I1325&lt;=2,"Moderate","High")))</f>
        <v/>
      </c>
    </row>
    <row r="1326" ht="15" customHeight="1" s="12">
      <c r="A1326" s="14">
        <f>'Raw Data'!A1326</f>
        <v/>
      </c>
      <c r="B1326" s="14">
        <f>'Raw Data'!B1326</f>
        <v/>
      </c>
      <c r="C1326" s="14">
        <f>'Raw Data'!C1326</f>
        <v/>
      </c>
      <c r="D1326" s="15">
        <f>'Raw Data'!M1326</f>
        <v/>
      </c>
      <c r="E1326" s="18">
        <f>'Raw Data'!M1326/'Raw Data'!L1326*100</f>
        <v/>
      </c>
      <c r="F1326" s="14">
        <f>IF(E1326&gt;15,"Wet Year",IF(E1326&lt;-15,"Dry Year","Normal Year"))</f>
        <v/>
      </c>
      <c r="G1326" s="16">
        <f>'Raw Data'!I1326</f>
        <v/>
      </c>
      <c r="H1326" s="14">
        <f>IF(G1326&lt;15,"Low Variability",IF(G1326&lt;=35,"Moderate Variability","High Variability"))</f>
        <v/>
      </c>
      <c r="I1326" s="18">
        <f>'Raw Data'!O1326</f>
        <v/>
      </c>
      <c r="J1326" s="14">
        <f>IF(I1326=0,"No Flood",IF(I1326&lt;=0.5,"Low",IF(I1326&lt;=2,"Moderate","High")))</f>
        <v/>
      </c>
    </row>
    <row r="1327" ht="15" customHeight="1" s="12">
      <c r="A1327" s="14">
        <f>'Raw Data'!A1327</f>
        <v/>
      </c>
      <c r="B1327" s="14">
        <f>'Raw Data'!B1327</f>
        <v/>
      </c>
      <c r="C1327" s="14">
        <f>'Raw Data'!C1327</f>
        <v/>
      </c>
      <c r="D1327" s="15">
        <f>'Raw Data'!M1327</f>
        <v/>
      </c>
      <c r="E1327" s="18">
        <f>'Raw Data'!M1327/'Raw Data'!L1327*100</f>
        <v/>
      </c>
      <c r="F1327" s="14">
        <f>IF(E1327&gt;15,"Wet Year",IF(E1327&lt;-15,"Dry Year","Normal Year"))</f>
        <v/>
      </c>
      <c r="G1327" s="16">
        <f>'Raw Data'!I1327</f>
        <v/>
      </c>
      <c r="H1327" s="14">
        <f>IF(G1327&lt;15,"Low Variability",IF(G1327&lt;=35,"Moderate Variability","High Variability"))</f>
        <v/>
      </c>
      <c r="I1327" s="18">
        <f>'Raw Data'!O1327</f>
        <v/>
      </c>
      <c r="J1327" s="14">
        <f>IF(I1327=0,"No Flood",IF(I1327&lt;=0.5,"Low",IF(I1327&lt;=2,"Moderate","High")))</f>
        <v/>
      </c>
    </row>
    <row r="1328" ht="15" customHeight="1" s="12">
      <c r="A1328" s="14">
        <f>'Raw Data'!A1328</f>
        <v/>
      </c>
      <c r="B1328" s="14">
        <f>'Raw Data'!B1328</f>
        <v/>
      </c>
      <c r="C1328" s="14">
        <f>'Raw Data'!C1328</f>
        <v/>
      </c>
      <c r="D1328" s="15">
        <f>'Raw Data'!M1328</f>
        <v/>
      </c>
      <c r="E1328" s="18">
        <f>'Raw Data'!M1328/'Raw Data'!L1328*100</f>
        <v/>
      </c>
      <c r="F1328" s="14">
        <f>IF(E1328&gt;15,"Wet Year",IF(E1328&lt;-15,"Dry Year","Normal Year"))</f>
        <v/>
      </c>
      <c r="G1328" s="16">
        <f>'Raw Data'!I1328</f>
        <v/>
      </c>
      <c r="H1328" s="14">
        <f>IF(G1328&lt;15,"Low Variability",IF(G1328&lt;=35,"Moderate Variability","High Variability"))</f>
        <v/>
      </c>
      <c r="I1328" s="18">
        <f>'Raw Data'!O1328</f>
        <v/>
      </c>
      <c r="J1328" s="14">
        <f>IF(I1328=0,"No Flood",IF(I1328&lt;=0.5,"Low",IF(I1328&lt;=2,"Moderate","High")))</f>
        <v/>
      </c>
    </row>
    <row r="1329" ht="15" customHeight="1" s="12">
      <c r="A1329" s="14">
        <f>'Raw Data'!A1329</f>
        <v/>
      </c>
      <c r="B1329" s="14">
        <f>'Raw Data'!B1329</f>
        <v/>
      </c>
      <c r="C1329" s="14">
        <f>'Raw Data'!C1329</f>
        <v/>
      </c>
      <c r="D1329" s="15">
        <f>'Raw Data'!M1329</f>
        <v/>
      </c>
      <c r="E1329" s="18">
        <f>'Raw Data'!M1329/'Raw Data'!L1329*100</f>
        <v/>
      </c>
      <c r="F1329" s="14">
        <f>IF(E1329&gt;15,"Wet Year",IF(E1329&lt;-15,"Dry Year","Normal Year"))</f>
        <v/>
      </c>
      <c r="G1329" s="16">
        <f>'Raw Data'!I1329</f>
        <v/>
      </c>
      <c r="H1329" s="14">
        <f>IF(G1329&lt;15,"Low Variability",IF(G1329&lt;=35,"Moderate Variability","High Variability"))</f>
        <v/>
      </c>
      <c r="I1329" s="18">
        <f>'Raw Data'!O1329</f>
        <v/>
      </c>
      <c r="J1329" s="14">
        <f>IF(I1329=0,"No Flood",IF(I1329&lt;=0.5,"Low",IF(I1329&lt;=2,"Moderate","High")))</f>
        <v/>
      </c>
    </row>
    <row r="1330" ht="15" customHeight="1" s="12">
      <c r="A1330" s="14">
        <f>'Raw Data'!A1330</f>
        <v/>
      </c>
      <c r="B1330" s="14">
        <f>'Raw Data'!B1330</f>
        <v/>
      </c>
      <c r="C1330" s="14">
        <f>'Raw Data'!C1330</f>
        <v/>
      </c>
      <c r="D1330" s="15">
        <f>'Raw Data'!M1330</f>
        <v/>
      </c>
      <c r="E1330" s="18">
        <f>'Raw Data'!M1330/'Raw Data'!L1330*100</f>
        <v/>
      </c>
      <c r="F1330" s="14">
        <f>IF(E1330&gt;15,"Wet Year",IF(E1330&lt;-15,"Dry Year","Normal Year"))</f>
        <v/>
      </c>
      <c r="G1330" s="16">
        <f>'Raw Data'!I1330</f>
        <v/>
      </c>
      <c r="H1330" s="14">
        <f>IF(G1330&lt;15,"Low Variability",IF(G1330&lt;=35,"Moderate Variability","High Variability"))</f>
        <v/>
      </c>
      <c r="I1330" s="18">
        <f>'Raw Data'!O1330</f>
        <v/>
      </c>
      <c r="J1330" s="14">
        <f>IF(I1330=0,"No Flood",IF(I1330&lt;=0.5,"Low",IF(I1330&lt;=2,"Moderate","High")))</f>
        <v/>
      </c>
    </row>
    <row r="1331" ht="15" customHeight="1" s="12">
      <c r="A1331" s="14">
        <f>'Raw Data'!A1331</f>
        <v/>
      </c>
      <c r="B1331" s="14">
        <f>'Raw Data'!B1331</f>
        <v/>
      </c>
      <c r="C1331" s="14">
        <f>'Raw Data'!C1331</f>
        <v/>
      </c>
      <c r="D1331" s="15">
        <f>'Raw Data'!M1331</f>
        <v/>
      </c>
      <c r="E1331" s="18">
        <f>'Raw Data'!M1331/'Raw Data'!L1331*100</f>
        <v/>
      </c>
      <c r="F1331" s="14">
        <f>IF(E1331&gt;15,"Wet Year",IF(E1331&lt;-15,"Dry Year","Normal Year"))</f>
        <v/>
      </c>
      <c r="G1331" s="16">
        <f>'Raw Data'!I1331</f>
        <v/>
      </c>
      <c r="H1331" s="14">
        <f>IF(G1331&lt;15,"Low Variability",IF(G1331&lt;=35,"Moderate Variability","High Variability"))</f>
        <v/>
      </c>
      <c r="I1331" s="18">
        <f>'Raw Data'!O1331</f>
        <v/>
      </c>
      <c r="J1331" s="14">
        <f>IF(I1331=0,"No Flood",IF(I1331&lt;=0.5,"Low",IF(I1331&lt;=2,"Moderate","High")))</f>
        <v/>
      </c>
    </row>
    <row r="1332" ht="15" customHeight="1" s="12">
      <c r="A1332" s="14">
        <f>'Raw Data'!A1332</f>
        <v/>
      </c>
      <c r="B1332" s="14">
        <f>'Raw Data'!B1332</f>
        <v/>
      </c>
      <c r="C1332" s="14">
        <f>'Raw Data'!C1332</f>
        <v/>
      </c>
      <c r="D1332" s="15">
        <f>'Raw Data'!M1332</f>
        <v/>
      </c>
      <c r="E1332" s="18">
        <f>'Raw Data'!M1332/'Raw Data'!L1332*100</f>
        <v/>
      </c>
      <c r="F1332" s="14">
        <f>IF(E1332&gt;15,"Wet Year",IF(E1332&lt;-15,"Dry Year","Normal Year"))</f>
        <v/>
      </c>
      <c r="G1332" s="16">
        <f>'Raw Data'!I1332</f>
        <v/>
      </c>
      <c r="H1332" s="14">
        <f>IF(G1332&lt;15,"Low Variability",IF(G1332&lt;=35,"Moderate Variability","High Variability"))</f>
        <v/>
      </c>
      <c r="I1332" s="18">
        <f>'Raw Data'!O1332</f>
        <v/>
      </c>
      <c r="J1332" s="14">
        <f>IF(I1332=0,"No Flood",IF(I1332&lt;=0.5,"Low",IF(I1332&lt;=2,"Moderate","High")))</f>
        <v/>
      </c>
    </row>
    <row r="1333" ht="15" customHeight="1" s="12">
      <c r="A1333" s="14">
        <f>'Raw Data'!A1333</f>
        <v/>
      </c>
      <c r="B1333" s="14">
        <f>'Raw Data'!B1333</f>
        <v/>
      </c>
      <c r="C1333" s="14">
        <f>'Raw Data'!C1333</f>
        <v/>
      </c>
      <c r="D1333" s="15">
        <f>'Raw Data'!M1333</f>
        <v/>
      </c>
      <c r="E1333" s="18">
        <f>'Raw Data'!M1333/'Raw Data'!L1333*100</f>
        <v/>
      </c>
      <c r="F1333" s="14">
        <f>IF(E1333&gt;15,"Wet Year",IF(E1333&lt;-15,"Dry Year","Normal Year"))</f>
        <v/>
      </c>
      <c r="G1333" s="16">
        <f>'Raw Data'!I1333</f>
        <v/>
      </c>
      <c r="H1333" s="14">
        <f>IF(G1333&lt;15,"Low Variability",IF(G1333&lt;=35,"Moderate Variability","High Variability"))</f>
        <v/>
      </c>
      <c r="I1333" s="18">
        <f>'Raw Data'!O1333</f>
        <v/>
      </c>
      <c r="J1333" s="14">
        <f>IF(I1333=0,"No Flood",IF(I1333&lt;=0.5,"Low",IF(I1333&lt;=2,"Moderate","High")))</f>
        <v/>
      </c>
    </row>
    <row r="1334" ht="15" customHeight="1" s="12">
      <c r="A1334" s="14">
        <f>'Raw Data'!A1334</f>
        <v/>
      </c>
      <c r="B1334" s="14">
        <f>'Raw Data'!B1334</f>
        <v/>
      </c>
      <c r="C1334" s="14">
        <f>'Raw Data'!C1334</f>
        <v/>
      </c>
      <c r="D1334" s="15">
        <f>'Raw Data'!M1334</f>
        <v/>
      </c>
      <c r="E1334" s="18">
        <f>'Raw Data'!M1334/'Raw Data'!L1334*100</f>
        <v/>
      </c>
      <c r="F1334" s="14">
        <f>IF(E1334&gt;15,"Wet Year",IF(E1334&lt;-15,"Dry Year","Normal Year"))</f>
        <v/>
      </c>
      <c r="G1334" s="16">
        <f>'Raw Data'!I1334</f>
        <v/>
      </c>
      <c r="H1334" s="14">
        <f>IF(G1334&lt;15,"Low Variability",IF(G1334&lt;=35,"Moderate Variability","High Variability"))</f>
        <v/>
      </c>
      <c r="I1334" s="18">
        <f>'Raw Data'!O1334</f>
        <v/>
      </c>
      <c r="J1334" s="14">
        <f>IF(I1334=0,"No Flood",IF(I1334&lt;=0.5,"Low",IF(I1334&lt;=2,"Moderate","High")))</f>
        <v/>
      </c>
    </row>
    <row r="1335" ht="15" customHeight="1" s="12">
      <c r="A1335" s="14">
        <f>'Raw Data'!A1335</f>
        <v/>
      </c>
      <c r="B1335" s="14">
        <f>'Raw Data'!B1335</f>
        <v/>
      </c>
      <c r="C1335" s="14">
        <f>'Raw Data'!C1335</f>
        <v/>
      </c>
      <c r="D1335" s="15">
        <f>'Raw Data'!M1335</f>
        <v/>
      </c>
      <c r="E1335" s="18">
        <f>'Raw Data'!M1335/'Raw Data'!L1335*100</f>
        <v/>
      </c>
      <c r="F1335" s="14">
        <f>IF(E1335&gt;15,"Wet Year",IF(E1335&lt;-15,"Dry Year","Normal Year"))</f>
        <v/>
      </c>
      <c r="G1335" s="16">
        <f>'Raw Data'!I1335</f>
        <v/>
      </c>
      <c r="H1335" s="14">
        <f>IF(G1335&lt;15,"Low Variability",IF(G1335&lt;=35,"Moderate Variability","High Variability"))</f>
        <v/>
      </c>
      <c r="I1335" s="18">
        <f>'Raw Data'!O1335</f>
        <v/>
      </c>
      <c r="J1335" s="14">
        <f>IF(I1335=0,"No Flood",IF(I1335&lt;=0.5,"Low",IF(I1335&lt;=2,"Moderate","High")))</f>
        <v/>
      </c>
    </row>
    <row r="1336" ht="15" customHeight="1" s="12">
      <c r="A1336" s="14">
        <f>'Raw Data'!A1336</f>
        <v/>
      </c>
      <c r="B1336" s="14">
        <f>'Raw Data'!B1336</f>
        <v/>
      </c>
      <c r="C1336" s="14">
        <f>'Raw Data'!C1336</f>
        <v/>
      </c>
      <c r="D1336" s="15">
        <f>'Raw Data'!M1336</f>
        <v/>
      </c>
      <c r="E1336" s="18">
        <f>'Raw Data'!M1336/'Raw Data'!L1336*100</f>
        <v/>
      </c>
      <c r="F1336" s="14">
        <f>IF(E1336&gt;15,"Wet Year",IF(E1336&lt;-15,"Dry Year","Normal Year"))</f>
        <v/>
      </c>
      <c r="G1336" s="16">
        <f>'Raw Data'!I1336</f>
        <v/>
      </c>
      <c r="H1336" s="14">
        <f>IF(G1336&lt;15,"Low Variability",IF(G1336&lt;=35,"Moderate Variability","High Variability"))</f>
        <v/>
      </c>
      <c r="I1336" s="18">
        <f>'Raw Data'!O1336</f>
        <v/>
      </c>
      <c r="J1336" s="14">
        <f>IF(I1336=0,"No Flood",IF(I1336&lt;=0.5,"Low",IF(I1336&lt;=2,"Moderate","High")))</f>
        <v/>
      </c>
    </row>
    <row r="1337" ht="15" customHeight="1" s="12">
      <c r="A1337" s="14">
        <f>'Raw Data'!A1337</f>
        <v/>
      </c>
      <c r="B1337" s="14">
        <f>'Raw Data'!B1337</f>
        <v/>
      </c>
      <c r="C1337" s="14">
        <f>'Raw Data'!C1337</f>
        <v/>
      </c>
      <c r="D1337" s="15">
        <f>'Raw Data'!M1337</f>
        <v/>
      </c>
      <c r="E1337" s="18">
        <f>'Raw Data'!M1337/'Raw Data'!L1337*100</f>
        <v/>
      </c>
      <c r="F1337" s="14">
        <f>IF(E1337&gt;15,"Wet Year",IF(E1337&lt;-15,"Dry Year","Normal Year"))</f>
        <v/>
      </c>
      <c r="G1337" s="16">
        <f>'Raw Data'!I1337</f>
        <v/>
      </c>
      <c r="H1337" s="14">
        <f>IF(G1337&lt;15,"Low Variability",IF(G1337&lt;=35,"Moderate Variability","High Variability"))</f>
        <v/>
      </c>
      <c r="I1337" s="18">
        <f>'Raw Data'!O1337</f>
        <v/>
      </c>
      <c r="J1337" s="14">
        <f>IF(I1337=0,"No Flood",IF(I1337&lt;=0.5,"Low",IF(I1337&lt;=2,"Moderate","High")))</f>
        <v/>
      </c>
    </row>
    <row r="1338" ht="15" customHeight="1" s="12">
      <c r="A1338" s="14">
        <f>'Raw Data'!A1338</f>
        <v/>
      </c>
      <c r="B1338" s="14">
        <f>'Raw Data'!B1338</f>
        <v/>
      </c>
      <c r="C1338" s="14">
        <f>'Raw Data'!C1338</f>
        <v/>
      </c>
      <c r="D1338" s="15">
        <f>'Raw Data'!M1338</f>
        <v/>
      </c>
      <c r="E1338" s="18">
        <f>'Raw Data'!M1338/'Raw Data'!L1338*100</f>
        <v/>
      </c>
      <c r="F1338" s="14">
        <f>IF(E1338&gt;15,"Wet Year",IF(E1338&lt;-15,"Dry Year","Normal Year"))</f>
        <v/>
      </c>
      <c r="G1338" s="16">
        <f>'Raw Data'!I1338</f>
        <v/>
      </c>
      <c r="H1338" s="14">
        <f>IF(G1338&lt;15,"Low Variability",IF(G1338&lt;=35,"Moderate Variability","High Variability"))</f>
        <v/>
      </c>
      <c r="I1338" s="18">
        <f>'Raw Data'!O1338</f>
        <v/>
      </c>
      <c r="J1338" s="14">
        <f>IF(I1338=0,"No Flood",IF(I1338&lt;=0.5,"Low",IF(I1338&lt;=2,"Moderate","High")))</f>
        <v/>
      </c>
    </row>
    <row r="1339" ht="15" customHeight="1" s="12">
      <c r="A1339" s="14">
        <f>'Raw Data'!A1339</f>
        <v/>
      </c>
      <c r="B1339" s="14">
        <f>'Raw Data'!B1339</f>
        <v/>
      </c>
      <c r="C1339" s="14">
        <f>'Raw Data'!C1339</f>
        <v/>
      </c>
      <c r="D1339" s="15">
        <f>'Raw Data'!M1339</f>
        <v/>
      </c>
      <c r="E1339" s="18">
        <f>'Raw Data'!M1339/'Raw Data'!L1339*100</f>
        <v/>
      </c>
      <c r="F1339" s="14">
        <f>IF(E1339&gt;15,"Wet Year",IF(E1339&lt;-15,"Dry Year","Normal Year"))</f>
        <v/>
      </c>
      <c r="G1339" s="16">
        <f>'Raw Data'!I1339</f>
        <v/>
      </c>
      <c r="H1339" s="14">
        <f>IF(G1339&lt;15,"Low Variability",IF(G1339&lt;=35,"Moderate Variability","High Variability"))</f>
        <v/>
      </c>
      <c r="I1339" s="18">
        <f>'Raw Data'!O1339</f>
        <v/>
      </c>
      <c r="J1339" s="14">
        <f>IF(I1339=0,"No Flood",IF(I1339&lt;=0.5,"Low",IF(I1339&lt;=2,"Moderate","High")))</f>
        <v/>
      </c>
    </row>
    <row r="1340" ht="15" customHeight="1" s="12">
      <c r="A1340" s="14">
        <f>'Raw Data'!A1340</f>
        <v/>
      </c>
      <c r="B1340" s="14">
        <f>'Raw Data'!B1340</f>
        <v/>
      </c>
      <c r="C1340" s="14">
        <f>'Raw Data'!C1340</f>
        <v/>
      </c>
      <c r="D1340" s="15">
        <f>'Raw Data'!M1340</f>
        <v/>
      </c>
      <c r="E1340" s="18">
        <f>'Raw Data'!M1340/'Raw Data'!L1340*100</f>
        <v/>
      </c>
      <c r="F1340" s="14">
        <f>IF(E1340&gt;15,"Wet Year",IF(E1340&lt;-15,"Dry Year","Normal Year"))</f>
        <v/>
      </c>
      <c r="G1340" s="16">
        <f>'Raw Data'!I1340</f>
        <v/>
      </c>
      <c r="H1340" s="14">
        <f>IF(G1340&lt;15,"Low Variability",IF(G1340&lt;=35,"Moderate Variability","High Variability"))</f>
        <v/>
      </c>
      <c r="I1340" s="18">
        <f>'Raw Data'!O1340</f>
        <v/>
      </c>
      <c r="J1340" s="14">
        <f>IF(I1340=0,"No Flood",IF(I1340&lt;=0.5,"Low",IF(I1340&lt;=2,"Moderate","High")))</f>
        <v/>
      </c>
    </row>
    <row r="1341" ht="15" customHeight="1" s="12">
      <c r="A1341" s="14">
        <f>'Raw Data'!A1341</f>
        <v/>
      </c>
      <c r="B1341" s="14">
        <f>'Raw Data'!B1341</f>
        <v/>
      </c>
      <c r="C1341" s="14">
        <f>'Raw Data'!C1341</f>
        <v/>
      </c>
      <c r="D1341" s="15">
        <f>'Raw Data'!M1341</f>
        <v/>
      </c>
      <c r="E1341" s="18">
        <f>'Raw Data'!M1341/'Raw Data'!L1341*100</f>
        <v/>
      </c>
      <c r="F1341" s="14">
        <f>IF(E1341&gt;15,"Wet Year",IF(E1341&lt;-15,"Dry Year","Normal Year"))</f>
        <v/>
      </c>
      <c r="G1341" s="16">
        <f>'Raw Data'!I1341</f>
        <v/>
      </c>
      <c r="H1341" s="14">
        <f>IF(G1341&lt;15,"Low Variability",IF(G1341&lt;=35,"Moderate Variability","High Variability"))</f>
        <v/>
      </c>
      <c r="I1341" s="18">
        <f>'Raw Data'!O1341</f>
        <v/>
      </c>
      <c r="J1341" s="14">
        <f>IF(I1341=0,"No Flood",IF(I1341&lt;=0.5,"Low",IF(I1341&lt;=2,"Moderate","High")))</f>
        <v/>
      </c>
    </row>
    <row r="1342" ht="15" customHeight="1" s="12">
      <c r="A1342" s="14">
        <f>'Raw Data'!A1342</f>
        <v/>
      </c>
      <c r="B1342" s="14">
        <f>'Raw Data'!B1342</f>
        <v/>
      </c>
      <c r="C1342" s="14">
        <f>'Raw Data'!C1342</f>
        <v/>
      </c>
      <c r="D1342" s="15">
        <f>'Raw Data'!M1342</f>
        <v/>
      </c>
      <c r="E1342" s="18">
        <f>'Raw Data'!M1342/'Raw Data'!L1342*100</f>
        <v/>
      </c>
      <c r="F1342" s="14">
        <f>IF(E1342&gt;15,"Wet Year",IF(E1342&lt;-15,"Dry Year","Normal Year"))</f>
        <v/>
      </c>
      <c r="G1342" s="16">
        <f>'Raw Data'!I1342</f>
        <v/>
      </c>
      <c r="H1342" s="14">
        <f>IF(G1342&lt;15,"Low Variability",IF(G1342&lt;=35,"Moderate Variability","High Variability"))</f>
        <v/>
      </c>
      <c r="I1342" s="18">
        <f>'Raw Data'!O1342</f>
        <v/>
      </c>
      <c r="J1342" s="14">
        <f>IF(I1342=0,"No Flood",IF(I1342&lt;=0.5,"Low",IF(I1342&lt;=2,"Moderate","High")))</f>
        <v/>
      </c>
    </row>
    <row r="1343" ht="15" customHeight="1" s="12">
      <c r="A1343" s="14">
        <f>'Raw Data'!A1343</f>
        <v/>
      </c>
      <c r="B1343" s="14">
        <f>'Raw Data'!B1343</f>
        <v/>
      </c>
      <c r="C1343" s="14">
        <f>'Raw Data'!C1343</f>
        <v/>
      </c>
      <c r="D1343" s="15">
        <f>'Raw Data'!M1343</f>
        <v/>
      </c>
      <c r="E1343" s="18">
        <f>'Raw Data'!M1343/'Raw Data'!L1343*100</f>
        <v/>
      </c>
      <c r="F1343" s="14">
        <f>IF(E1343&gt;15,"Wet Year",IF(E1343&lt;-15,"Dry Year","Normal Year"))</f>
        <v/>
      </c>
      <c r="G1343" s="16">
        <f>'Raw Data'!I1343</f>
        <v/>
      </c>
      <c r="H1343" s="14">
        <f>IF(G1343&lt;15,"Low Variability",IF(G1343&lt;=35,"Moderate Variability","High Variability"))</f>
        <v/>
      </c>
      <c r="I1343" s="18">
        <f>'Raw Data'!O1343</f>
        <v/>
      </c>
      <c r="J1343" s="14">
        <f>IF(I1343=0,"No Flood",IF(I1343&lt;=0.5,"Low",IF(I1343&lt;=2,"Moderate","High")))</f>
        <v/>
      </c>
    </row>
    <row r="1344" ht="15" customHeight="1" s="12">
      <c r="A1344" s="14">
        <f>'Raw Data'!A1344</f>
        <v/>
      </c>
      <c r="B1344" s="14">
        <f>'Raw Data'!B1344</f>
        <v/>
      </c>
      <c r="C1344" s="14">
        <f>'Raw Data'!C1344</f>
        <v/>
      </c>
      <c r="D1344" s="15">
        <f>'Raw Data'!M1344</f>
        <v/>
      </c>
      <c r="E1344" s="18">
        <f>'Raw Data'!M1344/'Raw Data'!L1344*100</f>
        <v/>
      </c>
      <c r="F1344" s="14">
        <f>IF(E1344&gt;15,"Wet Year",IF(E1344&lt;-15,"Dry Year","Normal Year"))</f>
        <v/>
      </c>
      <c r="G1344" s="16">
        <f>'Raw Data'!I1344</f>
        <v/>
      </c>
      <c r="H1344" s="14">
        <f>IF(G1344&lt;15,"Low Variability",IF(G1344&lt;=35,"Moderate Variability","High Variability"))</f>
        <v/>
      </c>
      <c r="I1344" s="18">
        <f>'Raw Data'!O1344</f>
        <v/>
      </c>
      <c r="J1344" s="14">
        <f>IF(I1344=0,"No Flood",IF(I1344&lt;=0.5,"Low",IF(I1344&lt;=2,"Moderate","High")))</f>
        <v/>
      </c>
    </row>
    <row r="1345" ht="15" customHeight="1" s="12">
      <c r="A1345" s="14">
        <f>'Raw Data'!A1345</f>
        <v/>
      </c>
      <c r="B1345" s="14">
        <f>'Raw Data'!B1345</f>
        <v/>
      </c>
      <c r="C1345" s="14">
        <f>'Raw Data'!C1345</f>
        <v/>
      </c>
      <c r="D1345" s="15">
        <f>'Raw Data'!M1345</f>
        <v/>
      </c>
      <c r="E1345" s="18">
        <f>'Raw Data'!M1345/'Raw Data'!L1345*100</f>
        <v/>
      </c>
      <c r="F1345" s="14">
        <f>IF(E1345&gt;15,"Wet Year",IF(E1345&lt;-15,"Dry Year","Normal Year"))</f>
        <v/>
      </c>
      <c r="G1345" s="16">
        <f>'Raw Data'!I1345</f>
        <v/>
      </c>
      <c r="H1345" s="14">
        <f>IF(G1345&lt;15,"Low Variability",IF(G1345&lt;=35,"Moderate Variability","High Variability"))</f>
        <v/>
      </c>
      <c r="I1345" s="18">
        <f>'Raw Data'!O1345</f>
        <v/>
      </c>
      <c r="J1345" s="14">
        <f>IF(I1345=0,"No Flood",IF(I1345&lt;=0.5,"Low",IF(I1345&lt;=2,"Moderate","High")))</f>
        <v/>
      </c>
    </row>
    <row r="1346" ht="15" customHeight="1" s="12">
      <c r="A1346" s="14">
        <f>'Raw Data'!A1346</f>
        <v/>
      </c>
      <c r="B1346" s="14">
        <f>'Raw Data'!B1346</f>
        <v/>
      </c>
      <c r="C1346" s="14">
        <f>'Raw Data'!C1346</f>
        <v/>
      </c>
      <c r="D1346" s="15">
        <f>'Raw Data'!M1346</f>
        <v/>
      </c>
      <c r="E1346" s="18">
        <f>'Raw Data'!M1346/'Raw Data'!L1346*100</f>
        <v/>
      </c>
      <c r="F1346" s="14">
        <f>IF(E1346&gt;15,"Wet Year",IF(E1346&lt;-15,"Dry Year","Normal Year"))</f>
        <v/>
      </c>
      <c r="G1346" s="16">
        <f>'Raw Data'!I1346</f>
        <v/>
      </c>
      <c r="H1346" s="14">
        <f>IF(G1346&lt;15,"Low Variability",IF(G1346&lt;=35,"Moderate Variability","High Variability"))</f>
        <v/>
      </c>
      <c r="I1346" s="18">
        <f>'Raw Data'!O1346</f>
        <v/>
      </c>
      <c r="J1346" s="14">
        <f>IF(I1346=0,"No Flood",IF(I1346&lt;=0.5,"Low",IF(I1346&lt;=2,"Moderate","High")))</f>
        <v/>
      </c>
    </row>
    <row r="1347" ht="15" customHeight="1" s="12">
      <c r="A1347" s="14">
        <f>'Raw Data'!A1347</f>
        <v/>
      </c>
      <c r="B1347" s="14">
        <f>'Raw Data'!B1347</f>
        <v/>
      </c>
      <c r="C1347" s="14">
        <f>'Raw Data'!C1347</f>
        <v/>
      </c>
      <c r="D1347" s="15">
        <f>'Raw Data'!M1347</f>
        <v/>
      </c>
      <c r="E1347" s="18">
        <f>'Raw Data'!M1347/'Raw Data'!L1347*100</f>
        <v/>
      </c>
      <c r="F1347" s="14">
        <f>IF(E1347&gt;15,"Wet Year",IF(E1347&lt;-15,"Dry Year","Normal Year"))</f>
        <v/>
      </c>
      <c r="G1347" s="16">
        <f>'Raw Data'!I1347</f>
        <v/>
      </c>
      <c r="H1347" s="14">
        <f>IF(G1347&lt;15,"Low Variability",IF(G1347&lt;=35,"Moderate Variability","High Variability"))</f>
        <v/>
      </c>
      <c r="I1347" s="18">
        <f>'Raw Data'!O1347</f>
        <v/>
      </c>
      <c r="J1347" s="14">
        <f>IF(I1347=0,"No Flood",IF(I1347&lt;=0.5,"Low",IF(I1347&lt;=2,"Moderate","High")))</f>
        <v/>
      </c>
    </row>
    <row r="1348" ht="15" customHeight="1" s="12">
      <c r="A1348" s="14">
        <f>'Raw Data'!A1348</f>
        <v/>
      </c>
      <c r="B1348" s="14">
        <f>'Raw Data'!B1348</f>
        <v/>
      </c>
      <c r="C1348" s="14">
        <f>'Raw Data'!C1348</f>
        <v/>
      </c>
      <c r="D1348" s="15">
        <f>'Raw Data'!M1348</f>
        <v/>
      </c>
      <c r="E1348" s="18">
        <f>'Raw Data'!M1348/'Raw Data'!L1348*100</f>
        <v/>
      </c>
      <c r="F1348" s="14">
        <f>IF(E1348&gt;15,"Wet Year",IF(E1348&lt;-15,"Dry Year","Normal Year"))</f>
        <v/>
      </c>
      <c r="G1348" s="16">
        <f>'Raw Data'!I1348</f>
        <v/>
      </c>
      <c r="H1348" s="14">
        <f>IF(G1348&lt;15,"Low Variability",IF(G1348&lt;=35,"Moderate Variability","High Variability"))</f>
        <v/>
      </c>
      <c r="I1348" s="18">
        <f>'Raw Data'!O1348</f>
        <v/>
      </c>
      <c r="J1348" s="14">
        <f>IF(I1348=0,"No Flood",IF(I1348&lt;=0.5,"Low",IF(I1348&lt;=2,"Moderate","High")))</f>
        <v/>
      </c>
    </row>
    <row r="1349" ht="15" customHeight="1" s="12">
      <c r="A1349" s="14">
        <f>'Raw Data'!A1349</f>
        <v/>
      </c>
      <c r="B1349" s="14">
        <f>'Raw Data'!B1349</f>
        <v/>
      </c>
      <c r="C1349" s="14">
        <f>'Raw Data'!C1349</f>
        <v/>
      </c>
      <c r="D1349" s="15">
        <f>'Raw Data'!M1349</f>
        <v/>
      </c>
      <c r="E1349" s="18">
        <f>'Raw Data'!M1349/'Raw Data'!L1349*100</f>
        <v/>
      </c>
      <c r="F1349" s="14">
        <f>IF(E1349&gt;15,"Wet Year",IF(E1349&lt;-15,"Dry Year","Normal Year"))</f>
        <v/>
      </c>
      <c r="G1349" s="16">
        <f>'Raw Data'!I1349</f>
        <v/>
      </c>
      <c r="H1349" s="14">
        <f>IF(G1349&lt;15,"Low Variability",IF(G1349&lt;=35,"Moderate Variability","High Variability"))</f>
        <v/>
      </c>
      <c r="I1349" s="18">
        <f>'Raw Data'!O1349</f>
        <v/>
      </c>
      <c r="J1349" s="14">
        <f>IF(I1349=0,"No Flood",IF(I1349&lt;=0.5,"Low",IF(I1349&lt;=2,"Moderate","High")))</f>
        <v/>
      </c>
    </row>
    <row r="1350" ht="15" customHeight="1" s="12">
      <c r="A1350" s="14">
        <f>'Raw Data'!A1350</f>
        <v/>
      </c>
      <c r="B1350" s="14">
        <f>'Raw Data'!B1350</f>
        <v/>
      </c>
      <c r="C1350" s="14">
        <f>'Raw Data'!C1350</f>
        <v/>
      </c>
      <c r="D1350" s="15">
        <f>'Raw Data'!M1350</f>
        <v/>
      </c>
      <c r="E1350" s="18">
        <f>'Raw Data'!M1350/'Raw Data'!L1350*100</f>
        <v/>
      </c>
      <c r="F1350" s="14">
        <f>IF(E1350&gt;15,"Wet Year",IF(E1350&lt;-15,"Dry Year","Normal Year"))</f>
        <v/>
      </c>
      <c r="G1350" s="16">
        <f>'Raw Data'!I1350</f>
        <v/>
      </c>
      <c r="H1350" s="14">
        <f>IF(G1350&lt;15,"Low Variability",IF(G1350&lt;=35,"Moderate Variability","High Variability"))</f>
        <v/>
      </c>
      <c r="I1350" s="18">
        <f>'Raw Data'!O1350</f>
        <v/>
      </c>
      <c r="J1350" s="14">
        <f>IF(I1350=0,"No Flood",IF(I1350&lt;=0.5,"Low",IF(I1350&lt;=2,"Moderate","High")))</f>
        <v/>
      </c>
    </row>
    <row r="1351" ht="15" customHeight="1" s="12">
      <c r="A1351" s="14">
        <f>'Raw Data'!A1351</f>
        <v/>
      </c>
      <c r="B1351" s="14">
        <f>'Raw Data'!B1351</f>
        <v/>
      </c>
      <c r="C1351" s="14">
        <f>'Raw Data'!C1351</f>
        <v/>
      </c>
      <c r="D1351" s="15">
        <f>'Raw Data'!M1351</f>
        <v/>
      </c>
      <c r="E1351" s="18">
        <f>'Raw Data'!M1351/'Raw Data'!L1351*100</f>
        <v/>
      </c>
      <c r="F1351" s="14">
        <f>IF(E1351&gt;15,"Wet Year",IF(E1351&lt;-15,"Dry Year","Normal Year"))</f>
        <v/>
      </c>
      <c r="G1351" s="16">
        <f>'Raw Data'!I1351</f>
        <v/>
      </c>
      <c r="H1351" s="14">
        <f>IF(G1351&lt;15,"Low Variability",IF(G1351&lt;=35,"Moderate Variability","High Variability"))</f>
        <v/>
      </c>
      <c r="I1351" s="18">
        <f>'Raw Data'!O1351</f>
        <v/>
      </c>
      <c r="J1351" s="14">
        <f>IF(I1351=0,"No Flood",IF(I1351&lt;=0.5,"Low",IF(I1351&lt;=2,"Moderate","High")))</f>
        <v/>
      </c>
    </row>
    <row r="1352" ht="15" customHeight="1" s="12">
      <c r="A1352" s="14">
        <f>'Raw Data'!A1352</f>
        <v/>
      </c>
      <c r="B1352" s="14">
        <f>'Raw Data'!B1352</f>
        <v/>
      </c>
      <c r="C1352" s="14">
        <f>'Raw Data'!C1352</f>
        <v/>
      </c>
      <c r="D1352" s="15">
        <f>'Raw Data'!M1352</f>
        <v/>
      </c>
      <c r="E1352" s="18">
        <f>'Raw Data'!M1352/'Raw Data'!L1352*100</f>
        <v/>
      </c>
      <c r="F1352" s="14">
        <f>IF(E1352&gt;15,"Wet Year",IF(E1352&lt;-15,"Dry Year","Normal Year"))</f>
        <v/>
      </c>
      <c r="G1352" s="16">
        <f>'Raw Data'!I1352</f>
        <v/>
      </c>
      <c r="H1352" s="14">
        <f>IF(G1352&lt;15,"Low Variability",IF(G1352&lt;=35,"Moderate Variability","High Variability"))</f>
        <v/>
      </c>
      <c r="I1352" s="18">
        <f>'Raw Data'!O1352</f>
        <v/>
      </c>
      <c r="J1352" s="14">
        <f>IF(I1352=0,"No Flood",IF(I1352&lt;=0.5,"Low",IF(I1352&lt;=2,"Moderate","High")))</f>
        <v/>
      </c>
    </row>
    <row r="1353" ht="15" customHeight="1" s="12">
      <c r="A1353" s="14">
        <f>'Raw Data'!A1353</f>
        <v/>
      </c>
      <c r="B1353" s="14">
        <f>'Raw Data'!B1353</f>
        <v/>
      </c>
      <c r="C1353" s="14">
        <f>'Raw Data'!C1353</f>
        <v/>
      </c>
      <c r="D1353" s="15">
        <f>'Raw Data'!M1353</f>
        <v/>
      </c>
      <c r="E1353" s="18">
        <f>'Raw Data'!M1353/'Raw Data'!L1353*100</f>
        <v/>
      </c>
      <c r="F1353" s="14">
        <f>IF(E1353&gt;15,"Wet Year",IF(E1353&lt;-15,"Dry Year","Normal Year"))</f>
        <v/>
      </c>
      <c r="G1353" s="16">
        <f>'Raw Data'!I1353</f>
        <v/>
      </c>
      <c r="H1353" s="14">
        <f>IF(G1353&lt;15,"Low Variability",IF(G1353&lt;=35,"Moderate Variability","High Variability"))</f>
        <v/>
      </c>
      <c r="I1353" s="18">
        <f>'Raw Data'!O1353</f>
        <v/>
      </c>
      <c r="J1353" s="14">
        <f>IF(I1353=0,"No Flood",IF(I1353&lt;=0.5,"Low",IF(I1353&lt;=2,"Moderate","High")))</f>
        <v/>
      </c>
    </row>
    <row r="1354" ht="15" customHeight="1" s="12">
      <c r="A1354" s="14">
        <f>'Raw Data'!A1354</f>
        <v/>
      </c>
      <c r="B1354" s="14">
        <f>'Raw Data'!B1354</f>
        <v/>
      </c>
      <c r="C1354" s="14">
        <f>'Raw Data'!C1354</f>
        <v/>
      </c>
      <c r="D1354" s="15">
        <f>'Raw Data'!M1354</f>
        <v/>
      </c>
      <c r="E1354" s="18">
        <f>'Raw Data'!M1354/'Raw Data'!L1354*100</f>
        <v/>
      </c>
      <c r="F1354" s="14">
        <f>IF(E1354&gt;15,"Wet Year",IF(E1354&lt;-15,"Dry Year","Normal Year"))</f>
        <v/>
      </c>
      <c r="G1354" s="16">
        <f>'Raw Data'!I1354</f>
        <v/>
      </c>
      <c r="H1354" s="14">
        <f>IF(G1354&lt;15,"Low Variability",IF(G1354&lt;=35,"Moderate Variability","High Variability"))</f>
        <v/>
      </c>
      <c r="I1354" s="18">
        <f>'Raw Data'!O1354</f>
        <v/>
      </c>
      <c r="J1354" s="14">
        <f>IF(I1354=0,"No Flood",IF(I1354&lt;=0.5,"Low",IF(I1354&lt;=2,"Moderate","High")))</f>
        <v/>
      </c>
    </row>
    <row r="1355" ht="15" customHeight="1" s="12">
      <c r="A1355" s="14">
        <f>'Raw Data'!A1355</f>
        <v/>
      </c>
      <c r="B1355" s="14">
        <f>'Raw Data'!B1355</f>
        <v/>
      </c>
      <c r="C1355" s="14">
        <f>'Raw Data'!C1355</f>
        <v/>
      </c>
      <c r="D1355" s="15">
        <f>'Raw Data'!M1355</f>
        <v/>
      </c>
      <c r="E1355" s="18">
        <f>'Raw Data'!M1355/'Raw Data'!L1355*100</f>
        <v/>
      </c>
      <c r="F1355" s="14">
        <f>IF(E1355&gt;15,"Wet Year",IF(E1355&lt;-15,"Dry Year","Normal Year"))</f>
        <v/>
      </c>
      <c r="G1355" s="16">
        <f>'Raw Data'!I1355</f>
        <v/>
      </c>
      <c r="H1355" s="14">
        <f>IF(G1355&lt;15,"Low Variability",IF(G1355&lt;=35,"Moderate Variability","High Variability"))</f>
        <v/>
      </c>
      <c r="I1355" s="18">
        <f>'Raw Data'!O1355</f>
        <v/>
      </c>
      <c r="J1355" s="14">
        <f>IF(I1355=0,"No Flood",IF(I1355&lt;=0.5,"Low",IF(I1355&lt;=2,"Moderate","High")))</f>
        <v/>
      </c>
    </row>
    <row r="1356" ht="15" customHeight="1" s="12">
      <c r="A1356" s="14">
        <f>'Raw Data'!A1356</f>
        <v/>
      </c>
      <c r="B1356" s="14">
        <f>'Raw Data'!B1356</f>
        <v/>
      </c>
      <c r="C1356" s="14">
        <f>'Raw Data'!C1356</f>
        <v/>
      </c>
      <c r="D1356" s="15">
        <f>'Raw Data'!M1356</f>
        <v/>
      </c>
      <c r="E1356" s="18">
        <f>'Raw Data'!M1356/'Raw Data'!L1356*100</f>
        <v/>
      </c>
      <c r="F1356" s="14">
        <f>IF(E1356&gt;15,"Wet Year",IF(E1356&lt;-15,"Dry Year","Normal Year"))</f>
        <v/>
      </c>
      <c r="G1356" s="16">
        <f>'Raw Data'!I1356</f>
        <v/>
      </c>
      <c r="H1356" s="14">
        <f>IF(G1356&lt;15,"Low Variability",IF(G1356&lt;=35,"Moderate Variability","High Variability"))</f>
        <v/>
      </c>
      <c r="I1356" s="18">
        <f>'Raw Data'!O1356</f>
        <v/>
      </c>
      <c r="J1356" s="14">
        <f>IF(I1356=0,"No Flood",IF(I1356&lt;=0.5,"Low",IF(I1356&lt;=2,"Moderate","High")))</f>
        <v/>
      </c>
    </row>
    <row r="1357" ht="15" customHeight="1" s="12">
      <c r="A1357" s="14">
        <f>'Raw Data'!A1357</f>
        <v/>
      </c>
      <c r="B1357" s="14">
        <f>'Raw Data'!B1357</f>
        <v/>
      </c>
      <c r="C1357" s="14">
        <f>'Raw Data'!C1357</f>
        <v/>
      </c>
      <c r="D1357" s="15">
        <f>'Raw Data'!M1357</f>
        <v/>
      </c>
      <c r="E1357" s="18">
        <f>'Raw Data'!M1357/'Raw Data'!L1357*100</f>
        <v/>
      </c>
      <c r="F1357" s="14">
        <f>IF(E1357&gt;15,"Wet Year",IF(E1357&lt;-15,"Dry Year","Normal Year"))</f>
        <v/>
      </c>
      <c r="G1357" s="16">
        <f>'Raw Data'!I1357</f>
        <v/>
      </c>
      <c r="H1357" s="14">
        <f>IF(G1357&lt;15,"Low Variability",IF(G1357&lt;=35,"Moderate Variability","High Variability"))</f>
        <v/>
      </c>
      <c r="I1357" s="18">
        <f>'Raw Data'!O1357</f>
        <v/>
      </c>
      <c r="J1357" s="14">
        <f>IF(I1357=0,"No Flood",IF(I1357&lt;=0.5,"Low",IF(I1357&lt;=2,"Moderate","High")))</f>
        <v/>
      </c>
    </row>
    <row r="1358" ht="15" customHeight="1" s="12">
      <c r="A1358" s="14">
        <f>'Raw Data'!A1358</f>
        <v/>
      </c>
      <c r="B1358" s="14">
        <f>'Raw Data'!B1358</f>
        <v/>
      </c>
      <c r="C1358" s="14">
        <f>'Raw Data'!C1358</f>
        <v/>
      </c>
      <c r="D1358" s="15">
        <f>'Raw Data'!M1358</f>
        <v/>
      </c>
      <c r="E1358" s="18">
        <f>'Raw Data'!M1358/'Raw Data'!L1358*100</f>
        <v/>
      </c>
      <c r="F1358" s="14">
        <f>IF(E1358&gt;15,"Wet Year",IF(E1358&lt;-15,"Dry Year","Normal Year"))</f>
        <v/>
      </c>
      <c r="G1358" s="16">
        <f>'Raw Data'!I1358</f>
        <v/>
      </c>
      <c r="H1358" s="14">
        <f>IF(G1358&lt;15,"Low Variability",IF(G1358&lt;=35,"Moderate Variability","High Variability"))</f>
        <v/>
      </c>
      <c r="I1358" s="18">
        <f>'Raw Data'!O1358</f>
        <v/>
      </c>
      <c r="J1358" s="14">
        <f>IF(I1358=0,"No Flood",IF(I1358&lt;=0.5,"Low",IF(I1358&lt;=2,"Moderate","High")))</f>
        <v/>
      </c>
    </row>
    <row r="1359" ht="15" customHeight="1" s="12">
      <c r="A1359" s="14">
        <f>'Raw Data'!A1359</f>
        <v/>
      </c>
      <c r="B1359" s="14">
        <f>'Raw Data'!B1359</f>
        <v/>
      </c>
      <c r="C1359" s="14">
        <f>'Raw Data'!C1359</f>
        <v/>
      </c>
      <c r="D1359" s="15">
        <f>'Raw Data'!M1359</f>
        <v/>
      </c>
      <c r="E1359" s="18">
        <f>'Raw Data'!M1359/'Raw Data'!L1359*100</f>
        <v/>
      </c>
      <c r="F1359" s="14">
        <f>IF(E1359&gt;15,"Wet Year",IF(E1359&lt;-15,"Dry Year","Normal Year"))</f>
        <v/>
      </c>
      <c r="G1359" s="16">
        <f>'Raw Data'!I1359</f>
        <v/>
      </c>
      <c r="H1359" s="14">
        <f>IF(G1359&lt;15,"Low Variability",IF(G1359&lt;=35,"Moderate Variability","High Variability"))</f>
        <v/>
      </c>
      <c r="I1359" s="18">
        <f>'Raw Data'!O1359</f>
        <v/>
      </c>
      <c r="J1359" s="14">
        <f>IF(I1359=0,"No Flood",IF(I1359&lt;=0.5,"Low",IF(I1359&lt;=2,"Moderate","High")))</f>
        <v/>
      </c>
    </row>
    <row r="1360" ht="15" customHeight="1" s="12">
      <c r="A1360" s="14">
        <f>'Raw Data'!A1360</f>
        <v/>
      </c>
      <c r="B1360" s="14">
        <f>'Raw Data'!B1360</f>
        <v/>
      </c>
      <c r="C1360" s="14">
        <f>'Raw Data'!C1360</f>
        <v/>
      </c>
      <c r="D1360" s="15">
        <f>'Raw Data'!M1360</f>
        <v/>
      </c>
      <c r="E1360" s="18">
        <f>'Raw Data'!M1360/'Raw Data'!L1360*100</f>
        <v/>
      </c>
      <c r="F1360" s="14">
        <f>IF(E1360&gt;15,"Wet Year",IF(E1360&lt;-15,"Dry Year","Normal Year"))</f>
        <v/>
      </c>
      <c r="G1360" s="16">
        <f>'Raw Data'!I1360</f>
        <v/>
      </c>
      <c r="H1360" s="14">
        <f>IF(G1360&lt;15,"Low Variability",IF(G1360&lt;=35,"Moderate Variability","High Variability"))</f>
        <v/>
      </c>
      <c r="I1360" s="18">
        <f>'Raw Data'!O1360</f>
        <v/>
      </c>
      <c r="J1360" s="14">
        <f>IF(I1360=0,"No Flood",IF(I1360&lt;=0.5,"Low",IF(I1360&lt;=2,"Moderate","High")))</f>
        <v/>
      </c>
    </row>
    <row r="1361" ht="15" customHeight="1" s="12">
      <c r="A1361" s="14">
        <f>'Raw Data'!A1361</f>
        <v/>
      </c>
      <c r="B1361" s="14">
        <f>'Raw Data'!B1361</f>
        <v/>
      </c>
      <c r="C1361" s="14">
        <f>'Raw Data'!C1361</f>
        <v/>
      </c>
      <c r="D1361" s="15">
        <f>'Raw Data'!M1361</f>
        <v/>
      </c>
      <c r="E1361" s="18">
        <f>'Raw Data'!M1361/'Raw Data'!L1361*100</f>
        <v/>
      </c>
      <c r="F1361" s="14">
        <f>IF(E1361&gt;15,"Wet Year",IF(E1361&lt;-15,"Dry Year","Normal Year"))</f>
        <v/>
      </c>
      <c r="G1361" s="16">
        <f>'Raw Data'!I1361</f>
        <v/>
      </c>
      <c r="H1361" s="14">
        <f>IF(G1361&lt;15,"Low Variability",IF(G1361&lt;=35,"Moderate Variability","High Variability"))</f>
        <v/>
      </c>
      <c r="I1361" s="18">
        <f>'Raw Data'!O1361</f>
        <v/>
      </c>
      <c r="J1361" s="14">
        <f>IF(I1361=0,"No Flood",IF(I1361&lt;=0.5,"Low",IF(I1361&lt;=2,"Moderate","High")))</f>
        <v/>
      </c>
    </row>
    <row r="1362" ht="15" customHeight="1" s="12">
      <c r="A1362" s="14">
        <f>'Raw Data'!A1362</f>
        <v/>
      </c>
      <c r="B1362" s="14">
        <f>'Raw Data'!B1362</f>
        <v/>
      </c>
      <c r="C1362" s="14">
        <f>'Raw Data'!C1362</f>
        <v/>
      </c>
      <c r="D1362" s="15">
        <f>'Raw Data'!M1362</f>
        <v/>
      </c>
      <c r="E1362" s="18">
        <f>'Raw Data'!M1362/'Raw Data'!L1362*100</f>
        <v/>
      </c>
      <c r="F1362" s="14">
        <f>IF(E1362&gt;15,"Wet Year",IF(E1362&lt;-15,"Dry Year","Normal Year"))</f>
        <v/>
      </c>
      <c r="G1362" s="16">
        <f>'Raw Data'!I1362</f>
        <v/>
      </c>
      <c r="H1362" s="14">
        <f>IF(G1362&lt;15,"Low Variability",IF(G1362&lt;=35,"Moderate Variability","High Variability"))</f>
        <v/>
      </c>
      <c r="I1362" s="18">
        <f>'Raw Data'!O1362</f>
        <v/>
      </c>
      <c r="J1362" s="14">
        <f>IF(I1362=0,"No Flood",IF(I1362&lt;=0.5,"Low",IF(I1362&lt;=2,"Moderate","High")))</f>
        <v/>
      </c>
    </row>
    <row r="1363" ht="15" customHeight="1" s="12">
      <c r="A1363" s="14">
        <f>'Raw Data'!A1363</f>
        <v/>
      </c>
      <c r="B1363" s="14">
        <f>'Raw Data'!B1363</f>
        <v/>
      </c>
      <c r="C1363" s="14">
        <f>'Raw Data'!C1363</f>
        <v/>
      </c>
      <c r="D1363" s="15">
        <f>'Raw Data'!M1363</f>
        <v/>
      </c>
      <c r="E1363" s="18">
        <f>'Raw Data'!M1363/'Raw Data'!L1363*100</f>
        <v/>
      </c>
      <c r="F1363" s="14">
        <f>IF(E1363&gt;15,"Wet Year",IF(E1363&lt;-15,"Dry Year","Normal Year"))</f>
        <v/>
      </c>
      <c r="G1363" s="16">
        <f>'Raw Data'!I1363</f>
        <v/>
      </c>
      <c r="H1363" s="14">
        <f>IF(G1363&lt;15,"Low Variability",IF(G1363&lt;=35,"Moderate Variability","High Variability"))</f>
        <v/>
      </c>
      <c r="I1363" s="18">
        <f>'Raw Data'!O1363</f>
        <v/>
      </c>
      <c r="J1363" s="14">
        <f>IF(I1363=0,"No Flood",IF(I1363&lt;=0.5,"Low",IF(I1363&lt;=2,"Moderate","High")))</f>
        <v/>
      </c>
    </row>
    <row r="1364" ht="15" customHeight="1" s="12">
      <c r="A1364" s="14">
        <f>'Raw Data'!A1364</f>
        <v/>
      </c>
      <c r="B1364" s="14">
        <f>'Raw Data'!B1364</f>
        <v/>
      </c>
      <c r="C1364" s="14">
        <f>'Raw Data'!C1364</f>
        <v/>
      </c>
      <c r="D1364" s="15">
        <f>'Raw Data'!M1364</f>
        <v/>
      </c>
      <c r="E1364" s="18">
        <f>'Raw Data'!M1364/'Raw Data'!L1364*100</f>
        <v/>
      </c>
      <c r="F1364" s="14">
        <f>IF(E1364&gt;15,"Wet Year",IF(E1364&lt;-15,"Dry Year","Normal Year"))</f>
        <v/>
      </c>
      <c r="G1364" s="16">
        <f>'Raw Data'!I1364</f>
        <v/>
      </c>
      <c r="H1364" s="14">
        <f>IF(G1364&lt;15,"Low Variability",IF(G1364&lt;=35,"Moderate Variability","High Variability"))</f>
        <v/>
      </c>
      <c r="I1364" s="18">
        <f>'Raw Data'!O1364</f>
        <v/>
      </c>
      <c r="J1364" s="14">
        <f>IF(I1364=0,"No Flood",IF(I1364&lt;=0.5,"Low",IF(I1364&lt;=2,"Moderate","High")))</f>
        <v/>
      </c>
    </row>
    <row r="1365" ht="15" customHeight="1" s="12">
      <c r="A1365" s="14">
        <f>'Raw Data'!A1365</f>
        <v/>
      </c>
      <c r="B1365" s="14">
        <f>'Raw Data'!B1365</f>
        <v/>
      </c>
      <c r="C1365" s="14">
        <f>'Raw Data'!C1365</f>
        <v/>
      </c>
      <c r="D1365" s="15">
        <f>'Raw Data'!M1365</f>
        <v/>
      </c>
      <c r="E1365" s="18">
        <f>'Raw Data'!M1365/'Raw Data'!L1365*100</f>
        <v/>
      </c>
      <c r="F1365" s="14">
        <f>IF(E1365&gt;15,"Wet Year",IF(E1365&lt;-15,"Dry Year","Normal Year"))</f>
        <v/>
      </c>
      <c r="G1365" s="16">
        <f>'Raw Data'!I1365</f>
        <v/>
      </c>
      <c r="H1365" s="14">
        <f>IF(G1365&lt;15,"Low Variability",IF(G1365&lt;=35,"Moderate Variability","High Variability"))</f>
        <v/>
      </c>
      <c r="I1365" s="18">
        <f>'Raw Data'!O1365</f>
        <v/>
      </c>
      <c r="J1365" s="14">
        <f>IF(I1365=0,"No Flood",IF(I1365&lt;=0.5,"Low",IF(I1365&lt;=2,"Moderate","High")))</f>
        <v/>
      </c>
    </row>
    <row r="1366" ht="15" customHeight="1" s="12">
      <c r="A1366" s="14">
        <f>'Raw Data'!A1366</f>
        <v/>
      </c>
      <c r="B1366" s="14">
        <f>'Raw Data'!B1366</f>
        <v/>
      </c>
      <c r="C1366" s="14">
        <f>'Raw Data'!C1366</f>
        <v/>
      </c>
      <c r="D1366" s="15">
        <f>'Raw Data'!M1366</f>
        <v/>
      </c>
      <c r="E1366" s="18">
        <f>'Raw Data'!M1366/'Raw Data'!L1366*100</f>
        <v/>
      </c>
      <c r="F1366" s="14">
        <f>IF(E1366&gt;15,"Wet Year",IF(E1366&lt;-15,"Dry Year","Normal Year"))</f>
        <v/>
      </c>
      <c r="G1366" s="16">
        <f>'Raw Data'!I1366</f>
        <v/>
      </c>
      <c r="H1366" s="14">
        <f>IF(G1366&lt;15,"Low Variability",IF(G1366&lt;=35,"Moderate Variability","High Variability"))</f>
        <v/>
      </c>
      <c r="I1366" s="18">
        <f>'Raw Data'!O1366</f>
        <v/>
      </c>
      <c r="J1366" s="14">
        <f>IF(I1366=0,"No Flood",IF(I1366&lt;=0.5,"Low",IF(I1366&lt;=2,"Moderate","High")))</f>
        <v/>
      </c>
    </row>
    <row r="1367" ht="15" customHeight="1" s="12">
      <c r="A1367" s="14">
        <f>'Raw Data'!A1367</f>
        <v/>
      </c>
      <c r="B1367" s="14">
        <f>'Raw Data'!B1367</f>
        <v/>
      </c>
      <c r="C1367" s="14">
        <f>'Raw Data'!C1367</f>
        <v/>
      </c>
      <c r="D1367" s="15">
        <f>'Raw Data'!M1367</f>
        <v/>
      </c>
      <c r="E1367" s="18">
        <f>'Raw Data'!M1367/'Raw Data'!L1367*100</f>
        <v/>
      </c>
      <c r="F1367" s="14">
        <f>IF(E1367&gt;15,"Wet Year",IF(E1367&lt;-15,"Dry Year","Normal Year"))</f>
        <v/>
      </c>
      <c r="G1367" s="16">
        <f>'Raw Data'!I1367</f>
        <v/>
      </c>
      <c r="H1367" s="14">
        <f>IF(G1367&lt;15,"Low Variability",IF(G1367&lt;=35,"Moderate Variability","High Variability"))</f>
        <v/>
      </c>
      <c r="I1367" s="18">
        <f>'Raw Data'!O1367</f>
        <v/>
      </c>
      <c r="J1367" s="14">
        <f>IF(I1367=0,"No Flood",IF(I1367&lt;=0.5,"Low",IF(I1367&lt;=2,"Moderate","High")))</f>
        <v/>
      </c>
    </row>
    <row r="1368" ht="15" customHeight="1" s="12">
      <c r="A1368" s="14">
        <f>'Raw Data'!A1368</f>
        <v/>
      </c>
      <c r="B1368" s="14">
        <f>'Raw Data'!B1368</f>
        <v/>
      </c>
      <c r="C1368" s="14">
        <f>'Raw Data'!C1368</f>
        <v/>
      </c>
      <c r="D1368" s="15">
        <f>'Raw Data'!M1368</f>
        <v/>
      </c>
      <c r="E1368" s="18">
        <f>'Raw Data'!M1368/'Raw Data'!L1368*100</f>
        <v/>
      </c>
      <c r="F1368" s="14">
        <f>IF(E1368&gt;15,"Wet Year",IF(E1368&lt;-15,"Dry Year","Normal Year"))</f>
        <v/>
      </c>
      <c r="G1368" s="16">
        <f>'Raw Data'!I1368</f>
        <v/>
      </c>
      <c r="H1368" s="14">
        <f>IF(G1368&lt;15,"Low Variability",IF(G1368&lt;=35,"Moderate Variability","High Variability"))</f>
        <v/>
      </c>
      <c r="I1368" s="18">
        <f>'Raw Data'!O1368</f>
        <v/>
      </c>
      <c r="J1368" s="14">
        <f>IF(I1368=0,"No Flood",IF(I1368&lt;=0.5,"Low",IF(I1368&lt;=2,"Moderate","High")))</f>
        <v/>
      </c>
    </row>
    <row r="1369" ht="15" customHeight="1" s="12">
      <c r="A1369" s="14">
        <f>'Raw Data'!A1369</f>
        <v/>
      </c>
      <c r="B1369" s="14">
        <f>'Raw Data'!B1369</f>
        <v/>
      </c>
      <c r="C1369" s="14">
        <f>'Raw Data'!C1369</f>
        <v/>
      </c>
      <c r="D1369" s="15">
        <f>'Raw Data'!M1369</f>
        <v/>
      </c>
      <c r="E1369" s="18">
        <f>'Raw Data'!M1369/'Raw Data'!L1369*100</f>
        <v/>
      </c>
      <c r="F1369" s="14">
        <f>IF(E1369&gt;15,"Wet Year",IF(E1369&lt;-15,"Dry Year","Normal Year"))</f>
        <v/>
      </c>
      <c r="G1369" s="16">
        <f>'Raw Data'!I1369</f>
        <v/>
      </c>
      <c r="H1369" s="14">
        <f>IF(G1369&lt;15,"Low Variability",IF(G1369&lt;=35,"Moderate Variability","High Variability"))</f>
        <v/>
      </c>
      <c r="I1369" s="18">
        <f>'Raw Data'!O1369</f>
        <v/>
      </c>
      <c r="J1369" s="14">
        <f>IF(I1369=0,"No Flood",IF(I1369&lt;=0.5,"Low",IF(I1369&lt;=2,"Moderate","High")))</f>
        <v/>
      </c>
    </row>
    <row r="1370" ht="15" customHeight="1" s="12">
      <c r="A1370" s="14">
        <f>'Raw Data'!A1370</f>
        <v/>
      </c>
      <c r="B1370" s="14">
        <f>'Raw Data'!B1370</f>
        <v/>
      </c>
      <c r="C1370" s="14">
        <f>'Raw Data'!C1370</f>
        <v/>
      </c>
      <c r="D1370" s="15">
        <f>'Raw Data'!M1370</f>
        <v/>
      </c>
      <c r="E1370" s="18">
        <f>'Raw Data'!M1370/'Raw Data'!L1370*100</f>
        <v/>
      </c>
      <c r="F1370" s="14">
        <f>IF(E1370&gt;15,"Wet Year",IF(E1370&lt;-15,"Dry Year","Normal Year"))</f>
        <v/>
      </c>
      <c r="G1370" s="16">
        <f>'Raw Data'!I1370</f>
        <v/>
      </c>
      <c r="H1370" s="14">
        <f>IF(G1370&lt;15,"Low Variability",IF(G1370&lt;=35,"Moderate Variability","High Variability"))</f>
        <v/>
      </c>
      <c r="I1370" s="18">
        <f>'Raw Data'!O1370</f>
        <v/>
      </c>
      <c r="J1370" s="14">
        <f>IF(I1370=0,"No Flood",IF(I1370&lt;=0.5,"Low",IF(I1370&lt;=2,"Moderate","High")))</f>
        <v/>
      </c>
    </row>
    <row r="1371" ht="15" customHeight="1" s="12">
      <c r="A1371" s="14">
        <f>'Raw Data'!A1371</f>
        <v/>
      </c>
      <c r="B1371" s="14">
        <f>'Raw Data'!B1371</f>
        <v/>
      </c>
      <c r="C1371" s="14">
        <f>'Raw Data'!C1371</f>
        <v/>
      </c>
      <c r="D1371" s="15">
        <f>'Raw Data'!M1371</f>
        <v/>
      </c>
      <c r="E1371" s="18">
        <f>'Raw Data'!M1371/'Raw Data'!L1371*100</f>
        <v/>
      </c>
      <c r="F1371" s="14">
        <f>IF(E1371&gt;15,"Wet Year",IF(E1371&lt;-15,"Dry Year","Normal Year"))</f>
        <v/>
      </c>
      <c r="G1371" s="16">
        <f>'Raw Data'!I1371</f>
        <v/>
      </c>
      <c r="H1371" s="14">
        <f>IF(G1371&lt;15,"Low Variability",IF(G1371&lt;=35,"Moderate Variability","High Variability"))</f>
        <v/>
      </c>
      <c r="I1371" s="18">
        <f>'Raw Data'!O1371</f>
        <v/>
      </c>
      <c r="J1371" s="14">
        <f>IF(I1371=0,"No Flood",IF(I1371&lt;=0.5,"Low",IF(I1371&lt;=2,"Moderate","High")))</f>
        <v/>
      </c>
    </row>
    <row r="1372" ht="15" customHeight="1" s="12">
      <c r="A1372" s="14">
        <f>'Raw Data'!A1372</f>
        <v/>
      </c>
      <c r="B1372" s="14">
        <f>'Raw Data'!B1372</f>
        <v/>
      </c>
      <c r="C1372" s="14">
        <f>'Raw Data'!C1372</f>
        <v/>
      </c>
      <c r="D1372" s="15">
        <f>'Raw Data'!M1372</f>
        <v/>
      </c>
      <c r="E1372" s="18">
        <f>'Raw Data'!M1372/'Raw Data'!L1372*100</f>
        <v/>
      </c>
      <c r="F1372" s="14">
        <f>IF(E1372&gt;15,"Wet Year",IF(E1372&lt;-15,"Dry Year","Normal Year"))</f>
        <v/>
      </c>
      <c r="G1372" s="16">
        <f>'Raw Data'!I1372</f>
        <v/>
      </c>
      <c r="H1372" s="14">
        <f>IF(G1372&lt;15,"Low Variability",IF(G1372&lt;=35,"Moderate Variability","High Variability"))</f>
        <v/>
      </c>
      <c r="I1372" s="18">
        <f>'Raw Data'!O1372</f>
        <v/>
      </c>
      <c r="J1372" s="14">
        <f>IF(I1372=0,"No Flood",IF(I1372&lt;=0.5,"Low",IF(I1372&lt;=2,"Moderate","High")))</f>
        <v/>
      </c>
    </row>
    <row r="1373" ht="15" customHeight="1" s="12">
      <c r="A1373" s="14">
        <f>'Raw Data'!A1373</f>
        <v/>
      </c>
      <c r="B1373" s="14">
        <f>'Raw Data'!B1373</f>
        <v/>
      </c>
      <c r="C1373" s="14">
        <f>'Raw Data'!C1373</f>
        <v/>
      </c>
      <c r="D1373" s="15">
        <f>'Raw Data'!M1373</f>
        <v/>
      </c>
      <c r="E1373" s="18">
        <f>'Raw Data'!M1373/'Raw Data'!L1373*100</f>
        <v/>
      </c>
      <c r="F1373" s="14">
        <f>IF(E1373&gt;15,"Wet Year",IF(E1373&lt;-15,"Dry Year","Normal Year"))</f>
        <v/>
      </c>
      <c r="G1373" s="16">
        <f>'Raw Data'!I1373</f>
        <v/>
      </c>
      <c r="H1373" s="14">
        <f>IF(G1373&lt;15,"Low Variability",IF(G1373&lt;=35,"Moderate Variability","High Variability"))</f>
        <v/>
      </c>
      <c r="I1373" s="18">
        <f>'Raw Data'!O1373</f>
        <v/>
      </c>
      <c r="J1373" s="14">
        <f>IF(I1373=0,"No Flood",IF(I1373&lt;=0.5,"Low",IF(I1373&lt;=2,"Moderate","High")))</f>
        <v/>
      </c>
    </row>
    <row r="1374" ht="15" customHeight="1" s="12">
      <c r="A1374" s="14">
        <f>'Raw Data'!A1374</f>
        <v/>
      </c>
      <c r="B1374" s="14">
        <f>'Raw Data'!B1374</f>
        <v/>
      </c>
      <c r="C1374" s="14">
        <f>'Raw Data'!C1374</f>
        <v/>
      </c>
      <c r="D1374" s="15">
        <f>'Raw Data'!M1374</f>
        <v/>
      </c>
      <c r="E1374" s="18">
        <f>'Raw Data'!M1374/'Raw Data'!L1374*100</f>
        <v/>
      </c>
      <c r="F1374" s="14">
        <f>IF(E1374&gt;15,"Wet Year",IF(E1374&lt;-15,"Dry Year","Normal Year"))</f>
        <v/>
      </c>
      <c r="G1374" s="16">
        <f>'Raw Data'!I1374</f>
        <v/>
      </c>
      <c r="H1374" s="14">
        <f>IF(G1374&lt;15,"Low Variability",IF(G1374&lt;=35,"Moderate Variability","High Variability"))</f>
        <v/>
      </c>
      <c r="I1374" s="18">
        <f>'Raw Data'!O1374</f>
        <v/>
      </c>
      <c r="J1374" s="14">
        <f>IF(I1374=0,"No Flood",IF(I1374&lt;=0.5,"Low",IF(I1374&lt;=2,"Moderate","High")))</f>
        <v/>
      </c>
    </row>
    <row r="1375" ht="15" customHeight="1" s="12">
      <c r="A1375" s="14">
        <f>'Raw Data'!A1375</f>
        <v/>
      </c>
      <c r="B1375" s="14">
        <f>'Raw Data'!B1375</f>
        <v/>
      </c>
      <c r="C1375" s="14">
        <f>'Raw Data'!C1375</f>
        <v/>
      </c>
      <c r="D1375" s="15">
        <f>'Raw Data'!M1375</f>
        <v/>
      </c>
      <c r="E1375" s="18">
        <f>'Raw Data'!M1375/'Raw Data'!L1375*100</f>
        <v/>
      </c>
      <c r="F1375" s="14">
        <f>IF(E1375&gt;15,"Wet Year",IF(E1375&lt;-15,"Dry Year","Normal Year"))</f>
        <v/>
      </c>
      <c r="G1375" s="16">
        <f>'Raw Data'!I1375</f>
        <v/>
      </c>
      <c r="H1375" s="14">
        <f>IF(G1375&lt;15,"Low Variability",IF(G1375&lt;=35,"Moderate Variability","High Variability"))</f>
        <v/>
      </c>
      <c r="I1375" s="18">
        <f>'Raw Data'!O1375</f>
        <v/>
      </c>
      <c r="J1375" s="14">
        <f>IF(I1375=0,"No Flood",IF(I1375&lt;=0.5,"Low",IF(I1375&lt;=2,"Moderate","High")))</f>
        <v/>
      </c>
    </row>
    <row r="1376" ht="15" customHeight="1" s="12">
      <c r="A1376" s="14">
        <f>'Raw Data'!A1376</f>
        <v/>
      </c>
      <c r="B1376" s="14">
        <f>'Raw Data'!B1376</f>
        <v/>
      </c>
      <c r="C1376" s="14">
        <f>'Raw Data'!C1376</f>
        <v/>
      </c>
      <c r="D1376" s="15">
        <f>'Raw Data'!M1376</f>
        <v/>
      </c>
      <c r="E1376" s="18">
        <f>'Raw Data'!M1376/'Raw Data'!L1376*100</f>
        <v/>
      </c>
      <c r="F1376" s="14">
        <f>IF(E1376&gt;15,"Wet Year",IF(E1376&lt;-15,"Dry Year","Normal Year"))</f>
        <v/>
      </c>
      <c r="G1376" s="16">
        <f>'Raw Data'!I1376</f>
        <v/>
      </c>
      <c r="H1376" s="14">
        <f>IF(G1376&lt;15,"Low Variability",IF(G1376&lt;=35,"Moderate Variability","High Variability"))</f>
        <v/>
      </c>
      <c r="I1376" s="18">
        <f>'Raw Data'!O1376</f>
        <v/>
      </c>
      <c r="J1376" s="14">
        <f>IF(I1376=0,"No Flood",IF(I1376&lt;=0.5,"Low",IF(I1376&lt;=2,"Moderate","High")))</f>
        <v/>
      </c>
    </row>
    <row r="1377" ht="15" customHeight="1" s="12">
      <c r="A1377" s="14">
        <f>'Raw Data'!A1377</f>
        <v/>
      </c>
      <c r="B1377" s="14">
        <f>'Raw Data'!B1377</f>
        <v/>
      </c>
      <c r="C1377" s="14">
        <f>'Raw Data'!C1377</f>
        <v/>
      </c>
      <c r="D1377" s="15">
        <f>'Raw Data'!M1377</f>
        <v/>
      </c>
      <c r="E1377" s="18">
        <f>'Raw Data'!M1377/'Raw Data'!L1377*100</f>
        <v/>
      </c>
      <c r="F1377" s="14">
        <f>IF(E1377&gt;15,"Wet Year",IF(E1377&lt;-15,"Dry Year","Normal Year"))</f>
        <v/>
      </c>
      <c r="G1377" s="16">
        <f>'Raw Data'!I1377</f>
        <v/>
      </c>
      <c r="H1377" s="14">
        <f>IF(G1377&lt;15,"Low Variability",IF(G1377&lt;=35,"Moderate Variability","High Variability"))</f>
        <v/>
      </c>
      <c r="I1377" s="18">
        <f>'Raw Data'!O1377</f>
        <v/>
      </c>
      <c r="J1377" s="14">
        <f>IF(I1377=0,"No Flood",IF(I1377&lt;=0.5,"Low",IF(I1377&lt;=2,"Moderate","High")))</f>
        <v/>
      </c>
    </row>
    <row r="1378" ht="15" customHeight="1" s="12">
      <c r="A1378" s="14">
        <f>'Raw Data'!A1378</f>
        <v/>
      </c>
      <c r="B1378" s="14">
        <f>'Raw Data'!B1378</f>
        <v/>
      </c>
      <c r="C1378" s="14">
        <f>'Raw Data'!C1378</f>
        <v/>
      </c>
      <c r="D1378" s="15">
        <f>'Raw Data'!M1378</f>
        <v/>
      </c>
      <c r="E1378" s="18">
        <f>'Raw Data'!M1378/'Raw Data'!L1378*100</f>
        <v/>
      </c>
      <c r="F1378" s="14">
        <f>IF(E1378&gt;15,"Wet Year",IF(E1378&lt;-15,"Dry Year","Normal Year"))</f>
        <v/>
      </c>
      <c r="G1378" s="16">
        <f>'Raw Data'!I1378</f>
        <v/>
      </c>
      <c r="H1378" s="14">
        <f>IF(G1378&lt;15,"Low Variability",IF(G1378&lt;=35,"Moderate Variability","High Variability"))</f>
        <v/>
      </c>
      <c r="I1378" s="18">
        <f>'Raw Data'!O1378</f>
        <v/>
      </c>
      <c r="J1378" s="14">
        <f>IF(I1378=0,"No Flood",IF(I1378&lt;=0.5,"Low",IF(I1378&lt;=2,"Moderate","High")))</f>
        <v/>
      </c>
    </row>
    <row r="1379" ht="15" customHeight="1" s="12">
      <c r="A1379" s="14">
        <f>'Raw Data'!A1379</f>
        <v/>
      </c>
      <c r="B1379" s="14">
        <f>'Raw Data'!B1379</f>
        <v/>
      </c>
      <c r="C1379" s="14">
        <f>'Raw Data'!C1379</f>
        <v/>
      </c>
      <c r="D1379" s="15">
        <f>'Raw Data'!M1379</f>
        <v/>
      </c>
      <c r="E1379" s="18">
        <f>'Raw Data'!M1379/'Raw Data'!L1379*100</f>
        <v/>
      </c>
      <c r="F1379" s="14">
        <f>IF(E1379&gt;15,"Wet Year",IF(E1379&lt;-15,"Dry Year","Normal Year"))</f>
        <v/>
      </c>
      <c r="G1379" s="16">
        <f>'Raw Data'!I1379</f>
        <v/>
      </c>
      <c r="H1379" s="14">
        <f>IF(G1379&lt;15,"Low Variability",IF(G1379&lt;=35,"Moderate Variability","High Variability"))</f>
        <v/>
      </c>
      <c r="I1379" s="18">
        <f>'Raw Data'!O1379</f>
        <v/>
      </c>
      <c r="J1379" s="14">
        <f>IF(I1379=0,"No Flood",IF(I1379&lt;=0.5,"Low",IF(I1379&lt;=2,"Moderate","High")))</f>
        <v/>
      </c>
    </row>
    <row r="1380" ht="15" customHeight="1" s="12">
      <c r="A1380" s="14">
        <f>'Raw Data'!A1380</f>
        <v/>
      </c>
      <c r="B1380" s="14">
        <f>'Raw Data'!B1380</f>
        <v/>
      </c>
      <c r="C1380" s="14">
        <f>'Raw Data'!C1380</f>
        <v/>
      </c>
      <c r="D1380" s="15">
        <f>'Raw Data'!M1380</f>
        <v/>
      </c>
      <c r="E1380" s="18">
        <f>'Raw Data'!M1380/'Raw Data'!L1380*100</f>
        <v/>
      </c>
      <c r="F1380" s="14">
        <f>IF(E1380&gt;15,"Wet Year",IF(E1380&lt;-15,"Dry Year","Normal Year"))</f>
        <v/>
      </c>
      <c r="G1380" s="16">
        <f>'Raw Data'!I1380</f>
        <v/>
      </c>
      <c r="H1380" s="14">
        <f>IF(G1380&lt;15,"Low Variability",IF(G1380&lt;=35,"Moderate Variability","High Variability"))</f>
        <v/>
      </c>
      <c r="I1380" s="18">
        <f>'Raw Data'!O1380</f>
        <v/>
      </c>
      <c r="J1380" s="14">
        <f>IF(I1380=0,"No Flood",IF(I1380&lt;=0.5,"Low",IF(I1380&lt;=2,"Moderate","High")))</f>
        <v/>
      </c>
    </row>
    <row r="1381" ht="15" customHeight="1" s="12">
      <c r="A1381" s="14">
        <f>'Raw Data'!A1381</f>
        <v/>
      </c>
      <c r="B1381" s="14">
        <f>'Raw Data'!B1381</f>
        <v/>
      </c>
      <c r="C1381" s="14">
        <f>'Raw Data'!C1381</f>
        <v/>
      </c>
      <c r="D1381" s="15">
        <f>'Raw Data'!M1381</f>
        <v/>
      </c>
      <c r="E1381" s="18">
        <f>'Raw Data'!M1381/'Raw Data'!L1381*100</f>
        <v/>
      </c>
      <c r="F1381" s="14">
        <f>IF(E1381&gt;15,"Wet Year",IF(E1381&lt;-15,"Dry Year","Normal Year"))</f>
        <v/>
      </c>
      <c r="G1381" s="16">
        <f>'Raw Data'!I1381</f>
        <v/>
      </c>
      <c r="H1381" s="14">
        <f>IF(G1381&lt;15,"Low Variability",IF(G1381&lt;=35,"Moderate Variability","High Variability"))</f>
        <v/>
      </c>
      <c r="I1381" s="18">
        <f>'Raw Data'!O1381</f>
        <v/>
      </c>
      <c r="J1381" s="14">
        <f>IF(I1381=0,"No Flood",IF(I1381&lt;=0.5,"Low",IF(I1381&lt;=2,"Moderate","High")))</f>
        <v/>
      </c>
    </row>
    <row r="1382" ht="15" customHeight="1" s="12">
      <c r="A1382" s="14">
        <f>'Raw Data'!A1382</f>
        <v/>
      </c>
      <c r="B1382" s="14">
        <f>'Raw Data'!B1382</f>
        <v/>
      </c>
      <c r="C1382" s="14">
        <f>'Raw Data'!C1382</f>
        <v/>
      </c>
      <c r="D1382" s="15">
        <f>'Raw Data'!M1382</f>
        <v/>
      </c>
      <c r="E1382" s="18">
        <f>'Raw Data'!M1382/'Raw Data'!L1382*100</f>
        <v/>
      </c>
      <c r="F1382" s="14">
        <f>IF(E1382&gt;15,"Wet Year",IF(E1382&lt;-15,"Dry Year","Normal Year"))</f>
        <v/>
      </c>
      <c r="G1382" s="16">
        <f>'Raw Data'!I1382</f>
        <v/>
      </c>
      <c r="H1382" s="14">
        <f>IF(G1382&lt;15,"Low Variability",IF(G1382&lt;=35,"Moderate Variability","High Variability"))</f>
        <v/>
      </c>
      <c r="I1382" s="18">
        <f>'Raw Data'!O1382</f>
        <v/>
      </c>
      <c r="J1382" s="14">
        <f>IF(I1382=0,"No Flood",IF(I1382&lt;=0.5,"Low",IF(I1382&lt;=2,"Moderate","High")))</f>
        <v/>
      </c>
    </row>
    <row r="1383" ht="15" customHeight="1" s="12">
      <c r="A1383" s="14">
        <f>'Raw Data'!A1383</f>
        <v/>
      </c>
      <c r="B1383" s="14">
        <f>'Raw Data'!B1383</f>
        <v/>
      </c>
      <c r="C1383" s="14">
        <f>'Raw Data'!C1383</f>
        <v/>
      </c>
      <c r="D1383" s="15">
        <f>'Raw Data'!M1383</f>
        <v/>
      </c>
      <c r="E1383" s="18">
        <f>'Raw Data'!M1383/'Raw Data'!L1383*100</f>
        <v/>
      </c>
      <c r="F1383" s="14">
        <f>IF(E1383&gt;15,"Wet Year",IF(E1383&lt;-15,"Dry Year","Normal Year"))</f>
        <v/>
      </c>
      <c r="G1383" s="16">
        <f>'Raw Data'!I1383</f>
        <v/>
      </c>
      <c r="H1383" s="14">
        <f>IF(G1383&lt;15,"Low Variability",IF(G1383&lt;=35,"Moderate Variability","High Variability"))</f>
        <v/>
      </c>
      <c r="I1383" s="18">
        <f>'Raw Data'!O1383</f>
        <v/>
      </c>
      <c r="J1383" s="14">
        <f>IF(I1383=0,"No Flood",IF(I1383&lt;=0.5,"Low",IF(I1383&lt;=2,"Moderate","High")))</f>
        <v/>
      </c>
    </row>
    <row r="1384" ht="15" customHeight="1" s="12">
      <c r="A1384" s="14">
        <f>'Raw Data'!A1384</f>
        <v/>
      </c>
      <c r="B1384" s="14">
        <f>'Raw Data'!B1384</f>
        <v/>
      </c>
      <c r="C1384" s="14">
        <f>'Raw Data'!C1384</f>
        <v/>
      </c>
      <c r="D1384" s="15">
        <f>'Raw Data'!M1384</f>
        <v/>
      </c>
      <c r="E1384" s="18">
        <f>'Raw Data'!M1384/'Raw Data'!L1384*100</f>
        <v/>
      </c>
      <c r="F1384" s="14">
        <f>IF(E1384&gt;15,"Wet Year",IF(E1384&lt;-15,"Dry Year","Normal Year"))</f>
        <v/>
      </c>
      <c r="G1384" s="16">
        <f>'Raw Data'!I1384</f>
        <v/>
      </c>
      <c r="H1384" s="14">
        <f>IF(G1384&lt;15,"Low Variability",IF(G1384&lt;=35,"Moderate Variability","High Variability"))</f>
        <v/>
      </c>
      <c r="I1384" s="18">
        <f>'Raw Data'!O1384</f>
        <v/>
      </c>
      <c r="J1384" s="14">
        <f>IF(I1384=0,"No Flood",IF(I1384&lt;=0.5,"Low",IF(I1384&lt;=2,"Moderate","High")))</f>
        <v/>
      </c>
    </row>
    <row r="1385" ht="15" customHeight="1" s="12">
      <c r="A1385" s="14">
        <f>'Raw Data'!A1385</f>
        <v/>
      </c>
      <c r="B1385" s="14">
        <f>'Raw Data'!B1385</f>
        <v/>
      </c>
      <c r="C1385" s="14">
        <f>'Raw Data'!C1385</f>
        <v/>
      </c>
      <c r="D1385" s="15">
        <f>'Raw Data'!M1385</f>
        <v/>
      </c>
      <c r="E1385" s="18">
        <f>'Raw Data'!M1385/'Raw Data'!L1385*100</f>
        <v/>
      </c>
      <c r="F1385" s="14">
        <f>IF(E1385&gt;15,"Wet Year",IF(E1385&lt;-15,"Dry Year","Normal Year"))</f>
        <v/>
      </c>
      <c r="G1385" s="16">
        <f>'Raw Data'!I1385</f>
        <v/>
      </c>
      <c r="H1385" s="14">
        <f>IF(G1385&lt;15,"Low Variability",IF(G1385&lt;=35,"Moderate Variability","High Variability"))</f>
        <v/>
      </c>
      <c r="I1385" s="18">
        <f>'Raw Data'!O1385</f>
        <v/>
      </c>
      <c r="J1385" s="14">
        <f>IF(I1385=0,"No Flood",IF(I1385&lt;=0.5,"Low",IF(I1385&lt;=2,"Moderate","High")))</f>
        <v/>
      </c>
    </row>
    <row r="1386" ht="15" customHeight="1" s="12">
      <c r="A1386" s="14">
        <f>'Raw Data'!A1386</f>
        <v/>
      </c>
      <c r="B1386" s="14">
        <f>'Raw Data'!B1386</f>
        <v/>
      </c>
      <c r="C1386" s="14">
        <f>'Raw Data'!C1386</f>
        <v/>
      </c>
      <c r="D1386" s="15">
        <f>'Raw Data'!M1386</f>
        <v/>
      </c>
      <c r="E1386" s="18">
        <f>'Raw Data'!M1386/'Raw Data'!L1386*100</f>
        <v/>
      </c>
      <c r="F1386" s="14">
        <f>IF(E1386&gt;15,"Wet Year",IF(E1386&lt;-15,"Dry Year","Normal Year"))</f>
        <v/>
      </c>
      <c r="G1386" s="16">
        <f>'Raw Data'!I1386</f>
        <v/>
      </c>
      <c r="H1386" s="14">
        <f>IF(G1386&lt;15,"Low Variability",IF(G1386&lt;=35,"Moderate Variability","High Variability"))</f>
        <v/>
      </c>
      <c r="I1386" s="18">
        <f>'Raw Data'!O1386</f>
        <v/>
      </c>
      <c r="J1386" s="14">
        <f>IF(I1386=0,"No Flood",IF(I1386&lt;=0.5,"Low",IF(I1386&lt;=2,"Moderate","High")))</f>
        <v/>
      </c>
    </row>
    <row r="1387" ht="15" customHeight="1" s="12">
      <c r="A1387" s="14">
        <f>'Raw Data'!A1387</f>
        <v/>
      </c>
      <c r="B1387" s="14">
        <f>'Raw Data'!B1387</f>
        <v/>
      </c>
      <c r="C1387" s="14">
        <f>'Raw Data'!C1387</f>
        <v/>
      </c>
      <c r="D1387" s="15">
        <f>'Raw Data'!M1387</f>
        <v/>
      </c>
      <c r="E1387" s="18">
        <f>'Raw Data'!M1387/'Raw Data'!L1387*100</f>
        <v/>
      </c>
      <c r="F1387" s="14">
        <f>IF(E1387&gt;15,"Wet Year",IF(E1387&lt;-15,"Dry Year","Normal Year"))</f>
        <v/>
      </c>
      <c r="G1387" s="16">
        <f>'Raw Data'!I1387</f>
        <v/>
      </c>
      <c r="H1387" s="14">
        <f>IF(G1387&lt;15,"Low Variability",IF(G1387&lt;=35,"Moderate Variability","High Variability"))</f>
        <v/>
      </c>
      <c r="I1387" s="18">
        <f>'Raw Data'!O1387</f>
        <v/>
      </c>
      <c r="J1387" s="14">
        <f>IF(I1387=0,"No Flood",IF(I1387&lt;=0.5,"Low",IF(I1387&lt;=2,"Moderate","High")))</f>
        <v/>
      </c>
    </row>
    <row r="1388" ht="15" customHeight="1" s="12">
      <c r="A1388" s="14">
        <f>'Raw Data'!A1388</f>
        <v/>
      </c>
      <c r="B1388" s="14">
        <f>'Raw Data'!B1388</f>
        <v/>
      </c>
      <c r="C1388" s="14">
        <f>'Raw Data'!C1388</f>
        <v/>
      </c>
      <c r="D1388" s="15">
        <f>'Raw Data'!M1388</f>
        <v/>
      </c>
      <c r="E1388" s="18">
        <f>'Raw Data'!M1388/'Raw Data'!L1388*100</f>
        <v/>
      </c>
      <c r="F1388" s="14">
        <f>IF(E1388&gt;15,"Wet Year",IF(E1388&lt;-15,"Dry Year","Normal Year"))</f>
        <v/>
      </c>
      <c r="G1388" s="16">
        <f>'Raw Data'!I1388</f>
        <v/>
      </c>
      <c r="H1388" s="14">
        <f>IF(G1388&lt;15,"Low Variability",IF(G1388&lt;=35,"Moderate Variability","High Variability"))</f>
        <v/>
      </c>
      <c r="I1388" s="18">
        <f>'Raw Data'!O1388</f>
        <v/>
      </c>
      <c r="J1388" s="14">
        <f>IF(I1388=0,"No Flood",IF(I1388&lt;=0.5,"Low",IF(I1388&lt;=2,"Moderate","High")))</f>
        <v/>
      </c>
    </row>
    <row r="1389" ht="15" customHeight="1" s="12">
      <c r="A1389" s="14">
        <f>'Raw Data'!A1389</f>
        <v/>
      </c>
      <c r="B1389" s="14">
        <f>'Raw Data'!B1389</f>
        <v/>
      </c>
      <c r="C1389" s="14">
        <f>'Raw Data'!C1389</f>
        <v/>
      </c>
      <c r="D1389" s="15">
        <f>'Raw Data'!M1389</f>
        <v/>
      </c>
      <c r="E1389" s="18">
        <f>'Raw Data'!M1389/'Raw Data'!L1389*100</f>
        <v/>
      </c>
      <c r="F1389" s="14">
        <f>IF(E1389&gt;15,"Wet Year",IF(E1389&lt;-15,"Dry Year","Normal Year"))</f>
        <v/>
      </c>
      <c r="G1389" s="16">
        <f>'Raw Data'!I1389</f>
        <v/>
      </c>
      <c r="H1389" s="14">
        <f>IF(G1389&lt;15,"Low Variability",IF(G1389&lt;=35,"Moderate Variability","High Variability"))</f>
        <v/>
      </c>
      <c r="I1389" s="18">
        <f>'Raw Data'!O1389</f>
        <v/>
      </c>
      <c r="J1389" s="14">
        <f>IF(I1389=0,"No Flood",IF(I1389&lt;=0.5,"Low",IF(I1389&lt;=2,"Moderate","High")))</f>
        <v/>
      </c>
    </row>
    <row r="1390" ht="15" customHeight="1" s="12">
      <c r="A1390" s="14">
        <f>'Raw Data'!A1390</f>
        <v/>
      </c>
      <c r="B1390" s="14">
        <f>'Raw Data'!B1390</f>
        <v/>
      </c>
      <c r="C1390" s="14">
        <f>'Raw Data'!C1390</f>
        <v/>
      </c>
      <c r="D1390" s="15">
        <f>'Raw Data'!M1390</f>
        <v/>
      </c>
      <c r="E1390" s="18">
        <f>'Raw Data'!M1390/'Raw Data'!L1390*100</f>
        <v/>
      </c>
      <c r="F1390" s="14">
        <f>IF(E1390&gt;15,"Wet Year",IF(E1390&lt;-15,"Dry Year","Normal Year"))</f>
        <v/>
      </c>
      <c r="G1390" s="16">
        <f>'Raw Data'!I1390</f>
        <v/>
      </c>
      <c r="H1390" s="14">
        <f>IF(G1390&lt;15,"Low Variability",IF(G1390&lt;=35,"Moderate Variability","High Variability"))</f>
        <v/>
      </c>
      <c r="I1390" s="18">
        <f>'Raw Data'!O1390</f>
        <v/>
      </c>
      <c r="J1390" s="14">
        <f>IF(I1390=0,"No Flood",IF(I1390&lt;=0.5,"Low",IF(I1390&lt;=2,"Moderate","High")))</f>
        <v/>
      </c>
    </row>
    <row r="1391" ht="15" customHeight="1" s="12">
      <c r="A1391" s="14">
        <f>'Raw Data'!A1391</f>
        <v/>
      </c>
      <c r="B1391" s="14">
        <f>'Raw Data'!B1391</f>
        <v/>
      </c>
      <c r="C1391" s="14">
        <f>'Raw Data'!C1391</f>
        <v/>
      </c>
      <c r="D1391" s="15">
        <f>'Raw Data'!M1391</f>
        <v/>
      </c>
      <c r="E1391" s="18">
        <f>'Raw Data'!M1391/'Raw Data'!L1391*100</f>
        <v/>
      </c>
      <c r="F1391" s="14">
        <f>IF(E1391&gt;15,"Wet Year",IF(E1391&lt;-15,"Dry Year","Normal Year"))</f>
        <v/>
      </c>
      <c r="G1391" s="16">
        <f>'Raw Data'!I1391</f>
        <v/>
      </c>
      <c r="H1391" s="14">
        <f>IF(G1391&lt;15,"Low Variability",IF(G1391&lt;=35,"Moderate Variability","High Variability"))</f>
        <v/>
      </c>
      <c r="I1391" s="18">
        <f>'Raw Data'!O1391</f>
        <v/>
      </c>
      <c r="J1391" s="14">
        <f>IF(I1391=0,"No Flood",IF(I1391&lt;=0.5,"Low",IF(I1391&lt;=2,"Moderate","High")))</f>
        <v/>
      </c>
    </row>
    <row r="1392" ht="15" customHeight="1" s="12">
      <c r="A1392" s="14">
        <f>'Raw Data'!A1392</f>
        <v/>
      </c>
      <c r="B1392" s="14">
        <f>'Raw Data'!B1392</f>
        <v/>
      </c>
      <c r="C1392" s="14">
        <f>'Raw Data'!C1392</f>
        <v/>
      </c>
      <c r="D1392" s="15">
        <f>'Raw Data'!M1392</f>
        <v/>
      </c>
      <c r="E1392" s="18">
        <f>'Raw Data'!M1392/'Raw Data'!L1392*100</f>
        <v/>
      </c>
      <c r="F1392" s="14">
        <f>IF(E1392&gt;15,"Wet Year",IF(E1392&lt;-15,"Dry Year","Normal Year"))</f>
        <v/>
      </c>
      <c r="G1392" s="16">
        <f>'Raw Data'!I1392</f>
        <v/>
      </c>
      <c r="H1392" s="14">
        <f>IF(G1392&lt;15,"Low Variability",IF(G1392&lt;=35,"Moderate Variability","High Variability"))</f>
        <v/>
      </c>
      <c r="I1392" s="18">
        <f>'Raw Data'!O1392</f>
        <v/>
      </c>
      <c r="J1392" s="14">
        <f>IF(I1392=0,"No Flood",IF(I1392&lt;=0.5,"Low",IF(I1392&lt;=2,"Moderate","High")))</f>
        <v/>
      </c>
    </row>
    <row r="1393" ht="15" customHeight="1" s="12">
      <c r="A1393" s="14">
        <f>'Raw Data'!A1393</f>
        <v/>
      </c>
      <c r="B1393" s="14">
        <f>'Raw Data'!B1393</f>
        <v/>
      </c>
      <c r="C1393" s="14">
        <f>'Raw Data'!C1393</f>
        <v/>
      </c>
      <c r="D1393" s="15">
        <f>'Raw Data'!M1393</f>
        <v/>
      </c>
      <c r="E1393" s="18">
        <f>'Raw Data'!M1393/'Raw Data'!L1393*100</f>
        <v/>
      </c>
      <c r="F1393" s="14">
        <f>IF(E1393&gt;15,"Wet Year",IF(E1393&lt;-15,"Dry Year","Normal Year"))</f>
        <v/>
      </c>
      <c r="G1393" s="16">
        <f>'Raw Data'!I1393</f>
        <v/>
      </c>
      <c r="H1393" s="14">
        <f>IF(G1393&lt;15,"Low Variability",IF(G1393&lt;=35,"Moderate Variability","High Variability"))</f>
        <v/>
      </c>
      <c r="I1393" s="18">
        <f>'Raw Data'!O1393</f>
        <v/>
      </c>
      <c r="J1393" s="14">
        <f>IF(I1393=0,"No Flood",IF(I1393&lt;=0.5,"Low",IF(I1393&lt;=2,"Moderate","High")))</f>
        <v/>
      </c>
    </row>
    <row r="1394" ht="15" customHeight="1" s="12">
      <c r="A1394" s="14">
        <f>'Raw Data'!A1394</f>
        <v/>
      </c>
      <c r="B1394" s="14">
        <f>'Raw Data'!B1394</f>
        <v/>
      </c>
      <c r="C1394" s="14">
        <f>'Raw Data'!C1394</f>
        <v/>
      </c>
      <c r="D1394" s="15">
        <f>'Raw Data'!M1394</f>
        <v/>
      </c>
      <c r="E1394" s="18">
        <f>'Raw Data'!M1394/'Raw Data'!L1394*100</f>
        <v/>
      </c>
      <c r="F1394" s="14">
        <f>IF(E1394&gt;15,"Wet Year",IF(E1394&lt;-15,"Dry Year","Normal Year"))</f>
        <v/>
      </c>
      <c r="G1394" s="16">
        <f>'Raw Data'!I1394</f>
        <v/>
      </c>
      <c r="H1394" s="14">
        <f>IF(G1394&lt;15,"Low Variability",IF(G1394&lt;=35,"Moderate Variability","High Variability"))</f>
        <v/>
      </c>
      <c r="I1394" s="18">
        <f>'Raw Data'!O1394</f>
        <v/>
      </c>
      <c r="J1394" s="14">
        <f>IF(I1394=0,"No Flood",IF(I1394&lt;=0.5,"Low",IF(I1394&lt;=2,"Moderate","High")))</f>
        <v/>
      </c>
    </row>
    <row r="1395" ht="15" customHeight="1" s="12">
      <c r="A1395" s="14">
        <f>'Raw Data'!A1395</f>
        <v/>
      </c>
      <c r="B1395" s="14">
        <f>'Raw Data'!B1395</f>
        <v/>
      </c>
      <c r="C1395" s="14">
        <f>'Raw Data'!C1395</f>
        <v/>
      </c>
      <c r="D1395" s="15">
        <f>'Raw Data'!M1395</f>
        <v/>
      </c>
      <c r="E1395" s="18">
        <f>'Raw Data'!M1395/'Raw Data'!L1395*100</f>
        <v/>
      </c>
      <c r="F1395" s="14">
        <f>IF(E1395&gt;15,"Wet Year",IF(E1395&lt;-15,"Dry Year","Normal Year"))</f>
        <v/>
      </c>
      <c r="G1395" s="16">
        <f>'Raw Data'!I1395</f>
        <v/>
      </c>
      <c r="H1395" s="14">
        <f>IF(G1395&lt;15,"Low Variability",IF(G1395&lt;=35,"Moderate Variability","High Variability"))</f>
        <v/>
      </c>
      <c r="I1395" s="18">
        <f>'Raw Data'!O1395</f>
        <v/>
      </c>
      <c r="J1395" s="14">
        <f>IF(I1395=0,"No Flood",IF(I1395&lt;=0.5,"Low",IF(I1395&lt;=2,"Moderate","High")))</f>
        <v/>
      </c>
    </row>
    <row r="1396" ht="15" customHeight="1" s="12">
      <c r="A1396" s="14">
        <f>'Raw Data'!A1396</f>
        <v/>
      </c>
      <c r="B1396" s="14">
        <f>'Raw Data'!B1396</f>
        <v/>
      </c>
      <c r="C1396" s="14">
        <f>'Raw Data'!C1396</f>
        <v/>
      </c>
      <c r="D1396" s="15">
        <f>'Raw Data'!M1396</f>
        <v/>
      </c>
      <c r="E1396" s="18">
        <f>'Raw Data'!M1396/'Raw Data'!L1396*100</f>
        <v/>
      </c>
      <c r="F1396" s="14">
        <f>IF(E1396&gt;15,"Wet Year",IF(E1396&lt;-15,"Dry Year","Normal Year"))</f>
        <v/>
      </c>
      <c r="G1396" s="16">
        <f>'Raw Data'!I1396</f>
        <v/>
      </c>
      <c r="H1396" s="14">
        <f>IF(G1396&lt;15,"Low Variability",IF(G1396&lt;=35,"Moderate Variability","High Variability"))</f>
        <v/>
      </c>
      <c r="I1396" s="18">
        <f>'Raw Data'!O1396</f>
        <v/>
      </c>
      <c r="J1396" s="14">
        <f>IF(I1396=0,"No Flood",IF(I1396&lt;=0.5,"Low",IF(I1396&lt;=2,"Moderate","High")))</f>
        <v/>
      </c>
    </row>
    <row r="1397" ht="15" customHeight="1" s="12">
      <c r="A1397" s="14">
        <f>'Raw Data'!A1397</f>
        <v/>
      </c>
      <c r="B1397" s="14">
        <f>'Raw Data'!B1397</f>
        <v/>
      </c>
      <c r="C1397" s="14">
        <f>'Raw Data'!C1397</f>
        <v/>
      </c>
      <c r="D1397" s="15">
        <f>'Raw Data'!M1397</f>
        <v/>
      </c>
      <c r="E1397" s="18">
        <f>'Raw Data'!M1397/'Raw Data'!L1397*100</f>
        <v/>
      </c>
      <c r="F1397" s="14">
        <f>IF(E1397&gt;15,"Wet Year",IF(E1397&lt;-15,"Dry Year","Normal Year"))</f>
        <v/>
      </c>
      <c r="G1397" s="16">
        <f>'Raw Data'!I1397</f>
        <v/>
      </c>
      <c r="H1397" s="14">
        <f>IF(G1397&lt;15,"Low Variability",IF(G1397&lt;=35,"Moderate Variability","High Variability"))</f>
        <v/>
      </c>
      <c r="I1397" s="18">
        <f>'Raw Data'!O1397</f>
        <v/>
      </c>
      <c r="J1397" s="14">
        <f>IF(I1397=0,"No Flood",IF(I1397&lt;=0.5,"Low",IF(I1397&lt;=2,"Moderate","High")))</f>
        <v/>
      </c>
    </row>
    <row r="1398" ht="15" customHeight="1" s="12">
      <c r="A1398" s="14">
        <f>'Raw Data'!A1398</f>
        <v/>
      </c>
      <c r="B1398" s="14">
        <f>'Raw Data'!B1398</f>
        <v/>
      </c>
      <c r="C1398" s="14">
        <f>'Raw Data'!C1398</f>
        <v/>
      </c>
      <c r="D1398" s="15">
        <f>'Raw Data'!M1398</f>
        <v/>
      </c>
      <c r="E1398" s="18">
        <f>'Raw Data'!M1398/'Raw Data'!L1398*100</f>
        <v/>
      </c>
      <c r="F1398" s="14">
        <f>IF(E1398&gt;15,"Wet Year",IF(E1398&lt;-15,"Dry Year","Normal Year"))</f>
        <v/>
      </c>
      <c r="G1398" s="16">
        <f>'Raw Data'!I1398</f>
        <v/>
      </c>
      <c r="H1398" s="14">
        <f>IF(G1398&lt;15,"Low Variability",IF(G1398&lt;=35,"Moderate Variability","High Variability"))</f>
        <v/>
      </c>
      <c r="I1398" s="18">
        <f>'Raw Data'!O1398</f>
        <v/>
      </c>
      <c r="J1398" s="14">
        <f>IF(I1398=0,"No Flood",IF(I1398&lt;=0.5,"Low",IF(I1398&lt;=2,"Moderate","High")))</f>
        <v/>
      </c>
    </row>
    <row r="1399" ht="15" customHeight="1" s="12">
      <c r="A1399" s="14">
        <f>'Raw Data'!A1399</f>
        <v/>
      </c>
      <c r="B1399" s="14">
        <f>'Raw Data'!B1399</f>
        <v/>
      </c>
      <c r="C1399" s="14">
        <f>'Raw Data'!C1399</f>
        <v/>
      </c>
      <c r="D1399" s="15">
        <f>'Raw Data'!M1399</f>
        <v/>
      </c>
      <c r="E1399" s="18">
        <f>'Raw Data'!M1399/'Raw Data'!L1399*100</f>
        <v/>
      </c>
      <c r="F1399" s="14">
        <f>IF(E1399&gt;15,"Wet Year",IF(E1399&lt;-15,"Dry Year","Normal Year"))</f>
        <v/>
      </c>
      <c r="G1399" s="16">
        <f>'Raw Data'!I1399</f>
        <v/>
      </c>
      <c r="H1399" s="14">
        <f>IF(G1399&lt;15,"Low Variability",IF(G1399&lt;=35,"Moderate Variability","High Variability"))</f>
        <v/>
      </c>
      <c r="I1399" s="18">
        <f>'Raw Data'!O1399</f>
        <v/>
      </c>
      <c r="J1399" s="14">
        <f>IF(I1399=0,"No Flood",IF(I1399&lt;=0.5,"Low",IF(I1399&lt;=2,"Moderate","High")))</f>
        <v/>
      </c>
    </row>
    <row r="1400" ht="15" customHeight="1" s="12">
      <c r="A1400" s="14">
        <f>'Raw Data'!A1400</f>
        <v/>
      </c>
      <c r="B1400" s="14">
        <f>'Raw Data'!B1400</f>
        <v/>
      </c>
      <c r="C1400" s="14">
        <f>'Raw Data'!C1400</f>
        <v/>
      </c>
      <c r="D1400" s="15">
        <f>'Raw Data'!M1400</f>
        <v/>
      </c>
      <c r="E1400" s="18">
        <f>'Raw Data'!M1400/'Raw Data'!L1400*100</f>
        <v/>
      </c>
      <c r="F1400" s="14">
        <f>IF(E1400&gt;15,"Wet Year",IF(E1400&lt;-15,"Dry Year","Normal Year"))</f>
        <v/>
      </c>
      <c r="G1400" s="16">
        <f>'Raw Data'!I1400</f>
        <v/>
      </c>
      <c r="H1400" s="14">
        <f>IF(G1400&lt;15,"Low Variability",IF(G1400&lt;=35,"Moderate Variability","High Variability"))</f>
        <v/>
      </c>
      <c r="I1400" s="18">
        <f>'Raw Data'!O1400</f>
        <v/>
      </c>
      <c r="J1400" s="14">
        <f>IF(I1400=0,"No Flood",IF(I1400&lt;=0.5,"Low",IF(I1400&lt;=2,"Moderate","High")))</f>
        <v/>
      </c>
    </row>
    <row r="1401" ht="15" customHeight="1" s="12">
      <c r="A1401" s="14">
        <f>'Raw Data'!A1401</f>
        <v/>
      </c>
      <c r="B1401" s="14">
        <f>'Raw Data'!B1401</f>
        <v/>
      </c>
      <c r="C1401" s="14">
        <f>'Raw Data'!C1401</f>
        <v/>
      </c>
      <c r="D1401" s="15">
        <f>'Raw Data'!M1401</f>
        <v/>
      </c>
      <c r="E1401" s="18">
        <f>'Raw Data'!M1401/'Raw Data'!L1401*100</f>
        <v/>
      </c>
      <c r="F1401" s="14">
        <f>IF(E1401&gt;15,"Wet Year",IF(E1401&lt;-15,"Dry Year","Normal Year"))</f>
        <v/>
      </c>
      <c r="G1401" s="16">
        <f>'Raw Data'!I1401</f>
        <v/>
      </c>
      <c r="H1401" s="14">
        <f>IF(G1401&lt;15,"Low Variability",IF(G1401&lt;=35,"Moderate Variability","High Variability"))</f>
        <v/>
      </c>
      <c r="I1401" s="18">
        <f>'Raw Data'!O1401</f>
        <v/>
      </c>
      <c r="J1401" s="14">
        <f>IF(I1401=0,"No Flood",IF(I1401&lt;=0.5,"Low",IF(I1401&lt;=2,"Moderate","High")))</f>
        <v/>
      </c>
    </row>
    <row r="1402" ht="15" customHeight="1" s="12">
      <c r="A1402" s="14">
        <f>'Raw Data'!A1402</f>
        <v/>
      </c>
      <c r="B1402" s="14">
        <f>'Raw Data'!B1402</f>
        <v/>
      </c>
      <c r="C1402" s="14">
        <f>'Raw Data'!C1402</f>
        <v/>
      </c>
      <c r="D1402" s="15">
        <f>'Raw Data'!M1402</f>
        <v/>
      </c>
      <c r="E1402" s="18">
        <f>'Raw Data'!M1402/'Raw Data'!L1402*100</f>
        <v/>
      </c>
      <c r="F1402" s="14">
        <f>IF(E1402&gt;15,"Wet Year",IF(E1402&lt;-15,"Dry Year","Normal Year"))</f>
        <v/>
      </c>
      <c r="G1402" s="16">
        <f>'Raw Data'!I1402</f>
        <v/>
      </c>
      <c r="H1402" s="14">
        <f>IF(G1402&lt;15,"Low Variability",IF(G1402&lt;=35,"Moderate Variability","High Variability"))</f>
        <v/>
      </c>
      <c r="I1402" s="18">
        <f>'Raw Data'!O1402</f>
        <v/>
      </c>
      <c r="J1402" s="14">
        <f>IF(I1402=0,"No Flood",IF(I1402&lt;=0.5,"Low",IF(I1402&lt;=2,"Moderate","High")))</f>
        <v/>
      </c>
    </row>
    <row r="1403" ht="15" customHeight="1" s="12">
      <c r="A1403" s="14">
        <f>'Raw Data'!A1403</f>
        <v/>
      </c>
      <c r="B1403" s="14">
        <f>'Raw Data'!B1403</f>
        <v/>
      </c>
      <c r="C1403" s="14">
        <f>'Raw Data'!C1403</f>
        <v/>
      </c>
      <c r="D1403" s="15">
        <f>'Raw Data'!M1403</f>
        <v/>
      </c>
      <c r="E1403" s="18">
        <f>'Raw Data'!M1403/'Raw Data'!L1403*100</f>
        <v/>
      </c>
      <c r="F1403" s="14">
        <f>IF(E1403&gt;15,"Wet Year",IF(E1403&lt;-15,"Dry Year","Normal Year"))</f>
        <v/>
      </c>
      <c r="G1403" s="16">
        <f>'Raw Data'!I1403</f>
        <v/>
      </c>
      <c r="H1403" s="14">
        <f>IF(G1403&lt;15,"Low Variability",IF(G1403&lt;=35,"Moderate Variability","High Variability"))</f>
        <v/>
      </c>
      <c r="I1403" s="18">
        <f>'Raw Data'!O1403</f>
        <v/>
      </c>
      <c r="J1403" s="14">
        <f>IF(I1403=0,"No Flood",IF(I1403&lt;=0.5,"Low",IF(I1403&lt;=2,"Moderate","High")))</f>
        <v/>
      </c>
    </row>
    <row r="1404" ht="15" customHeight="1" s="12">
      <c r="A1404" s="14">
        <f>'Raw Data'!A1404</f>
        <v/>
      </c>
      <c r="B1404" s="14">
        <f>'Raw Data'!B1404</f>
        <v/>
      </c>
      <c r="C1404" s="14">
        <f>'Raw Data'!C1404</f>
        <v/>
      </c>
      <c r="D1404" s="15">
        <f>'Raw Data'!M1404</f>
        <v/>
      </c>
      <c r="E1404" s="18">
        <f>'Raw Data'!M1404/'Raw Data'!L1404*100</f>
        <v/>
      </c>
      <c r="F1404" s="14">
        <f>IF(E1404&gt;15,"Wet Year",IF(E1404&lt;-15,"Dry Year","Normal Year"))</f>
        <v/>
      </c>
      <c r="G1404" s="16">
        <f>'Raw Data'!I1404</f>
        <v/>
      </c>
      <c r="H1404" s="14">
        <f>IF(G1404&lt;15,"Low Variability",IF(G1404&lt;=35,"Moderate Variability","High Variability"))</f>
        <v/>
      </c>
      <c r="I1404" s="18">
        <f>'Raw Data'!O1404</f>
        <v/>
      </c>
      <c r="J1404" s="14">
        <f>IF(I1404=0,"No Flood",IF(I1404&lt;=0.5,"Low",IF(I1404&lt;=2,"Moderate","High")))</f>
        <v/>
      </c>
    </row>
    <row r="1405" ht="15" customHeight="1" s="12">
      <c r="A1405" s="14">
        <f>'Raw Data'!A1405</f>
        <v/>
      </c>
      <c r="B1405" s="14">
        <f>'Raw Data'!B1405</f>
        <v/>
      </c>
      <c r="C1405" s="14">
        <f>'Raw Data'!C1405</f>
        <v/>
      </c>
      <c r="D1405" s="15">
        <f>'Raw Data'!M1405</f>
        <v/>
      </c>
      <c r="E1405" s="18">
        <f>'Raw Data'!M1405/'Raw Data'!L1405*100</f>
        <v/>
      </c>
      <c r="F1405" s="14">
        <f>IF(E1405&gt;15,"Wet Year",IF(E1405&lt;-15,"Dry Year","Normal Year"))</f>
        <v/>
      </c>
      <c r="G1405" s="16">
        <f>'Raw Data'!I1405</f>
        <v/>
      </c>
      <c r="H1405" s="14">
        <f>IF(G1405&lt;15,"Low Variability",IF(G1405&lt;=35,"Moderate Variability","High Variability"))</f>
        <v/>
      </c>
      <c r="I1405" s="18">
        <f>'Raw Data'!O1405</f>
        <v/>
      </c>
      <c r="J1405" s="14">
        <f>IF(I1405=0,"No Flood",IF(I1405&lt;=0.5,"Low",IF(I1405&lt;=2,"Moderate","High")))</f>
        <v/>
      </c>
    </row>
    <row r="1406" ht="15" customHeight="1" s="12">
      <c r="A1406" s="14">
        <f>'Raw Data'!A1406</f>
        <v/>
      </c>
      <c r="B1406" s="14">
        <f>'Raw Data'!B1406</f>
        <v/>
      </c>
      <c r="C1406" s="14">
        <f>'Raw Data'!C1406</f>
        <v/>
      </c>
      <c r="D1406" s="15">
        <f>'Raw Data'!M1406</f>
        <v/>
      </c>
      <c r="E1406" s="18">
        <f>'Raw Data'!M1406/'Raw Data'!L1406*100</f>
        <v/>
      </c>
      <c r="F1406" s="14">
        <f>IF(E1406&gt;15,"Wet Year",IF(E1406&lt;-15,"Dry Year","Normal Year"))</f>
        <v/>
      </c>
      <c r="G1406" s="16">
        <f>'Raw Data'!I1406</f>
        <v/>
      </c>
      <c r="H1406" s="14">
        <f>IF(G1406&lt;15,"Low Variability",IF(G1406&lt;=35,"Moderate Variability","High Variability"))</f>
        <v/>
      </c>
      <c r="I1406" s="18">
        <f>'Raw Data'!O1406</f>
        <v/>
      </c>
      <c r="J1406" s="14">
        <f>IF(I1406=0,"No Flood",IF(I1406&lt;=0.5,"Low",IF(I1406&lt;=2,"Moderate","High")))</f>
        <v/>
      </c>
    </row>
    <row r="1407" ht="15" customHeight="1" s="12">
      <c r="A1407" s="14">
        <f>'Raw Data'!A1407</f>
        <v/>
      </c>
      <c r="B1407" s="14">
        <f>'Raw Data'!B1407</f>
        <v/>
      </c>
      <c r="C1407" s="14">
        <f>'Raw Data'!C1407</f>
        <v/>
      </c>
      <c r="D1407" s="15">
        <f>'Raw Data'!M1407</f>
        <v/>
      </c>
      <c r="E1407" s="18">
        <f>'Raw Data'!M1407/'Raw Data'!L1407*100</f>
        <v/>
      </c>
      <c r="F1407" s="14">
        <f>IF(E1407&gt;15,"Wet Year",IF(E1407&lt;-15,"Dry Year","Normal Year"))</f>
        <v/>
      </c>
      <c r="G1407" s="16">
        <f>'Raw Data'!I1407</f>
        <v/>
      </c>
      <c r="H1407" s="14">
        <f>IF(G1407&lt;15,"Low Variability",IF(G1407&lt;=35,"Moderate Variability","High Variability"))</f>
        <v/>
      </c>
      <c r="I1407" s="18">
        <f>'Raw Data'!O1407</f>
        <v/>
      </c>
      <c r="J1407" s="14">
        <f>IF(I1407=0,"No Flood",IF(I1407&lt;=0.5,"Low",IF(I1407&lt;=2,"Moderate","High")))</f>
        <v/>
      </c>
    </row>
    <row r="1408" ht="15" customHeight="1" s="12">
      <c r="A1408" s="14">
        <f>'Raw Data'!A1408</f>
        <v/>
      </c>
      <c r="B1408" s="14">
        <f>'Raw Data'!B1408</f>
        <v/>
      </c>
      <c r="C1408" s="14">
        <f>'Raw Data'!C1408</f>
        <v/>
      </c>
      <c r="D1408" s="15">
        <f>'Raw Data'!M1408</f>
        <v/>
      </c>
      <c r="E1408" s="18">
        <f>'Raw Data'!M1408/'Raw Data'!L1408*100</f>
        <v/>
      </c>
      <c r="F1408" s="14">
        <f>IF(E1408&gt;15,"Wet Year",IF(E1408&lt;-15,"Dry Year","Normal Year"))</f>
        <v/>
      </c>
      <c r="G1408" s="16">
        <f>'Raw Data'!I1408</f>
        <v/>
      </c>
      <c r="H1408" s="14">
        <f>IF(G1408&lt;15,"Low Variability",IF(G1408&lt;=35,"Moderate Variability","High Variability"))</f>
        <v/>
      </c>
      <c r="I1408" s="18">
        <f>'Raw Data'!O1408</f>
        <v/>
      </c>
      <c r="J1408" s="14">
        <f>IF(I1408=0,"No Flood",IF(I1408&lt;=0.5,"Low",IF(I1408&lt;=2,"Moderate","High")))</f>
        <v/>
      </c>
    </row>
    <row r="1409" ht="15" customHeight="1" s="12">
      <c r="A1409" s="14">
        <f>'Raw Data'!A1409</f>
        <v/>
      </c>
      <c r="B1409" s="14">
        <f>'Raw Data'!B1409</f>
        <v/>
      </c>
      <c r="C1409" s="14">
        <f>'Raw Data'!C1409</f>
        <v/>
      </c>
      <c r="D1409" s="15">
        <f>'Raw Data'!M1409</f>
        <v/>
      </c>
      <c r="E1409" s="18">
        <f>'Raw Data'!M1409/'Raw Data'!L1409*100</f>
        <v/>
      </c>
      <c r="F1409" s="14">
        <f>IF(E1409&gt;15,"Wet Year",IF(E1409&lt;-15,"Dry Year","Normal Year"))</f>
        <v/>
      </c>
      <c r="G1409" s="16">
        <f>'Raw Data'!I1409</f>
        <v/>
      </c>
      <c r="H1409" s="14">
        <f>IF(G1409&lt;15,"Low Variability",IF(G1409&lt;=35,"Moderate Variability","High Variability"))</f>
        <v/>
      </c>
      <c r="I1409" s="18">
        <f>'Raw Data'!O1409</f>
        <v/>
      </c>
      <c r="J1409" s="14">
        <f>IF(I1409=0,"No Flood",IF(I1409&lt;=0.5,"Low",IF(I1409&lt;=2,"Moderate","High")))</f>
        <v/>
      </c>
    </row>
    <row r="1410" ht="15" customHeight="1" s="12">
      <c r="A1410" s="14">
        <f>'Raw Data'!A1410</f>
        <v/>
      </c>
      <c r="B1410" s="14">
        <f>'Raw Data'!B1410</f>
        <v/>
      </c>
      <c r="C1410" s="14">
        <f>'Raw Data'!C1410</f>
        <v/>
      </c>
      <c r="D1410" s="15">
        <f>'Raw Data'!M1410</f>
        <v/>
      </c>
      <c r="E1410" s="18">
        <f>'Raw Data'!M1410/'Raw Data'!L1410*100</f>
        <v/>
      </c>
      <c r="F1410" s="14">
        <f>IF(E1410&gt;15,"Wet Year",IF(E1410&lt;-15,"Dry Year","Normal Year"))</f>
        <v/>
      </c>
      <c r="G1410" s="16">
        <f>'Raw Data'!I1410</f>
        <v/>
      </c>
      <c r="H1410" s="14">
        <f>IF(G1410&lt;15,"Low Variability",IF(G1410&lt;=35,"Moderate Variability","High Variability"))</f>
        <v/>
      </c>
      <c r="I1410" s="18">
        <f>'Raw Data'!O1410</f>
        <v/>
      </c>
      <c r="J1410" s="14">
        <f>IF(I1410=0,"No Flood",IF(I1410&lt;=0.5,"Low",IF(I1410&lt;=2,"Moderate","High")))</f>
        <v/>
      </c>
    </row>
    <row r="1411" ht="15" customHeight="1" s="12">
      <c r="A1411" s="14">
        <f>'Raw Data'!A1411</f>
        <v/>
      </c>
      <c r="B1411" s="14">
        <f>'Raw Data'!B1411</f>
        <v/>
      </c>
      <c r="C1411" s="14">
        <f>'Raw Data'!C1411</f>
        <v/>
      </c>
      <c r="D1411" s="15">
        <f>'Raw Data'!M1411</f>
        <v/>
      </c>
      <c r="E1411" s="18">
        <f>'Raw Data'!M1411/'Raw Data'!L1411*100</f>
        <v/>
      </c>
      <c r="F1411" s="14">
        <f>IF(E1411&gt;15,"Wet Year",IF(E1411&lt;-15,"Dry Year","Normal Year"))</f>
        <v/>
      </c>
      <c r="G1411" s="16">
        <f>'Raw Data'!I1411</f>
        <v/>
      </c>
      <c r="H1411" s="14">
        <f>IF(G1411&lt;15,"Low Variability",IF(G1411&lt;=35,"Moderate Variability","High Variability"))</f>
        <v/>
      </c>
      <c r="I1411" s="18">
        <f>'Raw Data'!O1411</f>
        <v/>
      </c>
      <c r="J1411" s="14">
        <f>IF(I1411=0,"No Flood",IF(I1411&lt;=0.5,"Low",IF(I1411&lt;=2,"Moderate","High")))</f>
        <v/>
      </c>
    </row>
    <row r="1412" ht="15" customHeight="1" s="12">
      <c r="A1412" s="14">
        <f>'Raw Data'!A1412</f>
        <v/>
      </c>
      <c r="B1412" s="14">
        <f>'Raw Data'!B1412</f>
        <v/>
      </c>
      <c r="C1412" s="14">
        <f>'Raw Data'!C1412</f>
        <v/>
      </c>
      <c r="D1412" s="15">
        <f>'Raw Data'!M1412</f>
        <v/>
      </c>
      <c r="E1412" s="18">
        <f>'Raw Data'!M1412/'Raw Data'!L1412*100</f>
        <v/>
      </c>
      <c r="F1412" s="14">
        <f>IF(E1412&gt;15,"Wet Year",IF(E1412&lt;-15,"Dry Year","Normal Year"))</f>
        <v/>
      </c>
      <c r="G1412" s="16">
        <f>'Raw Data'!I1412</f>
        <v/>
      </c>
      <c r="H1412" s="14">
        <f>IF(G1412&lt;15,"Low Variability",IF(G1412&lt;=35,"Moderate Variability","High Variability"))</f>
        <v/>
      </c>
      <c r="I1412" s="18">
        <f>'Raw Data'!O1412</f>
        <v/>
      </c>
      <c r="J1412" s="14">
        <f>IF(I1412=0,"No Flood",IF(I1412&lt;=0.5,"Low",IF(I1412&lt;=2,"Moderate","High")))</f>
        <v/>
      </c>
    </row>
    <row r="1413" ht="15" customHeight="1" s="12">
      <c r="A1413" s="14">
        <f>'Raw Data'!A1413</f>
        <v/>
      </c>
      <c r="B1413" s="14">
        <f>'Raw Data'!B1413</f>
        <v/>
      </c>
      <c r="C1413" s="14">
        <f>'Raw Data'!C1413</f>
        <v/>
      </c>
      <c r="D1413" s="15">
        <f>'Raw Data'!M1413</f>
        <v/>
      </c>
      <c r="E1413" s="18">
        <f>'Raw Data'!M1413/'Raw Data'!L1413*100</f>
        <v/>
      </c>
      <c r="F1413" s="14">
        <f>IF(E1413&gt;15,"Wet Year",IF(E1413&lt;-15,"Dry Year","Normal Year"))</f>
        <v/>
      </c>
      <c r="G1413" s="16">
        <f>'Raw Data'!I1413</f>
        <v/>
      </c>
      <c r="H1413" s="14">
        <f>IF(G1413&lt;15,"Low Variability",IF(G1413&lt;=35,"Moderate Variability","High Variability"))</f>
        <v/>
      </c>
      <c r="I1413" s="18">
        <f>'Raw Data'!O1413</f>
        <v/>
      </c>
      <c r="J1413" s="14">
        <f>IF(I1413=0,"No Flood",IF(I1413&lt;=0.5,"Low",IF(I1413&lt;=2,"Moderate","High")))</f>
        <v/>
      </c>
    </row>
    <row r="1414" ht="15" customHeight="1" s="12">
      <c r="A1414" s="14">
        <f>'Raw Data'!A1414</f>
        <v/>
      </c>
      <c r="B1414" s="14">
        <f>'Raw Data'!B1414</f>
        <v/>
      </c>
      <c r="C1414" s="14">
        <f>'Raw Data'!C1414</f>
        <v/>
      </c>
      <c r="D1414" s="15">
        <f>'Raw Data'!M1414</f>
        <v/>
      </c>
      <c r="E1414" s="18">
        <f>'Raw Data'!M1414/'Raw Data'!L1414*100</f>
        <v/>
      </c>
      <c r="F1414" s="14">
        <f>IF(E1414&gt;15,"Wet Year",IF(E1414&lt;-15,"Dry Year","Normal Year"))</f>
        <v/>
      </c>
      <c r="G1414" s="16">
        <f>'Raw Data'!I1414</f>
        <v/>
      </c>
      <c r="H1414" s="14">
        <f>IF(G1414&lt;15,"Low Variability",IF(G1414&lt;=35,"Moderate Variability","High Variability"))</f>
        <v/>
      </c>
      <c r="I1414" s="18">
        <f>'Raw Data'!O1414</f>
        <v/>
      </c>
      <c r="J1414" s="14">
        <f>IF(I1414=0,"No Flood",IF(I1414&lt;=0.5,"Low",IF(I1414&lt;=2,"Moderate","High")))</f>
        <v/>
      </c>
    </row>
    <row r="1415" ht="15" customHeight="1" s="12">
      <c r="A1415" s="14">
        <f>'Raw Data'!A1415</f>
        <v/>
      </c>
      <c r="B1415" s="14">
        <f>'Raw Data'!B1415</f>
        <v/>
      </c>
      <c r="C1415" s="14">
        <f>'Raw Data'!C1415</f>
        <v/>
      </c>
      <c r="D1415" s="15">
        <f>'Raw Data'!M1415</f>
        <v/>
      </c>
      <c r="E1415" s="18">
        <f>'Raw Data'!M1415/'Raw Data'!L1415*100</f>
        <v/>
      </c>
      <c r="F1415" s="14">
        <f>IF(E1415&gt;15,"Wet Year",IF(E1415&lt;-15,"Dry Year","Normal Year"))</f>
        <v/>
      </c>
      <c r="G1415" s="16">
        <f>'Raw Data'!I1415</f>
        <v/>
      </c>
      <c r="H1415" s="14">
        <f>IF(G1415&lt;15,"Low Variability",IF(G1415&lt;=35,"Moderate Variability","High Variability"))</f>
        <v/>
      </c>
      <c r="I1415" s="18">
        <f>'Raw Data'!O1415</f>
        <v/>
      </c>
      <c r="J1415" s="14">
        <f>IF(I1415=0,"No Flood",IF(I1415&lt;=0.5,"Low",IF(I1415&lt;=2,"Moderate","High")))</f>
        <v/>
      </c>
    </row>
    <row r="1416" ht="15" customHeight="1" s="12">
      <c r="A1416" s="14">
        <f>'Raw Data'!A1416</f>
        <v/>
      </c>
      <c r="B1416" s="14">
        <f>'Raw Data'!B1416</f>
        <v/>
      </c>
      <c r="C1416" s="14">
        <f>'Raw Data'!C1416</f>
        <v/>
      </c>
      <c r="D1416" s="15">
        <f>'Raw Data'!M1416</f>
        <v/>
      </c>
      <c r="E1416" s="18">
        <f>'Raw Data'!M1416/'Raw Data'!L1416*100</f>
        <v/>
      </c>
      <c r="F1416" s="14">
        <f>IF(E1416&gt;15,"Wet Year",IF(E1416&lt;-15,"Dry Year","Normal Year"))</f>
        <v/>
      </c>
      <c r="G1416" s="16">
        <f>'Raw Data'!I1416</f>
        <v/>
      </c>
      <c r="H1416" s="14">
        <f>IF(G1416&lt;15,"Low Variability",IF(G1416&lt;=35,"Moderate Variability","High Variability"))</f>
        <v/>
      </c>
      <c r="I1416" s="18">
        <f>'Raw Data'!O1416</f>
        <v/>
      </c>
      <c r="J1416" s="14">
        <f>IF(I1416=0,"No Flood",IF(I1416&lt;=0.5,"Low",IF(I1416&lt;=2,"Moderate","High")))</f>
        <v/>
      </c>
    </row>
    <row r="1417" ht="15" customHeight="1" s="12">
      <c r="A1417" s="14">
        <f>'Raw Data'!A1417</f>
        <v/>
      </c>
      <c r="B1417" s="14">
        <f>'Raw Data'!B1417</f>
        <v/>
      </c>
      <c r="C1417" s="14">
        <f>'Raw Data'!C1417</f>
        <v/>
      </c>
      <c r="D1417" s="15">
        <f>'Raw Data'!M1417</f>
        <v/>
      </c>
      <c r="E1417" s="18">
        <f>'Raw Data'!M1417/'Raw Data'!L1417*100</f>
        <v/>
      </c>
      <c r="F1417" s="14">
        <f>IF(E1417&gt;15,"Wet Year",IF(E1417&lt;-15,"Dry Year","Normal Year"))</f>
        <v/>
      </c>
      <c r="G1417" s="16">
        <f>'Raw Data'!I1417</f>
        <v/>
      </c>
      <c r="H1417" s="14">
        <f>IF(G1417&lt;15,"Low Variability",IF(G1417&lt;=35,"Moderate Variability","High Variability"))</f>
        <v/>
      </c>
      <c r="I1417" s="18">
        <f>'Raw Data'!O1417</f>
        <v/>
      </c>
      <c r="J1417" s="14">
        <f>IF(I1417=0,"No Flood",IF(I1417&lt;=0.5,"Low",IF(I1417&lt;=2,"Moderate","High")))</f>
        <v/>
      </c>
    </row>
    <row r="1418" ht="15" customHeight="1" s="12">
      <c r="A1418" s="14">
        <f>'Raw Data'!A1418</f>
        <v/>
      </c>
      <c r="B1418" s="14">
        <f>'Raw Data'!B1418</f>
        <v/>
      </c>
      <c r="C1418" s="14">
        <f>'Raw Data'!C1418</f>
        <v/>
      </c>
      <c r="D1418" s="15">
        <f>'Raw Data'!M1418</f>
        <v/>
      </c>
      <c r="E1418" s="18">
        <f>'Raw Data'!M1418/'Raw Data'!L1418*100</f>
        <v/>
      </c>
      <c r="F1418" s="14">
        <f>IF(E1418&gt;15,"Wet Year",IF(E1418&lt;-15,"Dry Year","Normal Year"))</f>
        <v/>
      </c>
      <c r="G1418" s="16">
        <f>'Raw Data'!I1418</f>
        <v/>
      </c>
      <c r="H1418" s="14">
        <f>IF(G1418&lt;15,"Low Variability",IF(G1418&lt;=35,"Moderate Variability","High Variability"))</f>
        <v/>
      </c>
      <c r="I1418" s="18">
        <f>'Raw Data'!O1418</f>
        <v/>
      </c>
      <c r="J1418" s="14">
        <f>IF(I1418=0,"No Flood",IF(I1418&lt;=0.5,"Low",IF(I1418&lt;=2,"Moderate","High")))</f>
        <v/>
      </c>
    </row>
    <row r="1419" ht="15" customHeight="1" s="12">
      <c r="A1419" s="14">
        <f>'Raw Data'!A1419</f>
        <v/>
      </c>
      <c r="B1419" s="14">
        <f>'Raw Data'!B1419</f>
        <v/>
      </c>
      <c r="C1419" s="14">
        <f>'Raw Data'!C1419</f>
        <v/>
      </c>
      <c r="D1419" s="15">
        <f>'Raw Data'!M1419</f>
        <v/>
      </c>
      <c r="E1419" s="18">
        <f>'Raw Data'!M1419/'Raw Data'!L1419*100</f>
        <v/>
      </c>
      <c r="F1419" s="14">
        <f>IF(E1419&gt;15,"Wet Year",IF(E1419&lt;-15,"Dry Year","Normal Year"))</f>
        <v/>
      </c>
      <c r="G1419" s="16">
        <f>'Raw Data'!I1419</f>
        <v/>
      </c>
      <c r="H1419" s="14">
        <f>IF(G1419&lt;15,"Low Variability",IF(G1419&lt;=35,"Moderate Variability","High Variability"))</f>
        <v/>
      </c>
      <c r="I1419" s="18">
        <f>'Raw Data'!O1419</f>
        <v/>
      </c>
      <c r="J1419" s="14">
        <f>IF(I1419=0,"No Flood",IF(I1419&lt;=0.5,"Low",IF(I1419&lt;=2,"Moderate","High")))</f>
        <v/>
      </c>
    </row>
    <row r="1420" ht="15" customHeight="1" s="12">
      <c r="A1420" s="14">
        <f>'Raw Data'!A1420</f>
        <v/>
      </c>
      <c r="B1420" s="14">
        <f>'Raw Data'!B1420</f>
        <v/>
      </c>
      <c r="C1420" s="14">
        <f>'Raw Data'!C1420</f>
        <v/>
      </c>
      <c r="D1420" s="15">
        <f>'Raw Data'!M1420</f>
        <v/>
      </c>
      <c r="E1420" s="18">
        <f>'Raw Data'!M1420/'Raw Data'!L1420*100</f>
        <v/>
      </c>
      <c r="F1420" s="14">
        <f>IF(E1420&gt;15,"Wet Year",IF(E1420&lt;-15,"Dry Year","Normal Year"))</f>
        <v/>
      </c>
      <c r="G1420" s="16">
        <f>'Raw Data'!I1420</f>
        <v/>
      </c>
      <c r="H1420" s="14">
        <f>IF(G1420&lt;15,"Low Variability",IF(G1420&lt;=35,"Moderate Variability","High Variability"))</f>
        <v/>
      </c>
      <c r="I1420" s="18">
        <f>'Raw Data'!O1420</f>
        <v/>
      </c>
      <c r="J1420" s="14">
        <f>IF(I1420=0,"No Flood",IF(I1420&lt;=0.5,"Low",IF(I1420&lt;=2,"Moderate","High")))</f>
        <v/>
      </c>
    </row>
    <row r="1421" ht="15" customHeight="1" s="12">
      <c r="A1421" s="14">
        <f>'Raw Data'!A1421</f>
        <v/>
      </c>
      <c r="B1421" s="14">
        <f>'Raw Data'!B1421</f>
        <v/>
      </c>
      <c r="C1421" s="14">
        <f>'Raw Data'!C1421</f>
        <v/>
      </c>
      <c r="D1421" s="15">
        <f>'Raw Data'!M1421</f>
        <v/>
      </c>
      <c r="E1421" s="18">
        <f>'Raw Data'!M1421/'Raw Data'!L1421*100</f>
        <v/>
      </c>
      <c r="F1421" s="14">
        <f>IF(E1421&gt;15,"Wet Year",IF(E1421&lt;-15,"Dry Year","Normal Year"))</f>
        <v/>
      </c>
      <c r="G1421" s="16">
        <f>'Raw Data'!I1421</f>
        <v/>
      </c>
      <c r="H1421" s="14">
        <f>IF(G1421&lt;15,"Low Variability",IF(G1421&lt;=35,"Moderate Variability","High Variability"))</f>
        <v/>
      </c>
      <c r="I1421" s="18">
        <f>'Raw Data'!O1421</f>
        <v/>
      </c>
      <c r="J1421" s="14">
        <f>IF(I1421=0,"No Flood",IF(I1421&lt;=0.5,"Low",IF(I1421&lt;=2,"Moderate","High")))</f>
        <v/>
      </c>
    </row>
    <row r="1422" ht="15" customHeight="1" s="12">
      <c r="A1422" s="14">
        <f>'Raw Data'!A1422</f>
        <v/>
      </c>
      <c r="B1422" s="14">
        <f>'Raw Data'!B1422</f>
        <v/>
      </c>
      <c r="C1422" s="14">
        <f>'Raw Data'!C1422</f>
        <v/>
      </c>
      <c r="D1422" s="15">
        <f>'Raw Data'!M1422</f>
        <v/>
      </c>
      <c r="E1422" s="18">
        <f>'Raw Data'!M1422/'Raw Data'!L1422*100</f>
        <v/>
      </c>
      <c r="F1422" s="14">
        <f>IF(E1422&gt;15,"Wet Year",IF(E1422&lt;-15,"Dry Year","Normal Year"))</f>
        <v/>
      </c>
      <c r="G1422" s="16">
        <f>'Raw Data'!I1422</f>
        <v/>
      </c>
      <c r="H1422" s="14">
        <f>IF(G1422&lt;15,"Low Variability",IF(G1422&lt;=35,"Moderate Variability","High Variability"))</f>
        <v/>
      </c>
      <c r="I1422" s="18">
        <f>'Raw Data'!O1422</f>
        <v/>
      </c>
      <c r="J1422" s="14">
        <f>IF(I1422=0,"No Flood",IF(I1422&lt;=0.5,"Low",IF(I1422&lt;=2,"Moderate","High")))</f>
        <v/>
      </c>
    </row>
    <row r="1423" ht="15" customHeight="1" s="12">
      <c r="A1423" s="14">
        <f>'Raw Data'!A1423</f>
        <v/>
      </c>
      <c r="B1423" s="14">
        <f>'Raw Data'!B1423</f>
        <v/>
      </c>
      <c r="C1423" s="14">
        <f>'Raw Data'!C1423</f>
        <v/>
      </c>
      <c r="D1423" s="15">
        <f>'Raw Data'!M1423</f>
        <v/>
      </c>
      <c r="E1423" s="18">
        <f>'Raw Data'!M1423/'Raw Data'!L1423*100</f>
        <v/>
      </c>
      <c r="F1423" s="14">
        <f>IF(E1423&gt;15,"Wet Year",IF(E1423&lt;-15,"Dry Year","Normal Year"))</f>
        <v/>
      </c>
      <c r="G1423" s="16">
        <f>'Raw Data'!I1423</f>
        <v/>
      </c>
      <c r="H1423" s="14">
        <f>IF(G1423&lt;15,"Low Variability",IF(G1423&lt;=35,"Moderate Variability","High Variability"))</f>
        <v/>
      </c>
      <c r="I1423" s="18">
        <f>'Raw Data'!O1423</f>
        <v/>
      </c>
      <c r="J1423" s="14">
        <f>IF(I1423=0,"No Flood",IF(I1423&lt;=0.5,"Low",IF(I1423&lt;=2,"Moderate","High")))</f>
        <v/>
      </c>
    </row>
    <row r="1424" ht="15" customHeight="1" s="12">
      <c r="A1424" s="14">
        <f>'Raw Data'!A1424</f>
        <v/>
      </c>
      <c r="B1424" s="14">
        <f>'Raw Data'!B1424</f>
        <v/>
      </c>
      <c r="C1424" s="14">
        <f>'Raw Data'!C1424</f>
        <v/>
      </c>
      <c r="D1424" s="15">
        <f>'Raw Data'!M1424</f>
        <v/>
      </c>
      <c r="E1424" s="18">
        <f>'Raw Data'!M1424/'Raw Data'!L1424*100</f>
        <v/>
      </c>
      <c r="F1424" s="14">
        <f>IF(E1424&gt;15,"Wet Year",IF(E1424&lt;-15,"Dry Year","Normal Year"))</f>
        <v/>
      </c>
      <c r="G1424" s="16">
        <f>'Raw Data'!I1424</f>
        <v/>
      </c>
      <c r="H1424" s="14">
        <f>IF(G1424&lt;15,"Low Variability",IF(G1424&lt;=35,"Moderate Variability","High Variability"))</f>
        <v/>
      </c>
      <c r="I1424" s="18">
        <f>'Raw Data'!O1424</f>
        <v/>
      </c>
      <c r="J1424" s="14">
        <f>IF(I1424=0,"No Flood",IF(I1424&lt;=0.5,"Low",IF(I1424&lt;=2,"Moderate","High")))</f>
        <v/>
      </c>
    </row>
    <row r="1425" ht="15" customHeight="1" s="12">
      <c r="A1425" s="14">
        <f>'Raw Data'!A1425</f>
        <v/>
      </c>
      <c r="B1425" s="14">
        <f>'Raw Data'!B1425</f>
        <v/>
      </c>
      <c r="C1425" s="14">
        <f>'Raw Data'!C1425</f>
        <v/>
      </c>
      <c r="D1425" s="15">
        <f>'Raw Data'!M1425</f>
        <v/>
      </c>
      <c r="E1425" s="18">
        <f>'Raw Data'!M1425/'Raw Data'!L1425*100</f>
        <v/>
      </c>
      <c r="F1425" s="14">
        <f>IF(E1425&gt;15,"Wet Year",IF(E1425&lt;-15,"Dry Year","Normal Year"))</f>
        <v/>
      </c>
      <c r="G1425" s="16">
        <f>'Raw Data'!I1425</f>
        <v/>
      </c>
      <c r="H1425" s="14">
        <f>IF(G1425&lt;15,"Low Variability",IF(G1425&lt;=35,"Moderate Variability","High Variability"))</f>
        <v/>
      </c>
      <c r="I1425" s="18">
        <f>'Raw Data'!O1425</f>
        <v/>
      </c>
      <c r="J1425" s="14">
        <f>IF(I1425=0,"No Flood",IF(I1425&lt;=0.5,"Low",IF(I1425&lt;=2,"Moderate","High")))</f>
        <v/>
      </c>
    </row>
    <row r="1426" ht="15" customHeight="1" s="12">
      <c r="A1426" s="14">
        <f>'Raw Data'!A1426</f>
        <v/>
      </c>
      <c r="B1426" s="14">
        <f>'Raw Data'!B1426</f>
        <v/>
      </c>
      <c r="C1426" s="14">
        <f>'Raw Data'!C1426</f>
        <v/>
      </c>
      <c r="D1426" s="15">
        <f>'Raw Data'!M1426</f>
        <v/>
      </c>
      <c r="E1426" s="18">
        <f>'Raw Data'!M1426/'Raw Data'!L1426*100</f>
        <v/>
      </c>
      <c r="F1426" s="14">
        <f>IF(E1426&gt;15,"Wet Year",IF(E1426&lt;-15,"Dry Year","Normal Year"))</f>
        <v/>
      </c>
      <c r="G1426" s="16">
        <f>'Raw Data'!I1426</f>
        <v/>
      </c>
      <c r="H1426" s="14">
        <f>IF(G1426&lt;15,"Low Variability",IF(G1426&lt;=35,"Moderate Variability","High Variability"))</f>
        <v/>
      </c>
      <c r="I1426" s="18">
        <f>'Raw Data'!O1426</f>
        <v/>
      </c>
      <c r="J1426" s="14">
        <f>IF(I1426=0,"No Flood",IF(I1426&lt;=0.5,"Low",IF(I1426&lt;=2,"Moderate","High")))</f>
        <v/>
      </c>
    </row>
    <row r="1427" ht="15" customHeight="1" s="12">
      <c r="A1427" s="14">
        <f>'Raw Data'!A1427</f>
        <v/>
      </c>
      <c r="B1427" s="14">
        <f>'Raw Data'!B1427</f>
        <v/>
      </c>
      <c r="C1427" s="14">
        <f>'Raw Data'!C1427</f>
        <v/>
      </c>
      <c r="D1427" s="15">
        <f>'Raw Data'!M1427</f>
        <v/>
      </c>
      <c r="E1427" s="18">
        <f>'Raw Data'!M1427/'Raw Data'!L1427*100</f>
        <v/>
      </c>
      <c r="F1427" s="14">
        <f>IF(E1427&gt;15,"Wet Year",IF(E1427&lt;-15,"Dry Year","Normal Year"))</f>
        <v/>
      </c>
      <c r="G1427" s="16">
        <f>'Raw Data'!I1427</f>
        <v/>
      </c>
      <c r="H1427" s="14">
        <f>IF(G1427&lt;15,"Low Variability",IF(G1427&lt;=35,"Moderate Variability","High Variability"))</f>
        <v/>
      </c>
      <c r="I1427" s="18">
        <f>'Raw Data'!O1427</f>
        <v/>
      </c>
      <c r="J1427" s="14">
        <f>IF(I1427=0,"No Flood",IF(I1427&lt;=0.5,"Low",IF(I1427&lt;=2,"Moderate","High")))</f>
        <v/>
      </c>
    </row>
    <row r="1428" ht="15" customHeight="1" s="12">
      <c r="A1428" s="14">
        <f>'Raw Data'!A1428</f>
        <v/>
      </c>
      <c r="B1428" s="14">
        <f>'Raw Data'!B1428</f>
        <v/>
      </c>
      <c r="C1428" s="14">
        <f>'Raw Data'!C1428</f>
        <v/>
      </c>
      <c r="D1428" s="15">
        <f>'Raw Data'!M1428</f>
        <v/>
      </c>
      <c r="E1428" s="18">
        <f>'Raw Data'!M1428/'Raw Data'!L1428*100</f>
        <v/>
      </c>
      <c r="F1428" s="14">
        <f>IF(E1428&gt;15,"Wet Year",IF(E1428&lt;-15,"Dry Year","Normal Year"))</f>
        <v/>
      </c>
      <c r="G1428" s="16">
        <f>'Raw Data'!I1428</f>
        <v/>
      </c>
      <c r="H1428" s="14">
        <f>IF(G1428&lt;15,"Low Variability",IF(G1428&lt;=35,"Moderate Variability","High Variability"))</f>
        <v/>
      </c>
      <c r="I1428" s="18">
        <f>'Raw Data'!O1428</f>
        <v/>
      </c>
      <c r="J1428" s="14">
        <f>IF(I1428=0,"No Flood",IF(I1428&lt;=0.5,"Low",IF(I1428&lt;=2,"Moderate","High")))</f>
        <v/>
      </c>
    </row>
    <row r="1429" ht="15" customHeight="1" s="12">
      <c r="A1429" s="14">
        <f>'Raw Data'!A1429</f>
        <v/>
      </c>
      <c r="B1429" s="14">
        <f>'Raw Data'!B1429</f>
        <v/>
      </c>
      <c r="C1429" s="14">
        <f>'Raw Data'!C1429</f>
        <v/>
      </c>
      <c r="D1429" s="15">
        <f>'Raw Data'!M1429</f>
        <v/>
      </c>
      <c r="E1429" s="18">
        <f>'Raw Data'!M1429/'Raw Data'!L1429*100</f>
        <v/>
      </c>
      <c r="F1429" s="14">
        <f>IF(E1429&gt;15,"Wet Year",IF(E1429&lt;-15,"Dry Year","Normal Year"))</f>
        <v/>
      </c>
      <c r="G1429" s="16">
        <f>'Raw Data'!I1429</f>
        <v/>
      </c>
      <c r="H1429" s="14">
        <f>IF(G1429&lt;15,"Low Variability",IF(G1429&lt;=35,"Moderate Variability","High Variability"))</f>
        <v/>
      </c>
      <c r="I1429" s="18">
        <f>'Raw Data'!O1429</f>
        <v/>
      </c>
      <c r="J1429" s="14">
        <f>IF(I1429=0,"No Flood",IF(I1429&lt;=0.5,"Low",IF(I1429&lt;=2,"Moderate","High")))</f>
        <v/>
      </c>
    </row>
    <row r="1430" ht="15" customHeight="1" s="12">
      <c r="A1430" s="14">
        <f>'Raw Data'!A1430</f>
        <v/>
      </c>
      <c r="B1430" s="14">
        <f>'Raw Data'!B1430</f>
        <v/>
      </c>
      <c r="C1430" s="14">
        <f>'Raw Data'!C1430</f>
        <v/>
      </c>
      <c r="D1430" s="15">
        <f>'Raw Data'!M1430</f>
        <v/>
      </c>
      <c r="E1430" s="18">
        <f>'Raw Data'!M1430/'Raw Data'!L1430*100</f>
        <v/>
      </c>
      <c r="F1430" s="14">
        <f>IF(E1430&gt;15,"Wet Year",IF(E1430&lt;-15,"Dry Year","Normal Year"))</f>
        <v/>
      </c>
      <c r="G1430" s="16">
        <f>'Raw Data'!I1430</f>
        <v/>
      </c>
      <c r="H1430" s="14">
        <f>IF(G1430&lt;15,"Low Variability",IF(G1430&lt;=35,"Moderate Variability","High Variability"))</f>
        <v/>
      </c>
      <c r="I1430" s="18">
        <f>'Raw Data'!O1430</f>
        <v/>
      </c>
      <c r="J1430" s="14">
        <f>IF(I1430=0,"No Flood",IF(I1430&lt;=0.5,"Low",IF(I1430&lt;=2,"Moderate","High")))</f>
        <v/>
      </c>
    </row>
    <row r="1431" ht="15" customHeight="1" s="12">
      <c r="A1431" s="14">
        <f>'Raw Data'!A1431</f>
        <v/>
      </c>
      <c r="B1431" s="14">
        <f>'Raw Data'!B1431</f>
        <v/>
      </c>
      <c r="C1431" s="14">
        <f>'Raw Data'!C1431</f>
        <v/>
      </c>
      <c r="D1431" s="15">
        <f>'Raw Data'!M1431</f>
        <v/>
      </c>
      <c r="E1431" s="18">
        <f>'Raw Data'!M1431/'Raw Data'!L1431*100</f>
        <v/>
      </c>
      <c r="F1431" s="14">
        <f>IF(E1431&gt;15,"Wet Year",IF(E1431&lt;-15,"Dry Year","Normal Year"))</f>
        <v/>
      </c>
      <c r="G1431" s="16">
        <f>'Raw Data'!I1431</f>
        <v/>
      </c>
      <c r="H1431" s="14">
        <f>IF(G1431&lt;15,"Low Variability",IF(G1431&lt;=35,"Moderate Variability","High Variability"))</f>
        <v/>
      </c>
      <c r="I1431" s="18">
        <f>'Raw Data'!O1431</f>
        <v/>
      </c>
      <c r="J1431" s="14">
        <f>IF(I1431=0,"No Flood",IF(I1431&lt;=0.5,"Low",IF(I1431&lt;=2,"Moderate","High")))</f>
        <v/>
      </c>
    </row>
    <row r="1432" ht="15" customHeight="1" s="12">
      <c r="A1432" s="14">
        <f>'Raw Data'!A1432</f>
        <v/>
      </c>
      <c r="B1432" s="14">
        <f>'Raw Data'!B1432</f>
        <v/>
      </c>
      <c r="C1432" s="14">
        <f>'Raw Data'!C1432</f>
        <v/>
      </c>
      <c r="D1432" s="15">
        <f>'Raw Data'!M1432</f>
        <v/>
      </c>
      <c r="E1432" s="18">
        <f>'Raw Data'!M1432/'Raw Data'!L1432*100</f>
        <v/>
      </c>
      <c r="F1432" s="14">
        <f>IF(E1432&gt;15,"Wet Year",IF(E1432&lt;-15,"Dry Year","Normal Year"))</f>
        <v/>
      </c>
      <c r="G1432" s="16">
        <f>'Raw Data'!I1432</f>
        <v/>
      </c>
      <c r="H1432" s="14">
        <f>IF(G1432&lt;15,"Low Variability",IF(G1432&lt;=35,"Moderate Variability","High Variability"))</f>
        <v/>
      </c>
      <c r="I1432" s="18">
        <f>'Raw Data'!O1432</f>
        <v/>
      </c>
      <c r="J1432" s="14">
        <f>IF(I1432=0,"No Flood",IF(I1432&lt;=0.5,"Low",IF(I1432&lt;=2,"Moderate","High")))</f>
        <v/>
      </c>
    </row>
    <row r="1433" ht="15" customHeight="1" s="12">
      <c r="A1433" s="14">
        <f>'Raw Data'!A1433</f>
        <v/>
      </c>
      <c r="B1433" s="14">
        <f>'Raw Data'!B1433</f>
        <v/>
      </c>
      <c r="C1433" s="14">
        <f>'Raw Data'!C1433</f>
        <v/>
      </c>
      <c r="D1433" s="15">
        <f>'Raw Data'!M1433</f>
        <v/>
      </c>
      <c r="E1433" s="18">
        <f>'Raw Data'!M1433/'Raw Data'!L1433*100</f>
        <v/>
      </c>
      <c r="F1433" s="14">
        <f>IF(E1433&gt;15,"Wet Year",IF(E1433&lt;-15,"Dry Year","Normal Year"))</f>
        <v/>
      </c>
      <c r="G1433" s="16">
        <f>'Raw Data'!I1433</f>
        <v/>
      </c>
      <c r="H1433" s="14">
        <f>IF(G1433&lt;15,"Low Variability",IF(G1433&lt;=35,"Moderate Variability","High Variability"))</f>
        <v/>
      </c>
      <c r="I1433" s="18">
        <f>'Raw Data'!O1433</f>
        <v/>
      </c>
      <c r="J1433" s="14">
        <f>IF(I1433=0,"No Flood",IF(I1433&lt;=0.5,"Low",IF(I1433&lt;=2,"Moderate","High")))</f>
        <v/>
      </c>
    </row>
    <row r="1434" ht="15" customHeight="1" s="12">
      <c r="A1434" s="14">
        <f>'Raw Data'!A1434</f>
        <v/>
      </c>
      <c r="B1434" s="14">
        <f>'Raw Data'!B1434</f>
        <v/>
      </c>
      <c r="C1434" s="14">
        <f>'Raw Data'!C1434</f>
        <v/>
      </c>
      <c r="D1434" s="15">
        <f>'Raw Data'!M1434</f>
        <v/>
      </c>
      <c r="E1434" s="18">
        <f>'Raw Data'!M1434/'Raw Data'!L1434*100</f>
        <v/>
      </c>
      <c r="F1434" s="14">
        <f>IF(E1434&gt;15,"Wet Year",IF(E1434&lt;-15,"Dry Year","Normal Year"))</f>
        <v/>
      </c>
      <c r="G1434" s="16">
        <f>'Raw Data'!I1434</f>
        <v/>
      </c>
      <c r="H1434" s="14">
        <f>IF(G1434&lt;15,"Low Variability",IF(G1434&lt;=35,"Moderate Variability","High Variability"))</f>
        <v/>
      </c>
      <c r="I1434" s="18">
        <f>'Raw Data'!O1434</f>
        <v/>
      </c>
      <c r="J1434" s="14">
        <f>IF(I1434=0,"No Flood",IF(I1434&lt;=0.5,"Low",IF(I1434&lt;=2,"Moderate","High")))</f>
        <v/>
      </c>
    </row>
    <row r="1435" ht="15" customHeight="1" s="12">
      <c r="A1435" s="14">
        <f>'Raw Data'!A1435</f>
        <v/>
      </c>
      <c r="B1435" s="14">
        <f>'Raw Data'!B1435</f>
        <v/>
      </c>
      <c r="C1435" s="14">
        <f>'Raw Data'!C1435</f>
        <v/>
      </c>
      <c r="D1435" s="15">
        <f>'Raw Data'!M1435</f>
        <v/>
      </c>
      <c r="E1435" s="18">
        <f>'Raw Data'!M1435/'Raw Data'!L1435*100</f>
        <v/>
      </c>
      <c r="F1435" s="14">
        <f>IF(E1435&gt;15,"Wet Year",IF(E1435&lt;-15,"Dry Year","Normal Year"))</f>
        <v/>
      </c>
      <c r="G1435" s="16">
        <f>'Raw Data'!I1435</f>
        <v/>
      </c>
      <c r="H1435" s="14">
        <f>IF(G1435&lt;15,"Low Variability",IF(G1435&lt;=35,"Moderate Variability","High Variability"))</f>
        <v/>
      </c>
      <c r="I1435" s="18">
        <f>'Raw Data'!O1435</f>
        <v/>
      </c>
      <c r="J1435" s="14">
        <f>IF(I1435=0,"No Flood",IF(I1435&lt;=0.5,"Low",IF(I1435&lt;=2,"Moderate","High")))</f>
        <v/>
      </c>
    </row>
    <row r="1436" ht="15" customHeight="1" s="12">
      <c r="A1436" s="14">
        <f>'Raw Data'!A1436</f>
        <v/>
      </c>
      <c r="B1436" s="14">
        <f>'Raw Data'!B1436</f>
        <v/>
      </c>
      <c r="C1436" s="14">
        <f>'Raw Data'!C1436</f>
        <v/>
      </c>
      <c r="D1436" s="15">
        <f>'Raw Data'!M1436</f>
        <v/>
      </c>
      <c r="E1436" s="18">
        <f>'Raw Data'!M1436/'Raw Data'!L1436*100</f>
        <v/>
      </c>
      <c r="F1436" s="14">
        <f>IF(E1436&gt;15,"Wet Year",IF(E1436&lt;-15,"Dry Year","Normal Year"))</f>
        <v/>
      </c>
      <c r="G1436" s="16">
        <f>'Raw Data'!I1436</f>
        <v/>
      </c>
      <c r="H1436" s="14">
        <f>IF(G1436&lt;15,"Low Variability",IF(G1436&lt;=35,"Moderate Variability","High Variability"))</f>
        <v/>
      </c>
      <c r="I1436" s="18">
        <f>'Raw Data'!O1436</f>
        <v/>
      </c>
      <c r="J1436" s="14">
        <f>IF(I1436=0,"No Flood",IF(I1436&lt;=0.5,"Low",IF(I1436&lt;=2,"Moderate","High")))</f>
        <v/>
      </c>
    </row>
    <row r="1437" ht="15" customHeight="1" s="12">
      <c r="A1437" s="14">
        <f>'Raw Data'!A1437</f>
        <v/>
      </c>
      <c r="B1437" s="14">
        <f>'Raw Data'!B1437</f>
        <v/>
      </c>
      <c r="C1437" s="14">
        <f>'Raw Data'!C1437</f>
        <v/>
      </c>
      <c r="D1437" s="15">
        <f>'Raw Data'!M1437</f>
        <v/>
      </c>
      <c r="E1437" s="18">
        <f>'Raw Data'!M1437/'Raw Data'!L1437*100</f>
        <v/>
      </c>
      <c r="F1437" s="14">
        <f>IF(E1437&gt;15,"Wet Year",IF(E1437&lt;-15,"Dry Year","Normal Year"))</f>
        <v/>
      </c>
      <c r="G1437" s="16">
        <f>'Raw Data'!I1437</f>
        <v/>
      </c>
      <c r="H1437" s="14">
        <f>IF(G1437&lt;15,"Low Variability",IF(G1437&lt;=35,"Moderate Variability","High Variability"))</f>
        <v/>
      </c>
      <c r="I1437" s="18">
        <f>'Raw Data'!O1437</f>
        <v/>
      </c>
      <c r="J1437" s="14">
        <f>IF(I1437=0,"No Flood",IF(I1437&lt;=0.5,"Low",IF(I1437&lt;=2,"Moderate","High")))</f>
        <v/>
      </c>
    </row>
    <row r="1438" ht="15" customHeight="1" s="12">
      <c r="A1438" s="14">
        <f>'Raw Data'!A1438</f>
        <v/>
      </c>
      <c r="B1438" s="14">
        <f>'Raw Data'!B1438</f>
        <v/>
      </c>
      <c r="C1438" s="14">
        <f>'Raw Data'!C1438</f>
        <v/>
      </c>
      <c r="D1438" s="15">
        <f>'Raw Data'!M1438</f>
        <v/>
      </c>
      <c r="E1438" s="18">
        <f>'Raw Data'!M1438/'Raw Data'!L1438*100</f>
        <v/>
      </c>
      <c r="F1438" s="14">
        <f>IF(E1438&gt;15,"Wet Year",IF(E1438&lt;-15,"Dry Year","Normal Year"))</f>
        <v/>
      </c>
      <c r="G1438" s="16">
        <f>'Raw Data'!I1438</f>
        <v/>
      </c>
      <c r="H1438" s="14">
        <f>IF(G1438&lt;15,"Low Variability",IF(G1438&lt;=35,"Moderate Variability","High Variability"))</f>
        <v/>
      </c>
      <c r="I1438" s="18">
        <f>'Raw Data'!O1438</f>
        <v/>
      </c>
      <c r="J1438" s="14">
        <f>IF(I1438=0,"No Flood",IF(I1438&lt;=0.5,"Low",IF(I1438&lt;=2,"Moderate","High")))</f>
        <v/>
      </c>
    </row>
    <row r="1439" ht="15" customHeight="1" s="12">
      <c r="A1439" s="14">
        <f>'Raw Data'!A1439</f>
        <v/>
      </c>
      <c r="B1439" s="14">
        <f>'Raw Data'!B1439</f>
        <v/>
      </c>
      <c r="C1439" s="14">
        <f>'Raw Data'!C1439</f>
        <v/>
      </c>
      <c r="D1439" s="15">
        <f>'Raw Data'!M1439</f>
        <v/>
      </c>
      <c r="E1439" s="18">
        <f>'Raw Data'!M1439/'Raw Data'!L1439*100</f>
        <v/>
      </c>
      <c r="F1439" s="14">
        <f>IF(E1439&gt;15,"Wet Year",IF(E1439&lt;-15,"Dry Year","Normal Year"))</f>
        <v/>
      </c>
      <c r="G1439" s="16">
        <f>'Raw Data'!I1439</f>
        <v/>
      </c>
      <c r="H1439" s="14">
        <f>IF(G1439&lt;15,"Low Variability",IF(G1439&lt;=35,"Moderate Variability","High Variability"))</f>
        <v/>
      </c>
      <c r="I1439" s="18">
        <f>'Raw Data'!O1439</f>
        <v/>
      </c>
      <c r="J1439" s="14">
        <f>IF(I1439=0,"No Flood",IF(I1439&lt;=0.5,"Low",IF(I1439&lt;=2,"Moderate","High")))</f>
        <v/>
      </c>
    </row>
    <row r="1440" ht="15" customHeight="1" s="12">
      <c r="A1440" s="14">
        <f>'Raw Data'!A1440</f>
        <v/>
      </c>
      <c r="B1440" s="14">
        <f>'Raw Data'!B1440</f>
        <v/>
      </c>
      <c r="C1440" s="14">
        <f>'Raw Data'!C1440</f>
        <v/>
      </c>
      <c r="D1440" s="15">
        <f>'Raw Data'!M1440</f>
        <v/>
      </c>
      <c r="E1440" s="18">
        <f>'Raw Data'!M1440/'Raw Data'!L1440*100</f>
        <v/>
      </c>
      <c r="F1440" s="14">
        <f>IF(E1440&gt;15,"Wet Year",IF(E1440&lt;-15,"Dry Year","Normal Year"))</f>
        <v/>
      </c>
      <c r="G1440" s="16">
        <f>'Raw Data'!I1440</f>
        <v/>
      </c>
      <c r="H1440" s="14">
        <f>IF(G1440&lt;15,"Low Variability",IF(G1440&lt;=35,"Moderate Variability","High Variability"))</f>
        <v/>
      </c>
      <c r="I1440" s="18">
        <f>'Raw Data'!O1440</f>
        <v/>
      </c>
      <c r="J1440" s="14">
        <f>IF(I1440=0,"No Flood",IF(I1440&lt;=0.5,"Low",IF(I1440&lt;=2,"Moderate","High")))</f>
        <v/>
      </c>
    </row>
    <row r="1441" ht="15" customHeight="1" s="12">
      <c r="A1441" s="14">
        <f>'Raw Data'!A1441</f>
        <v/>
      </c>
      <c r="B1441" s="14">
        <f>'Raw Data'!B1441</f>
        <v/>
      </c>
      <c r="C1441" s="14">
        <f>'Raw Data'!C1441</f>
        <v/>
      </c>
      <c r="D1441" s="15">
        <f>'Raw Data'!M1441</f>
        <v/>
      </c>
      <c r="E1441" s="18">
        <f>'Raw Data'!M1441/'Raw Data'!L1441*100</f>
        <v/>
      </c>
      <c r="F1441" s="14">
        <f>IF(E1441&gt;15,"Wet Year",IF(E1441&lt;-15,"Dry Year","Normal Year"))</f>
        <v/>
      </c>
      <c r="G1441" s="16">
        <f>'Raw Data'!I1441</f>
        <v/>
      </c>
      <c r="H1441" s="14">
        <f>IF(G1441&lt;15,"Low Variability",IF(G1441&lt;=35,"Moderate Variability","High Variability"))</f>
        <v/>
      </c>
      <c r="I1441" s="18">
        <f>'Raw Data'!O1441</f>
        <v/>
      </c>
      <c r="J1441" s="14">
        <f>IF(I1441=0,"No Flood",IF(I1441&lt;=0.5,"Low",IF(I1441&lt;=2,"Moderate","High")))</f>
        <v/>
      </c>
    </row>
    <row r="1442" ht="15" customHeight="1" s="12">
      <c r="A1442" s="14">
        <f>'Raw Data'!A1442</f>
        <v/>
      </c>
      <c r="B1442" s="14">
        <f>'Raw Data'!B1442</f>
        <v/>
      </c>
      <c r="C1442" s="14">
        <f>'Raw Data'!C1442</f>
        <v/>
      </c>
      <c r="D1442" s="15">
        <f>'Raw Data'!M1442</f>
        <v/>
      </c>
      <c r="E1442" s="18">
        <f>'Raw Data'!M1442/'Raw Data'!L1442*100</f>
        <v/>
      </c>
      <c r="F1442" s="14">
        <f>IF(E1442&gt;15,"Wet Year",IF(E1442&lt;-15,"Dry Year","Normal Year"))</f>
        <v/>
      </c>
      <c r="G1442" s="16">
        <f>'Raw Data'!I1442</f>
        <v/>
      </c>
      <c r="H1442" s="14">
        <f>IF(G1442&lt;15,"Low Variability",IF(G1442&lt;=35,"Moderate Variability","High Variability"))</f>
        <v/>
      </c>
      <c r="I1442" s="18">
        <f>'Raw Data'!O1442</f>
        <v/>
      </c>
      <c r="J1442" s="14">
        <f>IF(I1442=0,"No Flood",IF(I1442&lt;=0.5,"Low",IF(I1442&lt;=2,"Moderate","High")))</f>
        <v/>
      </c>
    </row>
    <row r="1443" ht="15" customHeight="1" s="12">
      <c r="A1443" s="14">
        <f>'Raw Data'!A1443</f>
        <v/>
      </c>
      <c r="B1443" s="14">
        <f>'Raw Data'!B1443</f>
        <v/>
      </c>
      <c r="C1443" s="14">
        <f>'Raw Data'!C1443</f>
        <v/>
      </c>
      <c r="D1443" s="15">
        <f>'Raw Data'!M1443</f>
        <v/>
      </c>
      <c r="E1443" s="18">
        <f>'Raw Data'!M1443/'Raw Data'!L1443*100</f>
        <v/>
      </c>
      <c r="F1443" s="14">
        <f>IF(E1443&gt;15,"Wet Year",IF(E1443&lt;-15,"Dry Year","Normal Year"))</f>
        <v/>
      </c>
      <c r="G1443" s="16">
        <f>'Raw Data'!I1443</f>
        <v/>
      </c>
      <c r="H1443" s="14">
        <f>IF(G1443&lt;15,"Low Variability",IF(G1443&lt;=35,"Moderate Variability","High Variability"))</f>
        <v/>
      </c>
      <c r="I1443" s="18">
        <f>'Raw Data'!O1443</f>
        <v/>
      </c>
      <c r="J1443" s="14">
        <f>IF(I1443=0,"No Flood",IF(I1443&lt;=0.5,"Low",IF(I1443&lt;=2,"Moderate","High")))</f>
        <v/>
      </c>
    </row>
    <row r="1444" ht="15" customHeight="1" s="12">
      <c r="A1444" s="14">
        <f>'Raw Data'!A1444</f>
        <v/>
      </c>
      <c r="B1444" s="14">
        <f>'Raw Data'!B1444</f>
        <v/>
      </c>
      <c r="C1444" s="14">
        <f>'Raw Data'!C1444</f>
        <v/>
      </c>
      <c r="D1444" s="15">
        <f>'Raw Data'!M1444</f>
        <v/>
      </c>
      <c r="E1444" s="18">
        <f>'Raw Data'!M1444/'Raw Data'!L1444*100</f>
        <v/>
      </c>
      <c r="F1444" s="14">
        <f>IF(E1444&gt;15,"Wet Year",IF(E1444&lt;-15,"Dry Year","Normal Year"))</f>
        <v/>
      </c>
      <c r="G1444" s="16">
        <f>'Raw Data'!I1444</f>
        <v/>
      </c>
      <c r="H1444" s="14">
        <f>IF(G1444&lt;15,"Low Variability",IF(G1444&lt;=35,"Moderate Variability","High Variability"))</f>
        <v/>
      </c>
      <c r="I1444" s="18">
        <f>'Raw Data'!O1444</f>
        <v/>
      </c>
      <c r="J1444" s="14">
        <f>IF(I1444=0,"No Flood",IF(I1444&lt;=0.5,"Low",IF(I1444&lt;=2,"Moderate","High")))</f>
        <v/>
      </c>
    </row>
    <row r="1445" ht="15" customHeight="1" s="12">
      <c r="A1445" s="14">
        <f>'Raw Data'!A1445</f>
        <v/>
      </c>
      <c r="B1445" s="14">
        <f>'Raw Data'!B1445</f>
        <v/>
      </c>
      <c r="C1445" s="14">
        <f>'Raw Data'!C1445</f>
        <v/>
      </c>
      <c r="D1445" s="15">
        <f>'Raw Data'!M1445</f>
        <v/>
      </c>
      <c r="E1445" s="18">
        <f>'Raw Data'!M1445/'Raw Data'!L1445*100</f>
        <v/>
      </c>
      <c r="F1445" s="14">
        <f>IF(E1445&gt;15,"Wet Year",IF(E1445&lt;-15,"Dry Year","Normal Year"))</f>
        <v/>
      </c>
      <c r="G1445" s="16">
        <f>'Raw Data'!I1445</f>
        <v/>
      </c>
      <c r="H1445" s="14">
        <f>IF(G1445&lt;15,"Low Variability",IF(G1445&lt;=35,"Moderate Variability","High Variability"))</f>
        <v/>
      </c>
      <c r="I1445" s="18">
        <f>'Raw Data'!O1445</f>
        <v/>
      </c>
      <c r="J1445" s="14">
        <f>IF(I1445=0,"No Flood",IF(I1445&lt;=0.5,"Low",IF(I1445&lt;=2,"Moderate","High")))</f>
        <v/>
      </c>
    </row>
    <row r="1446" ht="15" customHeight="1" s="12">
      <c r="A1446" s="14">
        <f>'Raw Data'!A1446</f>
        <v/>
      </c>
      <c r="B1446" s="14">
        <f>'Raw Data'!B1446</f>
        <v/>
      </c>
      <c r="C1446" s="14">
        <f>'Raw Data'!C1446</f>
        <v/>
      </c>
      <c r="D1446" s="15">
        <f>'Raw Data'!M1446</f>
        <v/>
      </c>
      <c r="E1446" s="18">
        <f>'Raw Data'!M1446/'Raw Data'!L1446*100</f>
        <v/>
      </c>
      <c r="F1446" s="14">
        <f>IF(E1446&gt;15,"Wet Year",IF(E1446&lt;-15,"Dry Year","Normal Year"))</f>
        <v/>
      </c>
      <c r="G1446" s="16">
        <f>'Raw Data'!I1446</f>
        <v/>
      </c>
      <c r="H1446" s="14">
        <f>IF(G1446&lt;15,"Low Variability",IF(G1446&lt;=35,"Moderate Variability","High Variability"))</f>
        <v/>
      </c>
      <c r="I1446" s="18">
        <f>'Raw Data'!O1446</f>
        <v/>
      </c>
      <c r="J1446" s="14">
        <f>IF(I1446=0,"No Flood",IF(I1446&lt;=0.5,"Low",IF(I1446&lt;=2,"Moderate","High")))</f>
        <v/>
      </c>
    </row>
    <row r="1447" ht="15" customHeight="1" s="12">
      <c r="A1447" s="14">
        <f>'Raw Data'!A1447</f>
        <v/>
      </c>
      <c r="B1447" s="14">
        <f>'Raw Data'!B1447</f>
        <v/>
      </c>
      <c r="C1447" s="14">
        <f>'Raw Data'!C1447</f>
        <v/>
      </c>
      <c r="D1447" s="15">
        <f>'Raw Data'!M1447</f>
        <v/>
      </c>
      <c r="E1447" s="18">
        <f>'Raw Data'!M1447/'Raw Data'!L1447*100</f>
        <v/>
      </c>
      <c r="F1447" s="14">
        <f>IF(E1447&gt;15,"Wet Year",IF(E1447&lt;-15,"Dry Year","Normal Year"))</f>
        <v/>
      </c>
      <c r="G1447" s="16">
        <f>'Raw Data'!I1447</f>
        <v/>
      </c>
      <c r="H1447" s="14">
        <f>IF(G1447&lt;15,"Low Variability",IF(G1447&lt;=35,"Moderate Variability","High Variability"))</f>
        <v/>
      </c>
      <c r="I1447" s="18">
        <f>'Raw Data'!O1447</f>
        <v/>
      </c>
      <c r="J1447" s="14">
        <f>IF(I1447=0,"No Flood",IF(I1447&lt;=0.5,"Low",IF(I1447&lt;=2,"Moderate","High")))</f>
        <v/>
      </c>
    </row>
    <row r="1448" ht="15" customHeight="1" s="12">
      <c r="A1448" s="14">
        <f>'Raw Data'!A1448</f>
        <v/>
      </c>
      <c r="B1448" s="14">
        <f>'Raw Data'!B1448</f>
        <v/>
      </c>
      <c r="C1448" s="14">
        <f>'Raw Data'!C1448</f>
        <v/>
      </c>
      <c r="D1448" s="15">
        <f>'Raw Data'!M1448</f>
        <v/>
      </c>
      <c r="E1448" s="18">
        <f>'Raw Data'!M1448/'Raw Data'!L1448*100</f>
        <v/>
      </c>
      <c r="F1448" s="14">
        <f>IF(E1448&gt;15,"Wet Year",IF(E1448&lt;-15,"Dry Year","Normal Year"))</f>
        <v/>
      </c>
      <c r="G1448" s="16">
        <f>'Raw Data'!I1448</f>
        <v/>
      </c>
      <c r="H1448" s="14">
        <f>IF(G1448&lt;15,"Low Variability",IF(G1448&lt;=35,"Moderate Variability","High Variability"))</f>
        <v/>
      </c>
      <c r="I1448" s="18">
        <f>'Raw Data'!O1448</f>
        <v/>
      </c>
      <c r="J1448" s="14">
        <f>IF(I1448=0,"No Flood",IF(I1448&lt;=0.5,"Low",IF(I1448&lt;=2,"Moderate","High")))</f>
        <v/>
      </c>
    </row>
    <row r="1449" ht="15" customHeight="1" s="12">
      <c r="A1449" s="14">
        <f>'Raw Data'!A1449</f>
        <v/>
      </c>
      <c r="B1449" s="14">
        <f>'Raw Data'!B1449</f>
        <v/>
      </c>
      <c r="C1449" s="14">
        <f>'Raw Data'!C1449</f>
        <v/>
      </c>
      <c r="D1449" s="15">
        <f>'Raw Data'!M1449</f>
        <v/>
      </c>
      <c r="E1449" s="18">
        <f>'Raw Data'!M1449/'Raw Data'!L1449*100</f>
        <v/>
      </c>
      <c r="F1449" s="14">
        <f>IF(E1449&gt;15,"Wet Year",IF(E1449&lt;-15,"Dry Year","Normal Year"))</f>
        <v/>
      </c>
      <c r="G1449" s="16">
        <f>'Raw Data'!I1449</f>
        <v/>
      </c>
      <c r="H1449" s="14">
        <f>IF(G1449&lt;15,"Low Variability",IF(G1449&lt;=35,"Moderate Variability","High Variability"))</f>
        <v/>
      </c>
      <c r="I1449" s="18">
        <f>'Raw Data'!O1449</f>
        <v/>
      </c>
      <c r="J1449" s="14">
        <f>IF(I1449=0,"No Flood",IF(I1449&lt;=0.5,"Low",IF(I1449&lt;=2,"Moderate","High")))</f>
        <v/>
      </c>
    </row>
    <row r="1450" ht="15" customHeight="1" s="12">
      <c r="A1450" s="14">
        <f>'Raw Data'!A1450</f>
        <v/>
      </c>
      <c r="B1450" s="14">
        <f>'Raw Data'!B1450</f>
        <v/>
      </c>
      <c r="C1450" s="14">
        <f>'Raw Data'!C1450</f>
        <v/>
      </c>
      <c r="D1450" s="15">
        <f>'Raw Data'!M1450</f>
        <v/>
      </c>
      <c r="E1450" s="18">
        <f>'Raw Data'!M1450/'Raw Data'!L1450*100</f>
        <v/>
      </c>
      <c r="F1450" s="14">
        <f>IF(E1450&gt;15,"Wet Year",IF(E1450&lt;-15,"Dry Year","Normal Year"))</f>
        <v/>
      </c>
      <c r="G1450" s="16">
        <f>'Raw Data'!I1450</f>
        <v/>
      </c>
      <c r="H1450" s="14">
        <f>IF(G1450&lt;15,"Low Variability",IF(G1450&lt;=35,"Moderate Variability","High Variability"))</f>
        <v/>
      </c>
      <c r="I1450" s="18">
        <f>'Raw Data'!O1450</f>
        <v/>
      </c>
      <c r="J1450" s="14">
        <f>IF(I1450=0,"No Flood",IF(I1450&lt;=0.5,"Low",IF(I1450&lt;=2,"Moderate","High")))</f>
        <v/>
      </c>
    </row>
    <row r="1451" ht="15" customHeight="1" s="12">
      <c r="A1451" s="14">
        <f>'Raw Data'!A1451</f>
        <v/>
      </c>
      <c r="B1451" s="14">
        <f>'Raw Data'!B1451</f>
        <v/>
      </c>
      <c r="C1451" s="14">
        <f>'Raw Data'!C1451</f>
        <v/>
      </c>
      <c r="D1451" s="15">
        <f>'Raw Data'!M1451</f>
        <v/>
      </c>
      <c r="E1451" s="18">
        <f>'Raw Data'!M1451/'Raw Data'!L1451*100</f>
        <v/>
      </c>
      <c r="F1451" s="14">
        <f>IF(E1451&gt;15,"Wet Year",IF(E1451&lt;-15,"Dry Year","Normal Year"))</f>
        <v/>
      </c>
      <c r="G1451" s="16">
        <f>'Raw Data'!I1451</f>
        <v/>
      </c>
      <c r="H1451" s="14">
        <f>IF(G1451&lt;15,"Low Variability",IF(G1451&lt;=35,"Moderate Variability","High Variability"))</f>
        <v/>
      </c>
      <c r="I1451" s="18">
        <f>'Raw Data'!O1451</f>
        <v/>
      </c>
      <c r="J1451" s="14">
        <f>IF(I1451=0,"No Flood",IF(I1451&lt;=0.5,"Low",IF(I1451&lt;=2,"Moderate","High")))</f>
        <v/>
      </c>
    </row>
    <row r="1452" ht="15" customHeight="1" s="12">
      <c r="A1452" s="14">
        <f>'Raw Data'!A1452</f>
        <v/>
      </c>
      <c r="B1452" s="14">
        <f>'Raw Data'!B1452</f>
        <v/>
      </c>
      <c r="C1452" s="14">
        <f>'Raw Data'!C1452</f>
        <v/>
      </c>
      <c r="D1452" s="15">
        <f>'Raw Data'!M1452</f>
        <v/>
      </c>
      <c r="E1452" s="18">
        <f>'Raw Data'!M1452/'Raw Data'!L1452*100</f>
        <v/>
      </c>
      <c r="F1452" s="14">
        <f>IF(E1452&gt;15,"Wet Year",IF(E1452&lt;-15,"Dry Year","Normal Year"))</f>
        <v/>
      </c>
      <c r="G1452" s="16">
        <f>'Raw Data'!I1452</f>
        <v/>
      </c>
      <c r="H1452" s="14">
        <f>IF(G1452&lt;15,"Low Variability",IF(G1452&lt;=35,"Moderate Variability","High Variability"))</f>
        <v/>
      </c>
      <c r="I1452" s="18">
        <f>'Raw Data'!O1452</f>
        <v/>
      </c>
      <c r="J1452" s="14">
        <f>IF(I1452=0,"No Flood",IF(I1452&lt;=0.5,"Low",IF(I1452&lt;=2,"Moderate","High")))</f>
        <v/>
      </c>
    </row>
    <row r="1453" ht="15" customHeight="1" s="12">
      <c r="A1453" s="14">
        <f>'Raw Data'!A1453</f>
        <v/>
      </c>
      <c r="B1453" s="14">
        <f>'Raw Data'!B1453</f>
        <v/>
      </c>
      <c r="C1453" s="14">
        <f>'Raw Data'!C1453</f>
        <v/>
      </c>
      <c r="D1453" s="15">
        <f>'Raw Data'!M1453</f>
        <v/>
      </c>
      <c r="E1453" s="18">
        <f>'Raw Data'!M1453/'Raw Data'!L1453*100</f>
        <v/>
      </c>
      <c r="F1453" s="14">
        <f>IF(E1453&gt;15,"Wet Year",IF(E1453&lt;-15,"Dry Year","Normal Year"))</f>
        <v/>
      </c>
      <c r="G1453" s="16">
        <f>'Raw Data'!I1453</f>
        <v/>
      </c>
      <c r="H1453" s="14">
        <f>IF(G1453&lt;15,"Low Variability",IF(G1453&lt;=35,"Moderate Variability","High Variability"))</f>
        <v/>
      </c>
      <c r="I1453" s="18">
        <f>'Raw Data'!O1453</f>
        <v/>
      </c>
      <c r="J1453" s="14">
        <f>IF(I1453=0,"No Flood",IF(I1453&lt;=0.5,"Low",IF(I1453&lt;=2,"Moderate","High")))</f>
        <v/>
      </c>
    </row>
    <row r="1454" ht="15" customHeight="1" s="12">
      <c r="A1454" s="14">
        <f>'Raw Data'!A1454</f>
        <v/>
      </c>
      <c r="B1454" s="14">
        <f>'Raw Data'!B1454</f>
        <v/>
      </c>
      <c r="C1454" s="14">
        <f>'Raw Data'!C1454</f>
        <v/>
      </c>
      <c r="D1454" s="15">
        <f>'Raw Data'!M1454</f>
        <v/>
      </c>
      <c r="E1454" s="18">
        <f>'Raw Data'!M1454/'Raw Data'!L1454*100</f>
        <v/>
      </c>
      <c r="F1454" s="14">
        <f>IF(E1454&gt;15,"Wet Year",IF(E1454&lt;-15,"Dry Year","Normal Year"))</f>
        <v/>
      </c>
      <c r="G1454" s="16">
        <f>'Raw Data'!I1454</f>
        <v/>
      </c>
      <c r="H1454" s="14">
        <f>IF(G1454&lt;15,"Low Variability",IF(G1454&lt;=35,"Moderate Variability","High Variability"))</f>
        <v/>
      </c>
      <c r="I1454" s="18">
        <f>'Raw Data'!O1454</f>
        <v/>
      </c>
      <c r="J1454" s="14">
        <f>IF(I1454=0,"No Flood",IF(I1454&lt;=0.5,"Low",IF(I1454&lt;=2,"Moderate","High")))</f>
        <v/>
      </c>
    </row>
    <row r="1455" ht="15" customHeight="1" s="12">
      <c r="A1455" s="14">
        <f>'Raw Data'!A1455</f>
        <v/>
      </c>
      <c r="B1455" s="14">
        <f>'Raw Data'!B1455</f>
        <v/>
      </c>
      <c r="C1455" s="14">
        <f>'Raw Data'!C1455</f>
        <v/>
      </c>
      <c r="D1455" s="15">
        <f>'Raw Data'!M1455</f>
        <v/>
      </c>
      <c r="E1455" s="18">
        <f>'Raw Data'!M1455/'Raw Data'!L1455*100</f>
        <v/>
      </c>
      <c r="F1455" s="14">
        <f>IF(E1455&gt;15,"Wet Year",IF(E1455&lt;-15,"Dry Year","Normal Year"))</f>
        <v/>
      </c>
      <c r="G1455" s="16">
        <f>'Raw Data'!I1455</f>
        <v/>
      </c>
      <c r="H1455" s="14">
        <f>IF(G1455&lt;15,"Low Variability",IF(G1455&lt;=35,"Moderate Variability","High Variability"))</f>
        <v/>
      </c>
      <c r="I1455" s="18">
        <f>'Raw Data'!O1455</f>
        <v/>
      </c>
      <c r="J1455" s="14">
        <f>IF(I1455=0,"No Flood",IF(I1455&lt;=0.5,"Low",IF(I1455&lt;=2,"Moderate","High")))</f>
        <v/>
      </c>
    </row>
    <row r="1456" ht="15" customHeight="1" s="12">
      <c r="A1456" s="14">
        <f>'Raw Data'!A1456</f>
        <v/>
      </c>
      <c r="B1456" s="14">
        <f>'Raw Data'!B1456</f>
        <v/>
      </c>
      <c r="C1456" s="14">
        <f>'Raw Data'!C1456</f>
        <v/>
      </c>
      <c r="D1456" s="15">
        <f>'Raw Data'!M1456</f>
        <v/>
      </c>
      <c r="E1456" s="18">
        <f>'Raw Data'!M1456/'Raw Data'!L1456*100</f>
        <v/>
      </c>
      <c r="F1456" s="14">
        <f>IF(E1456&gt;15,"Wet Year",IF(E1456&lt;-15,"Dry Year","Normal Year"))</f>
        <v/>
      </c>
      <c r="G1456" s="16">
        <f>'Raw Data'!I1456</f>
        <v/>
      </c>
      <c r="H1456" s="14">
        <f>IF(G1456&lt;15,"Low Variability",IF(G1456&lt;=35,"Moderate Variability","High Variability"))</f>
        <v/>
      </c>
      <c r="I1456" s="18">
        <f>'Raw Data'!O1456</f>
        <v/>
      </c>
      <c r="J1456" s="14">
        <f>IF(I1456=0,"No Flood",IF(I1456&lt;=0.5,"Low",IF(I1456&lt;=2,"Moderate","High")))</f>
        <v/>
      </c>
    </row>
    <row r="1457" ht="15" customHeight="1" s="12">
      <c r="A1457" s="14">
        <f>'Raw Data'!A1457</f>
        <v/>
      </c>
      <c r="B1457" s="14">
        <f>'Raw Data'!B1457</f>
        <v/>
      </c>
      <c r="C1457" s="14">
        <f>'Raw Data'!C1457</f>
        <v/>
      </c>
      <c r="D1457" s="15">
        <f>'Raw Data'!M1457</f>
        <v/>
      </c>
      <c r="E1457" s="18">
        <f>'Raw Data'!M1457/'Raw Data'!L1457*100</f>
        <v/>
      </c>
      <c r="F1457" s="14">
        <f>IF(E1457&gt;15,"Wet Year",IF(E1457&lt;-15,"Dry Year","Normal Year"))</f>
        <v/>
      </c>
      <c r="G1457" s="16">
        <f>'Raw Data'!I1457</f>
        <v/>
      </c>
      <c r="H1457" s="14">
        <f>IF(G1457&lt;15,"Low Variability",IF(G1457&lt;=35,"Moderate Variability","High Variability"))</f>
        <v/>
      </c>
      <c r="I1457" s="18">
        <f>'Raw Data'!O1457</f>
        <v/>
      </c>
      <c r="J1457" s="14">
        <f>IF(I1457=0,"No Flood",IF(I1457&lt;=0.5,"Low",IF(I1457&lt;=2,"Moderate","High")))</f>
        <v/>
      </c>
    </row>
    <row r="1458" ht="15" customHeight="1" s="12">
      <c r="A1458" s="14">
        <f>'Raw Data'!A1458</f>
        <v/>
      </c>
      <c r="B1458" s="14">
        <f>'Raw Data'!B1458</f>
        <v/>
      </c>
      <c r="C1458" s="14">
        <f>'Raw Data'!C1458</f>
        <v/>
      </c>
      <c r="D1458" s="15">
        <f>'Raw Data'!M1458</f>
        <v/>
      </c>
      <c r="E1458" s="18">
        <f>'Raw Data'!M1458/'Raw Data'!L1458*100</f>
        <v/>
      </c>
      <c r="F1458" s="14">
        <f>IF(E1458&gt;15,"Wet Year",IF(E1458&lt;-15,"Dry Year","Normal Year"))</f>
        <v/>
      </c>
      <c r="G1458" s="16">
        <f>'Raw Data'!I1458</f>
        <v/>
      </c>
      <c r="H1458" s="14">
        <f>IF(G1458&lt;15,"Low Variability",IF(G1458&lt;=35,"Moderate Variability","High Variability"))</f>
        <v/>
      </c>
      <c r="I1458" s="18">
        <f>'Raw Data'!O1458</f>
        <v/>
      </c>
      <c r="J1458" s="14">
        <f>IF(I1458=0,"No Flood",IF(I1458&lt;=0.5,"Low",IF(I1458&lt;=2,"Moderate","High")))</f>
        <v/>
      </c>
    </row>
    <row r="1459" ht="15" customHeight="1" s="12">
      <c r="A1459" s="14">
        <f>'Raw Data'!A1459</f>
        <v/>
      </c>
      <c r="B1459" s="14">
        <f>'Raw Data'!B1459</f>
        <v/>
      </c>
      <c r="C1459" s="14">
        <f>'Raw Data'!C1459</f>
        <v/>
      </c>
      <c r="D1459" s="15">
        <f>'Raw Data'!M1459</f>
        <v/>
      </c>
      <c r="E1459" s="18">
        <f>'Raw Data'!M1459/'Raw Data'!L1459*100</f>
        <v/>
      </c>
      <c r="F1459" s="14">
        <f>IF(E1459&gt;15,"Wet Year",IF(E1459&lt;-15,"Dry Year","Normal Year"))</f>
        <v/>
      </c>
      <c r="G1459" s="16">
        <f>'Raw Data'!I1459</f>
        <v/>
      </c>
      <c r="H1459" s="14">
        <f>IF(G1459&lt;15,"Low Variability",IF(G1459&lt;=35,"Moderate Variability","High Variability"))</f>
        <v/>
      </c>
      <c r="I1459" s="18">
        <f>'Raw Data'!O1459</f>
        <v/>
      </c>
      <c r="J1459" s="14">
        <f>IF(I1459=0,"No Flood",IF(I1459&lt;=0.5,"Low",IF(I1459&lt;=2,"Moderate","High")))</f>
        <v/>
      </c>
    </row>
    <row r="1460" ht="15" customHeight="1" s="12">
      <c r="A1460" s="14">
        <f>'Raw Data'!A1460</f>
        <v/>
      </c>
      <c r="B1460" s="14">
        <f>'Raw Data'!B1460</f>
        <v/>
      </c>
      <c r="C1460" s="14">
        <f>'Raw Data'!C1460</f>
        <v/>
      </c>
      <c r="D1460" s="15">
        <f>'Raw Data'!M1460</f>
        <v/>
      </c>
      <c r="E1460" s="18">
        <f>'Raw Data'!M1460/'Raw Data'!L1460*100</f>
        <v/>
      </c>
      <c r="F1460" s="14">
        <f>IF(E1460&gt;15,"Wet Year",IF(E1460&lt;-15,"Dry Year","Normal Year"))</f>
        <v/>
      </c>
      <c r="G1460" s="16">
        <f>'Raw Data'!I1460</f>
        <v/>
      </c>
      <c r="H1460" s="14">
        <f>IF(G1460&lt;15,"Low Variability",IF(G1460&lt;=35,"Moderate Variability","High Variability"))</f>
        <v/>
      </c>
      <c r="I1460" s="18">
        <f>'Raw Data'!O1460</f>
        <v/>
      </c>
      <c r="J1460" s="14">
        <f>IF(I1460=0,"No Flood",IF(I1460&lt;=0.5,"Low",IF(I1460&lt;=2,"Moderate","High")))</f>
        <v/>
      </c>
    </row>
    <row r="1461" ht="15" customHeight="1" s="12">
      <c r="A1461" s="14">
        <f>'Raw Data'!A1461</f>
        <v/>
      </c>
      <c r="B1461" s="14">
        <f>'Raw Data'!B1461</f>
        <v/>
      </c>
      <c r="C1461" s="14">
        <f>'Raw Data'!C1461</f>
        <v/>
      </c>
      <c r="D1461" s="15">
        <f>'Raw Data'!M1461</f>
        <v/>
      </c>
      <c r="E1461" s="18">
        <f>'Raw Data'!M1461/'Raw Data'!L1461*100</f>
        <v/>
      </c>
      <c r="F1461" s="14">
        <f>IF(E1461&gt;15,"Wet Year",IF(E1461&lt;-15,"Dry Year","Normal Year"))</f>
        <v/>
      </c>
      <c r="G1461" s="16">
        <f>'Raw Data'!I1461</f>
        <v/>
      </c>
      <c r="H1461" s="14">
        <f>IF(G1461&lt;15,"Low Variability",IF(G1461&lt;=35,"Moderate Variability","High Variability"))</f>
        <v/>
      </c>
      <c r="I1461" s="18">
        <f>'Raw Data'!O1461</f>
        <v/>
      </c>
      <c r="J1461" s="14">
        <f>IF(I1461=0,"No Flood",IF(I1461&lt;=0.5,"Low",IF(I1461&lt;=2,"Moderate","High")))</f>
        <v/>
      </c>
    </row>
    <row r="1462" ht="15" customHeight="1" s="12">
      <c r="A1462" s="14">
        <f>'Raw Data'!A1462</f>
        <v/>
      </c>
      <c r="B1462" s="14">
        <f>'Raw Data'!B1462</f>
        <v/>
      </c>
      <c r="C1462" s="14">
        <f>'Raw Data'!C1462</f>
        <v/>
      </c>
      <c r="D1462" s="15">
        <f>'Raw Data'!M1462</f>
        <v/>
      </c>
      <c r="E1462" s="18">
        <f>'Raw Data'!M1462/'Raw Data'!L1462*100</f>
        <v/>
      </c>
      <c r="F1462" s="14">
        <f>IF(E1462&gt;15,"Wet Year",IF(E1462&lt;-15,"Dry Year","Normal Year"))</f>
        <v/>
      </c>
      <c r="G1462" s="16">
        <f>'Raw Data'!I1462</f>
        <v/>
      </c>
      <c r="H1462" s="14">
        <f>IF(G1462&lt;15,"Low Variability",IF(G1462&lt;=35,"Moderate Variability","High Variability"))</f>
        <v/>
      </c>
      <c r="I1462" s="18">
        <f>'Raw Data'!O1462</f>
        <v/>
      </c>
      <c r="J1462" s="14">
        <f>IF(I1462=0,"No Flood",IF(I1462&lt;=0.5,"Low",IF(I1462&lt;=2,"Moderate","High")))</f>
        <v/>
      </c>
    </row>
    <row r="1463" ht="15" customHeight="1" s="12">
      <c r="A1463" s="14">
        <f>'Raw Data'!A1463</f>
        <v/>
      </c>
      <c r="B1463" s="14">
        <f>'Raw Data'!B1463</f>
        <v/>
      </c>
      <c r="C1463" s="14">
        <f>'Raw Data'!C1463</f>
        <v/>
      </c>
      <c r="D1463" s="15">
        <f>'Raw Data'!M1463</f>
        <v/>
      </c>
      <c r="E1463" s="18">
        <f>'Raw Data'!M1463/'Raw Data'!L1463*100</f>
        <v/>
      </c>
      <c r="F1463" s="14">
        <f>IF(E1463&gt;15,"Wet Year",IF(E1463&lt;-15,"Dry Year","Normal Year"))</f>
        <v/>
      </c>
      <c r="G1463" s="16">
        <f>'Raw Data'!I1463</f>
        <v/>
      </c>
      <c r="H1463" s="14">
        <f>IF(G1463&lt;15,"Low Variability",IF(G1463&lt;=35,"Moderate Variability","High Variability"))</f>
        <v/>
      </c>
      <c r="I1463" s="18">
        <f>'Raw Data'!O1463</f>
        <v/>
      </c>
      <c r="J1463" s="14">
        <f>IF(I1463=0,"No Flood",IF(I1463&lt;=0.5,"Low",IF(I1463&lt;=2,"Moderate","High")))</f>
        <v/>
      </c>
    </row>
    <row r="1464" ht="15" customHeight="1" s="12">
      <c r="A1464" s="14">
        <f>'Raw Data'!A1464</f>
        <v/>
      </c>
      <c r="B1464" s="14">
        <f>'Raw Data'!B1464</f>
        <v/>
      </c>
      <c r="C1464" s="14">
        <f>'Raw Data'!C1464</f>
        <v/>
      </c>
      <c r="D1464" s="15">
        <f>'Raw Data'!M1464</f>
        <v/>
      </c>
      <c r="E1464" s="18">
        <f>'Raw Data'!M1464/'Raw Data'!L1464*100</f>
        <v/>
      </c>
      <c r="F1464" s="14">
        <f>IF(E1464&gt;15,"Wet Year",IF(E1464&lt;-15,"Dry Year","Normal Year"))</f>
        <v/>
      </c>
      <c r="G1464" s="16">
        <f>'Raw Data'!I1464</f>
        <v/>
      </c>
      <c r="H1464" s="14">
        <f>IF(G1464&lt;15,"Low Variability",IF(G1464&lt;=35,"Moderate Variability","High Variability"))</f>
        <v/>
      </c>
      <c r="I1464" s="18">
        <f>'Raw Data'!O1464</f>
        <v/>
      </c>
      <c r="J1464" s="14">
        <f>IF(I1464=0,"No Flood",IF(I1464&lt;=0.5,"Low",IF(I1464&lt;=2,"Moderate","High")))</f>
        <v/>
      </c>
    </row>
    <row r="1465" ht="15" customHeight="1" s="12">
      <c r="A1465" s="14">
        <f>'Raw Data'!A1465</f>
        <v/>
      </c>
      <c r="B1465" s="14">
        <f>'Raw Data'!B1465</f>
        <v/>
      </c>
      <c r="C1465" s="14">
        <f>'Raw Data'!C1465</f>
        <v/>
      </c>
      <c r="D1465" s="15">
        <f>'Raw Data'!M1465</f>
        <v/>
      </c>
      <c r="E1465" s="18">
        <f>'Raw Data'!M1465/'Raw Data'!L1465*100</f>
        <v/>
      </c>
      <c r="F1465" s="14">
        <f>IF(E1465&gt;15,"Wet Year",IF(E1465&lt;-15,"Dry Year","Normal Year"))</f>
        <v/>
      </c>
      <c r="G1465" s="16">
        <f>'Raw Data'!I1465</f>
        <v/>
      </c>
      <c r="H1465" s="14">
        <f>IF(G1465&lt;15,"Low Variability",IF(G1465&lt;=35,"Moderate Variability","High Variability"))</f>
        <v/>
      </c>
      <c r="I1465" s="18">
        <f>'Raw Data'!O1465</f>
        <v/>
      </c>
      <c r="J1465" s="14">
        <f>IF(I1465=0,"No Flood",IF(I1465&lt;=0.5,"Low",IF(I1465&lt;=2,"Moderate","High")))</f>
        <v/>
      </c>
    </row>
    <row r="1466" ht="15" customHeight="1" s="12">
      <c r="A1466" s="14">
        <f>'Raw Data'!A1466</f>
        <v/>
      </c>
      <c r="B1466" s="14">
        <f>'Raw Data'!B1466</f>
        <v/>
      </c>
      <c r="C1466" s="14">
        <f>'Raw Data'!C1466</f>
        <v/>
      </c>
      <c r="D1466" s="15">
        <f>'Raw Data'!M1466</f>
        <v/>
      </c>
      <c r="E1466" s="18">
        <f>'Raw Data'!M1466/'Raw Data'!L1466*100</f>
        <v/>
      </c>
      <c r="F1466" s="14">
        <f>IF(E1466&gt;15,"Wet Year",IF(E1466&lt;-15,"Dry Year","Normal Year"))</f>
        <v/>
      </c>
      <c r="G1466" s="16">
        <f>'Raw Data'!I1466</f>
        <v/>
      </c>
      <c r="H1466" s="14">
        <f>IF(G1466&lt;15,"Low Variability",IF(G1466&lt;=35,"Moderate Variability","High Variability"))</f>
        <v/>
      </c>
      <c r="I1466" s="18">
        <f>'Raw Data'!O1466</f>
        <v/>
      </c>
      <c r="J1466" s="14">
        <f>IF(I1466=0,"No Flood",IF(I1466&lt;=0.5,"Low",IF(I1466&lt;=2,"Moderate","High")))</f>
        <v/>
      </c>
    </row>
    <row r="1467" ht="15" customHeight="1" s="12">
      <c r="A1467" s="14">
        <f>'Raw Data'!A1467</f>
        <v/>
      </c>
      <c r="B1467" s="14">
        <f>'Raw Data'!B1467</f>
        <v/>
      </c>
      <c r="C1467" s="14">
        <f>'Raw Data'!C1467</f>
        <v/>
      </c>
      <c r="D1467" s="15">
        <f>'Raw Data'!M1467</f>
        <v/>
      </c>
      <c r="E1467" s="18">
        <f>'Raw Data'!M1467/'Raw Data'!L1467*100</f>
        <v/>
      </c>
      <c r="F1467" s="14">
        <f>IF(E1467&gt;15,"Wet Year",IF(E1467&lt;-15,"Dry Year","Normal Year"))</f>
        <v/>
      </c>
      <c r="G1467" s="16">
        <f>'Raw Data'!I1467</f>
        <v/>
      </c>
      <c r="H1467" s="14">
        <f>IF(G1467&lt;15,"Low Variability",IF(G1467&lt;=35,"Moderate Variability","High Variability"))</f>
        <v/>
      </c>
      <c r="I1467" s="18">
        <f>'Raw Data'!O1467</f>
        <v/>
      </c>
      <c r="J1467" s="14">
        <f>IF(I1467=0,"No Flood",IF(I1467&lt;=0.5,"Low",IF(I1467&lt;=2,"Moderate","High")))</f>
        <v/>
      </c>
    </row>
    <row r="1468" ht="15" customHeight="1" s="12">
      <c r="A1468" s="14">
        <f>'Raw Data'!A1468</f>
        <v/>
      </c>
      <c r="B1468" s="14">
        <f>'Raw Data'!B1468</f>
        <v/>
      </c>
      <c r="C1468" s="14">
        <f>'Raw Data'!C1468</f>
        <v/>
      </c>
      <c r="D1468" s="15">
        <f>'Raw Data'!M1468</f>
        <v/>
      </c>
      <c r="E1468" s="18">
        <f>'Raw Data'!M1468/'Raw Data'!L1468*100</f>
        <v/>
      </c>
      <c r="F1468" s="14">
        <f>IF(E1468&gt;15,"Wet Year",IF(E1468&lt;-15,"Dry Year","Normal Year"))</f>
        <v/>
      </c>
      <c r="G1468" s="16">
        <f>'Raw Data'!I1468</f>
        <v/>
      </c>
      <c r="H1468" s="14">
        <f>IF(G1468&lt;15,"Low Variability",IF(G1468&lt;=35,"Moderate Variability","High Variability"))</f>
        <v/>
      </c>
      <c r="I1468" s="18">
        <f>'Raw Data'!O1468</f>
        <v/>
      </c>
      <c r="J1468" s="14">
        <f>IF(I1468=0,"No Flood",IF(I1468&lt;=0.5,"Low",IF(I1468&lt;=2,"Moderate","High")))</f>
        <v/>
      </c>
    </row>
    <row r="1469" ht="15" customHeight="1" s="12">
      <c r="A1469" s="14">
        <f>'Raw Data'!A1469</f>
        <v/>
      </c>
      <c r="B1469" s="14">
        <f>'Raw Data'!B1469</f>
        <v/>
      </c>
      <c r="C1469" s="14">
        <f>'Raw Data'!C1469</f>
        <v/>
      </c>
      <c r="D1469" s="15">
        <f>'Raw Data'!M1469</f>
        <v/>
      </c>
      <c r="E1469" s="18">
        <f>'Raw Data'!M1469/'Raw Data'!L1469*100</f>
        <v/>
      </c>
      <c r="F1469" s="14">
        <f>IF(E1469&gt;15,"Wet Year",IF(E1469&lt;-15,"Dry Year","Normal Year"))</f>
        <v/>
      </c>
      <c r="G1469" s="16">
        <f>'Raw Data'!I1469</f>
        <v/>
      </c>
      <c r="H1469" s="14">
        <f>IF(G1469&lt;15,"Low Variability",IF(G1469&lt;=35,"Moderate Variability","High Variability"))</f>
        <v/>
      </c>
      <c r="I1469" s="18">
        <f>'Raw Data'!O1469</f>
        <v/>
      </c>
      <c r="J1469" s="14">
        <f>IF(I1469=0,"No Flood",IF(I1469&lt;=0.5,"Low",IF(I1469&lt;=2,"Moderate","High")))</f>
        <v/>
      </c>
    </row>
    <row r="1470" ht="15" customHeight="1" s="12">
      <c r="A1470" s="14">
        <f>'Raw Data'!A1470</f>
        <v/>
      </c>
      <c r="B1470" s="14">
        <f>'Raw Data'!B1470</f>
        <v/>
      </c>
      <c r="C1470" s="14">
        <f>'Raw Data'!C1470</f>
        <v/>
      </c>
      <c r="D1470" s="15">
        <f>'Raw Data'!M1470</f>
        <v/>
      </c>
      <c r="E1470" s="18">
        <f>'Raw Data'!M1470/'Raw Data'!L1470*100</f>
        <v/>
      </c>
      <c r="F1470" s="14">
        <f>IF(E1470&gt;15,"Wet Year",IF(E1470&lt;-15,"Dry Year","Normal Year"))</f>
        <v/>
      </c>
      <c r="G1470" s="16">
        <f>'Raw Data'!I1470</f>
        <v/>
      </c>
      <c r="H1470" s="14">
        <f>IF(G1470&lt;15,"Low Variability",IF(G1470&lt;=35,"Moderate Variability","High Variability"))</f>
        <v/>
      </c>
      <c r="I1470" s="18">
        <f>'Raw Data'!O1470</f>
        <v/>
      </c>
      <c r="J1470" s="14">
        <f>IF(I1470=0,"No Flood",IF(I1470&lt;=0.5,"Low",IF(I1470&lt;=2,"Moderate","High")))</f>
        <v/>
      </c>
    </row>
    <row r="1471" ht="15" customHeight="1" s="12">
      <c r="A1471" s="14">
        <f>'Raw Data'!A1471</f>
        <v/>
      </c>
      <c r="B1471" s="14">
        <f>'Raw Data'!B1471</f>
        <v/>
      </c>
      <c r="C1471" s="14">
        <f>'Raw Data'!C1471</f>
        <v/>
      </c>
      <c r="D1471" s="15">
        <f>'Raw Data'!M1471</f>
        <v/>
      </c>
      <c r="E1471" s="18">
        <f>'Raw Data'!M1471/'Raw Data'!L1471*100</f>
        <v/>
      </c>
      <c r="F1471" s="14">
        <f>IF(E1471&gt;15,"Wet Year",IF(E1471&lt;-15,"Dry Year","Normal Year"))</f>
        <v/>
      </c>
      <c r="G1471" s="16">
        <f>'Raw Data'!I1471</f>
        <v/>
      </c>
      <c r="H1471" s="14">
        <f>IF(G1471&lt;15,"Low Variability",IF(G1471&lt;=35,"Moderate Variability","High Variability"))</f>
        <v/>
      </c>
      <c r="I1471" s="18">
        <f>'Raw Data'!O1471</f>
        <v/>
      </c>
      <c r="J1471" s="14">
        <f>IF(I1471=0,"No Flood",IF(I1471&lt;=0.5,"Low",IF(I1471&lt;=2,"Moderate","High")))</f>
        <v/>
      </c>
    </row>
    <row r="1472" ht="15" customHeight="1" s="12">
      <c r="A1472" s="14">
        <f>'Raw Data'!A1472</f>
        <v/>
      </c>
      <c r="B1472" s="14">
        <f>'Raw Data'!B1472</f>
        <v/>
      </c>
      <c r="C1472" s="14">
        <f>'Raw Data'!C1472</f>
        <v/>
      </c>
      <c r="D1472" s="15">
        <f>'Raw Data'!M1472</f>
        <v/>
      </c>
      <c r="E1472" s="18">
        <f>'Raw Data'!M1472/'Raw Data'!L1472*100</f>
        <v/>
      </c>
      <c r="F1472" s="14">
        <f>IF(E1472&gt;15,"Wet Year",IF(E1472&lt;-15,"Dry Year","Normal Year"))</f>
        <v/>
      </c>
      <c r="G1472" s="16">
        <f>'Raw Data'!I1472</f>
        <v/>
      </c>
      <c r="H1472" s="14">
        <f>IF(G1472&lt;15,"Low Variability",IF(G1472&lt;=35,"Moderate Variability","High Variability"))</f>
        <v/>
      </c>
      <c r="I1472" s="18">
        <f>'Raw Data'!O1472</f>
        <v/>
      </c>
      <c r="J1472" s="14">
        <f>IF(I1472=0,"No Flood",IF(I1472&lt;=0.5,"Low",IF(I1472&lt;=2,"Moderate","High")))</f>
        <v/>
      </c>
    </row>
    <row r="1473" ht="15" customHeight="1" s="12">
      <c r="A1473" s="14">
        <f>'Raw Data'!A1473</f>
        <v/>
      </c>
      <c r="B1473" s="14">
        <f>'Raw Data'!B1473</f>
        <v/>
      </c>
      <c r="C1473" s="14">
        <f>'Raw Data'!C1473</f>
        <v/>
      </c>
      <c r="D1473" s="15">
        <f>'Raw Data'!M1473</f>
        <v/>
      </c>
      <c r="E1473" s="18">
        <f>'Raw Data'!M1473/'Raw Data'!L1473*100</f>
        <v/>
      </c>
      <c r="F1473" s="14">
        <f>IF(E1473&gt;15,"Wet Year",IF(E1473&lt;-15,"Dry Year","Normal Year"))</f>
        <v/>
      </c>
      <c r="G1473" s="16">
        <f>'Raw Data'!I1473</f>
        <v/>
      </c>
      <c r="H1473" s="14">
        <f>IF(G1473&lt;15,"Low Variability",IF(G1473&lt;=35,"Moderate Variability","High Variability"))</f>
        <v/>
      </c>
      <c r="I1473" s="18">
        <f>'Raw Data'!O1473</f>
        <v/>
      </c>
      <c r="J1473" s="14">
        <f>IF(I1473=0,"No Flood",IF(I1473&lt;=0.5,"Low",IF(I1473&lt;=2,"Moderate","High")))</f>
        <v/>
      </c>
    </row>
    <row r="1474" ht="15" customHeight="1" s="12">
      <c r="A1474" s="14">
        <f>'Raw Data'!A1474</f>
        <v/>
      </c>
      <c r="B1474" s="14">
        <f>'Raw Data'!B1474</f>
        <v/>
      </c>
      <c r="C1474" s="14">
        <f>'Raw Data'!C1474</f>
        <v/>
      </c>
      <c r="D1474" s="15">
        <f>'Raw Data'!M1474</f>
        <v/>
      </c>
      <c r="E1474" s="18">
        <f>'Raw Data'!M1474/'Raw Data'!L1474*100</f>
        <v/>
      </c>
      <c r="F1474" s="14">
        <f>IF(E1474&gt;15,"Wet Year",IF(E1474&lt;-15,"Dry Year","Normal Year"))</f>
        <v/>
      </c>
      <c r="G1474" s="16">
        <f>'Raw Data'!I1474</f>
        <v/>
      </c>
      <c r="H1474" s="14">
        <f>IF(G1474&lt;15,"Low Variability",IF(G1474&lt;=35,"Moderate Variability","High Variability"))</f>
        <v/>
      </c>
      <c r="I1474" s="18">
        <f>'Raw Data'!O1474</f>
        <v/>
      </c>
      <c r="J1474" s="14">
        <f>IF(I1474=0,"No Flood",IF(I1474&lt;=0.5,"Low",IF(I1474&lt;=2,"Moderate","High")))</f>
        <v/>
      </c>
    </row>
    <row r="1475" ht="15" customHeight="1" s="12">
      <c r="A1475" s="14">
        <f>'Raw Data'!A1475</f>
        <v/>
      </c>
      <c r="B1475" s="14">
        <f>'Raw Data'!B1475</f>
        <v/>
      </c>
      <c r="C1475" s="14">
        <f>'Raw Data'!C1475</f>
        <v/>
      </c>
      <c r="D1475" s="15">
        <f>'Raw Data'!M1475</f>
        <v/>
      </c>
      <c r="E1475" s="18">
        <f>'Raw Data'!M1475/'Raw Data'!L1475*100</f>
        <v/>
      </c>
      <c r="F1475" s="14">
        <f>IF(E1475&gt;15,"Wet Year",IF(E1475&lt;-15,"Dry Year","Normal Year"))</f>
        <v/>
      </c>
      <c r="G1475" s="16">
        <f>'Raw Data'!I1475</f>
        <v/>
      </c>
      <c r="H1475" s="14">
        <f>IF(G1475&lt;15,"Low Variability",IF(G1475&lt;=35,"Moderate Variability","High Variability"))</f>
        <v/>
      </c>
      <c r="I1475" s="18">
        <f>'Raw Data'!O1475</f>
        <v/>
      </c>
      <c r="J1475" s="14">
        <f>IF(I1475=0,"No Flood",IF(I1475&lt;=0.5,"Low",IF(I1475&lt;=2,"Moderate","High")))</f>
        <v/>
      </c>
    </row>
    <row r="1476" ht="15" customHeight="1" s="12">
      <c r="A1476" s="14">
        <f>'Raw Data'!A1476</f>
        <v/>
      </c>
      <c r="B1476" s="14">
        <f>'Raw Data'!B1476</f>
        <v/>
      </c>
      <c r="C1476" s="14">
        <f>'Raw Data'!C1476</f>
        <v/>
      </c>
      <c r="D1476" s="15">
        <f>'Raw Data'!M1476</f>
        <v/>
      </c>
      <c r="E1476" s="18">
        <f>'Raw Data'!M1476/'Raw Data'!L1476*100</f>
        <v/>
      </c>
      <c r="F1476" s="14">
        <f>IF(E1476&gt;15,"Wet Year",IF(E1476&lt;-15,"Dry Year","Normal Year"))</f>
        <v/>
      </c>
      <c r="G1476" s="16">
        <f>'Raw Data'!I1476</f>
        <v/>
      </c>
      <c r="H1476" s="14">
        <f>IF(G1476&lt;15,"Low Variability",IF(G1476&lt;=35,"Moderate Variability","High Variability"))</f>
        <v/>
      </c>
      <c r="I1476" s="18">
        <f>'Raw Data'!O1476</f>
        <v/>
      </c>
      <c r="J1476" s="14">
        <f>IF(I1476=0,"No Flood",IF(I1476&lt;=0.5,"Low",IF(I1476&lt;=2,"Moderate","High")))</f>
        <v/>
      </c>
    </row>
    <row r="1477" ht="15" customHeight="1" s="12">
      <c r="A1477" s="14">
        <f>'Raw Data'!A1477</f>
        <v/>
      </c>
      <c r="B1477" s="14">
        <f>'Raw Data'!B1477</f>
        <v/>
      </c>
      <c r="C1477" s="14">
        <f>'Raw Data'!C1477</f>
        <v/>
      </c>
      <c r="D1477" s="15">
        <f>'Raw Data'!M1477</f>
        <v/>
      </c>
      <c r="E1477" s="18">
        <f>'Raw Data'!M1477/'Raw Data'!L1477*100</f>
        <v/>
      </c>
      <c r="F1477" s="14">
        <f>IF(E1477&gt;15,"Wet Year",IF(E1477&lt;-15,"Dry Year","Normal Year"))</f>
        <v/>
      </c>
      <c r="G1477" s="16">
        <f>'Raw Data'!I1477</f>
        <v/>
      </c>
      <c r="H1477" s="14">
        <f>IF(G1477&lt;15,"Low Variability",IF(G1477&lt;=35,"Moderate Variability","High Variability"))</f>
        <v/>
      </c>
      <c r="I1477" s="18">
        <f>'Raw Data'!O1477</f>
        <v/>
      </c>
      <c r="J1477" s="14">
        <f>IF(I1477=0,"No Flood",IF(I1477&lt;=0.5,"Low",IF(I1477&lt;=2,"Moderate","High")))</f>
        <v/>
      </c>
    </row>
    <row r="1478" ht="15" customHeight="1" s="12">
      <c r="A1478" s="14">
        <f>'Raw Data'!A1478</f>
        <v/>
      </c>
      <c r="B1478" s="14">
        <f>'Raw Data'!B1478</f>
        <v/>
      </c>
      <c r="C1478" s="14">
        <f>'Raw Data'!C1478</f>
        <v/>
      </c>
      <c r="D1478" s="15">
        <f>'Raw Data'!M1478</f>
        <v/>
      </c>
      <c r="E1478" s="18">
        <f>'Raw Data'!M1478/'Raw Data'!L1478*100</f>
        <v/>
      </c>
      <c r="F1478" s="14">
        <f>IF(E1478&gt;15,"Wet Year",IF(E1478&lt;-15,"Dry Year","Normal Year"))</f>
        <v/>
      </c>
      <c r="G1478" s="16">
        <f>'Raw Data'!I1478</f>
        <v/>
      </c>
      <c r="H1478" s="14">
        <f>IF(G1478&lt;15,"Low Variability",IF(G1478&lt;=35,"Moderate Variability","High Variability"))</f>
        <v/>
      </c>
      <c r="I1478" s="18">
        <f>'Raw Data'!O1478</f>
        <v/>
      </c>
      <c r="J1478" s="14">
        <f>IF(I1478=0,"No Flood",IF(I1478&lt;=0.5,"Low",IF(I1478&lt;=2,"Moderate","High")))</f>
        <v/>
      </c>
    </row>
    <row r="1479" ht="15" customHeight="1" s="12">
      <c r="A1479" s="14">
        <f>'Raw Data'!A1479</f>
        <v/>
      </c>
      <c r="B1479" s="14">
        <f>'Raw Data'!B1479</f>
        <v/>
      </c>
      <c r="C1479" s="14">
        <f>'Raw Data'!C1479</f>
        <v/>
      </c>
      <c r="D1479" s="15">
        <f>'Raw Data'!M1479</f>
        <v/>
      </c>
      <c r="E1479" s="18">
        <f>'Raw Data'!M1479/'Raw Data'!L1479*100</f>
        <v/>
      </c>
      <c r="F1479" s="14">
        <f>IF(E1479&gt;15,"Wet Year",IF(E1479&lt;-15,"Dry Year","Normal Year"))</f>
        <v/>
      </c>
      <c r="G1479" s="16">
        <f>'Raw Data'!I1479</f>
        <v/>
      </c>
      <c r="H1479" s="14">
        <f>IF(G1479&lt;15,"Low Variability",IF(G1479&lt;=35,"Moderate Variability","High Variability"))</f>
        <v/>
      </c>
      <c r="I1479" s="18">
        <f>'Raw Data'!O1479</f>
        <v/>
      </c>
      <c r="J1479" s="14">
        <f>IF(I1479=0,"No Flood",IF(I1479&lt;=0.5,"Low",IF(I1479&lt;=2,"Moderate","High")))</f>
        <v/>
      </c>
    </row>
    <row r="1480" ht="15" customHeight="1" s="12">
      <c r="A1480" s="14">
        <f>'Raw Data'!A1480</f>
        <v/>
      </c>
      <c r="B1480" s="14">
        <f>'Raw Data'!B1480</f>
        <v/>
      </c>
      <c r="C1480" s="14">
        <f>'Raw Data'!C1480</f>
        <v/>
      </c>
      <c r="D1480" s="15">
        <f>'Raw Data'!M1480</f>
        <v/>
      </c>
      <c r="E1480" s="18">
        <f>'Raw Data'!M1480/'Raw Data'!L1480*100</f>
        <v/>
      </c>
      <c r="F1480" s="14">
        <f>IF(E1480&gt;15,"Wet Year",IF(E1480&lt;-15,"Dry Year","Normal Year"))</f>
        <v/>
      </c>
      <c r="G1480" s="16">
        <f>'Raw Data'!I1480</f>
        <v/>
      </c>
      <c r="H1480" s="14">
        <f>IF(G1480&lt;15,"Low Variability",IF(G1480&lt;=35,"Moderate Variability","High Variability"))</f>
        <v/>
      </c>
      <c r="I1480" s="18">
        <f>'Raw Data'!O1480</f>
        <v/>
      </c>
      <c r="J1480" s="14">
        <f>IF(I1480=0,"No Flood",IF(I1480&lt;=0.5,"Low",IF(I1480&lt;=2,"Moderate","High")))</f>
        <v/>
      </c>
    </row>
    <row r="1481" ht="15" customHeight="1" s="12">
      <c r="A1481" s="14">
        <f>'Raw Data'!A1481</f>
        <v/>
      </c>
      <c r="B1481" s="14">
        <f>'Raw Data'!B1481</f>
        <v/>
      </c>
      <c r="C1481" s="14">
        <f>'Raw Data'!C1481</f>
        <v/>
      </c>
      <c r="D1481" s="15">
        <f>'Raw Data'!M1481</f>
        <v/>
      </c>
      <c r="E1481" s="18">
        <f>'Raw Data'!M1481/'Raw Data'!L1481*100</f>
        <v/>
      </c>
      <c r="F1481" s="14">
        <f>IF(E1481&gt;15,"Wet Year",IF(E1481&lt;-15,"Dry Year","Normal Year"))</f>
        <v/>
      </c>
      <c r="G1481" s="16">
        <f>'Raw Data'!I1481</f>
        <v/>
      </c>
      <c r="H1481" s="14">
        <f>IF(G1481&lt;15,"Low Variability",IF(G1481&lt;=35,"Moderate Variability","High Variability"))</f>
        <v/>
      </c>
      <c r="I1481" s="18">
        <f>'Raw Data'!O1481</f>
        <v/>
      </c>
      <c r="J1481" s="14">
        <f>IF(I1481=0,"No Flood",IF(I1481&lt;=0.5,"Low",IF(I1481&lt;=2,"Moderate","High")))</f>
        <v/>
      </c>
    </row>
    <row r="1482" ht="15" customHeight="1" s="12">
      <c r="A1482" s="14">
        <f>'Raw Data'!A1482</f>
        <v/>
      </c>
      <c r="B1482" s="14">
        <f>'Raw Data'!B1482</f>
        <v/>
      </c>
      <c r="C1482" s="14">
        <f>'Raw Data'!C1482</f>
        <v/>
      </c>
      <c r="D1482" s="15">
        <f>'Raw Data'!M1482</f>
        <v/>
      </c>
      <c r="E1482" s="18">
        <f>'Raw Data'!M1482/'Raw Data'!L1482*100</f>
        <v/>
      </c>
      <c r="F1482" s="14">
        <f>IF(E1482&gt;15,"Wet Year",IF(E1482&lt;-15,"Dry Year","Normal Year"))</f>
        <v/>
      </c>
      <c r="G1482" s="16">
        <f>'Raw Data'!I1482</f>
        <v/>
      </c>
      <c r="H1482" s="14">
        <f>IF(G1482&lt;15,"Low Variability",IF(G1482&lt;=35,"Moderate Variability","High Variability"))</f>
        <v/>
      </c>
      <c r="I1482" s="18">
        <f>'Raw Data'!O1482</f>
        <v/>
      </c>
      <c r="J1482" s="14">
        <f>IF(I1482=0,"No Flood",IF(I1482&lt;=0.5,"Low",IF(I1482&lt;=2,"Moderate","High")))</f>
        <v/>
      </c>
    </row>
    <row r="1483" ht="15" customHeight="1" s="12">
      <c r="A1483" s="14">
        <f>'Raw Data'!A1483</f>
        <v/>
      </c>
      <c r="B1483" s="14">
        <f>'Raw Data'!B1483</f>
        <v/>
      </c>
      <c r="C1483" s="14">
        <f>'Raw Data'!C1483</f>
        <v/>
      </c>
      <c r="D1483" s="15">
        <f>'Raw Data'!M1483</f>
        <v/>
      </c>
      <c r="E1483" s="18">
        <f>'Raw Data'!M1483/'Raw Data'!L1483*100</f>
        <v/>
      </c>
      <c r="F1483" s="14">
        <f>IF(E1483&gt;15,"Wet Year",IF(E1483&lt;-15,"Dry Year","Normal Year"))</f>
        <v/>
      </c>
      <c r="G1483" s="16">
        <f>'Raw Data'!I1483</f>
        <v/>
      </c>
      <c r="H1483" s="14">
        <f>IF(G1483&lt;15,"Low Variability",IF(G1483&lt;=35,"Moderate Variability","High Variability"))</f>
        <v/>
      </c>
      <c r="I1483" s="18">
        <f>'Raw Data'!O1483</f>
        <v/>
      </c>
      <c r="J1483" s="14">
        <f>IF(I1483=0,"No Flood",IF(I1483&lt;=0.5,"Low",IF(I1483&lt;=2,"Moderate","High")))</f>
        <v/>
      </c>
    </row>
    <row r="1484" ht="15" customHeight="1" s="12">
      <c r="A1484" s="14">
        <f>'Raw Data'!A1484</f>
        <v/>
      </c>
      <c r="B1484" s="14">
        <f>'Raw Data'!B1484</f>
        <v/>
      </c>
      <c r="C1484" s="14">
        <f>'Raw Data'!C1484</f>
        <v/>
      </c>
      <c r="D1484" s="15">
        <f>'Raw Data'!M1484</f>
        <v/>
      </c>
      <c r="E1484" s="18">
        <f>'Raw Data'!M1484/'Raw Data'!L1484*100</f>
        <v/>
      </c>
      <c r="F1484" s="14">
        <f>IF(E1484&gt;15,"Wet Year",IF(E1484&lt;-15,"Dry Year","Normal Year"))</f>
        <v/>
      </c>
      <c r="G1484" s="16">
        <f>'Raw Data'!I1484</f>
        <v/>
      </c>
      <c r="H1484" s="14">
        <f>IF(G1484&lt;15,"Low Variability",IF(G1484&lt;=35,"Moderate Variability","High Variability"))</f>
        <v/>
      </c>
      <c r="I1484" s="18">
        <f>'Raw Data'!O1484</f>
        <v/>
      </c>
      <c r="J1484" s="14">
        <f>IF(I1484=0,"No Flood",IF(I1484&lt;=0.5,"Low",IF(I1484&lt;=2,"Moderate","High")))</f>
        <v/>
      </c>
    </row>
    <row r="1485" ht="15" customHeight="1" s="12">
      <c r="A1485" s="14">
        <f>'Raw Data'!A1485</f>
        <v/>
      </c>
      <c r="B1485" s="14">
        <f>'Raw Data'!B1485</f>
        <v/>
      </c>
      <c r="C1485" s="14">
        <f>'Raw Data'!C1485</f>
        <v/>
      </c>
      <c r="D1485" s="15">
        <f>'Raw Data'!M1485</f>
        <v/>
      </c>
      <c r="E1485" s="18">
        <f>'Raw Data'!M1485/'Raw Data'!L1485*100</f>
        <v/>
      </c>
      <c r="F1485" s="14">
        <f>IF(E1485&gt;15,"Wet Year",IF(E1485&lt;-15,"Dry Year","Normal Year"))</f>
        <v/>
      </c>
      <c r="G1485" s="16">
        <f>'Raw Data'!I1485</f>
        <v/>
      </c>
      <c r="H1485" s="14">
        <f>IF(G1485&lt;15,"Low Variability",IF(G1485&lt;=35,"Moderate Variability","High Variability"))</f>
        <v/>
      </c>
      <c r="I1485" s="18">
        <f>'Raw Data'!O1485</f>
        <v/>
      </c>
      <c r="J1485" s="14">
        <f>IF(I1485=0,"No Flood",IF(I1485&lt;=0.5,"Low",IF(I1485&lt;=2,"Moderate","High")))</f>
        <v/>
      </c>
    </row>
    <row r="1486" ht="15" customHeight="1" s="12">
      <c r="A1486" s="14">
        <f>'Raw Data'!A1486</f>
        <v/>
      </c>
      <c r="B1486" s="14">
        <f>'Raw Data'!B1486</f>
        <v/>
      </c>
      <c r="C1486" s="14">
        <f>'Raw Data'!C1486</f>
        <v/>
      </c>
      <c r="D1486" s="15">
        <f>'Raw Data'!M1486</f>
        <v/>
      </c>
      <c r="E1486" s="18">
        <f>'Raw Data'!M1486/'Raw Data'!L1486*100</f>
        <v/>
      </c>
      <c r="F1486" s="14">
        <f>IF(E1486&gt;15,"Wet Year",IF(E1486&lt;-15,"Dry Year","Normal Year"))</f>
        <v/>
      </c>
      <c r="G1486" s="16">
        <f>'Raw Data'!I1486</f>
        <v/>
      </c>
      <c r="H1486" s="14">
        <f>IF(G1486&lt;15,"Low Variability",IF(G1486&lt;=35,"Moderate Variability","High Variability"))</f>
        <v/>
      </c>
      <c r="I1486" s="18">
        <f>'Raw Data'!O1486</f>
        <v/>
      </c>
      <c r="J1486" s="14">
        <f>IF(I1486=0,"No Flood",IF(I1486&lt;=0.5,"Low",IF(I1486&lt;=2,"Moderate","High")))</f>
        <v/>
      </c>
    </row>
    <row r="1487" ht="15" customHeight="1" s="12">
      <c r="A1487" s="14">
        <f>'Raw Data'!A1487</f>
        <v/>
      </c>
      <c r="B1487" s="14">
        <f>'Raw Data'!B1487</f>
        <v/>
      </c>
      <c r="C1487" s="14">
        <f>'Raw Data'!C1487</f>
        <v/>
      </c>
      <c r="D1487" s="15">
        <f>'Raw Data'!M1487</f>
        <v/>
      </c>
      <c r="E1487" s="18">
        <f>'Raw Data'!M1487/'Raw Data'!L1487*100</f>
        <v/>
      </c>
      <c r="F1487" s="14">
        <f>IF(E1487&gt;15,"Wet Year",IF(E1487&lt;-15,"Dry Year","Normal Year"))</f>
        <v/>
      </c>
      <c r="G1487" s="16">
        <f>'Raw Data'!I1487</f>
        <v/>
      </c>
      <c r="H1487" s="14">
        <f>IF(G1487&lt;15,"Low Variability",IF(G1487&lt;=35,"Moderate Variability","High Variability"))</f>
        <v/>
      </c>
      <c r="I1487" s="18">
        <f>'Raw Data'!O1487</f>
        <v/>
      </c>
      <c r="J1487" s="14">
        <f>IF(I1487=0,"No Flood",IF(I1487&lt;=0.5,"Low",IF(I1487&lt;=2,"Moderate","High")))</f>
        <v/>
      </c>
    </row>
    <row r="1488" ht="15" customHeight="1" s="12">
      <c r="A1488" s="14">
        <f>'Raw Data'!A1488</f>
        <v/>
      </c>
      <c r="B1488" s="14">
        <f>'Raw Data'!B1488</f>
        <v/>
      </c>
      <c r="C1488" s="14">
        <f>'Raw Data'!C1488</f>
        <v/>
      </c>
      <c r="D1488" s="15">
        <f>'Raw Data'!M1488</f>
        <v/>
      </c>
      <c r="E1488" s="18">
        <f>'Raw Data'!M1488/'Raw Data'!L1488*100</f>
        <v/>
      </c>
      <c r="F1488" s="14">
        <f>IF(E1488&gt;15,"Wet Year",IF(E1488&lt;-15,"Dry Year","Normal Year"))</f>
        <v/>
      </c>
      <c r="G1488" s="16">
        <f>'Raw Data'!I1488</f>
        <v/>
      </c>
      <c r="H1488" s="14">
        <f>IF(G1488&lt;15,"Low Variability",IF(G1488&lt;=35,"Moderate Variability","High Variability"))</f>
        <v/>
      </c>
      <c r="I1488" s="18">
        <f>'Raw Data'!O1488</f>
        <v/>
      </c>
      <c r="J1488" s="14">
        <f>IF(I1488=0,"No Flood",IF(I1488&lt;=0.5,"Low",IF(I1488&lt;=2,"Moderate","High")))</f>
        <v/>
      </c>
    </row>
    <row r="1489" ht="15" customHeight="1" s="12">
      <c r="A1489" s="14">
        <f>'Raw Data'!A1489</f>
        <v/>
      </c>
      <c r="B1489" s="14">
        <f>'Raw Data'!B1489</f>
        <v/>
      </c>
      <c r="C1489" s="14">
        <f>'Raw Data'!C1489</f>
        <v/>
      </c>
      <c r="D1489" s="15">
        <f>'Raw Data'!M1489</f>
        <v/>
      </c>
      <c r="E1489" s="18">
        <f>'Raw Data'!M1489/'Raw Data'!L1489*100</f>
        <v/>
      </c>
      <c r="F1489" s="14">
        <f>IF(E1489&gt;15,"Wet Year",IF(E1489&lt;-15,"Dry Year","Normal Year"))</f>
        <v/>
      </c>
      <c r="G1489" s="16">
        <f>'Raw Data'!I1489</f>
        <v/>
      </c>
      <c r="H1489" s="14">
        <f>IF(G1489&lt;15,"Low Variability",IF(G1489&lt;=35,"Moderate Variability","High Variability"))</f>
        <v/>
      </c>
      <c r="I1489" s="18">
        <f>'Raw Data'!O1489</f>
        <v/>
      </c>
      <c r="J1489" s="14">
        <f>IF(I1489=0,"No Flood",IF(I1489&lt;=0.5,"Low",IF(I1489&lt;=2,"Moderate","High")))</f>
        <v/>
      </c>
    </row>
    <row r="1490" ht="15" customHeight="1" s="12">
      <c r="A1490" s="14">
        <f>'Raw Data'!A1490</f>
        <v/>
      </c>
      <c r="B1490" s="14">
        <f>'Raw Data'!B1490</f>
        <v/>
      </c>
      <c r="C1490" s="14">
        <f>'Raw Data'!C1490</f>
        <v/>
      </c>
      <c r="D1490" s="15">
        <f>'Raw Data'!M1490</f>
        <v/>
      </c>
      <c r="E1490" s="18">
        <f>'Raw Data'!M1490/'Raw Data'!L1490*100</f>
        <v/>
      </c>
      <c r="F1490" s="14">
        <f>IF(E1490&gt;15,"Wet Year",IF(E1490&lt;-15,"Dry Year","Normal Year"))</f>
        <v/>
      </c>
      <c r="G1490" s="16">
        <f>'Raw Data'!I1490</f>
        <v/>
      </c>
      <c r="H1490" s="14">
        <f>IF(G1490&lt;15,"Low Variability",IF(G1490&lt;=35,"Moderate Variability","High Variability"))</f>
        <v/>
      </c>
      <c r="I1490" s="18">
        <f>'Raw Data'!O1490</f>
        <v/>
      </c>
      <c r="J1490" s="14">
        <f>IF(I1490=0,"No Flood",IF(I1490&lt;=0.5,"Low",IF(I1490&lt;=2,"Moderate","High")))</f>
        <v/>
      </c>
    </row>
    <row r="1491" ht="15" customHeight="1" s="12">
      <c r="A1491" s="14">
        <f>'Raw Data'!A1491</f>
        <v/>
      </c>
      <c r="B1491" s="14">
        <f>'Raw Data'!B1491</f>
        <v/>
      </c>
      <c r="C1491" s="14">
        <f>'Raw Data'!C1491</f>
        <v/>
      </c>
      <c r="D1491" s="15">
        <f>'Raw Data'!M1491</f>
        <v/>
      </c>
      <c r="E1491" s="18">
        <f>'Raw Data'!M1491/'Raw Data'!L1491*100</f>
        <v/>
      </c>
      <c r="F1491" s="14">
        <f>IF(E1491&gt;15,"Wet Year",IF(E1491&lt;-15,"Dry Year","Normal Year"))</f>
        <v/>
      </c>
      <c r="G1491" s="16">
        <f>'Raw Data'!I1491</f>
        <v/>
      </c>
      <c r="H1491" s="14">
        <f>IF(G1491&lt;15,"Low Variability",IF(G1491&lt;=35,"Moderate Variability","High Variability"))</f>
        <v/>
      </c>
      <c r="I1491" s="18">
        <f>'Raw Data'!O1491</f>
        <v/>
      </c>
      <c r="J1491" s="14">
        <f>IF(I1491=0,"No Flood",IF(I1491&lt;=0.5,"Low",IF(I1491&lt;=2,"Moderate","High")))</f>
        <v/>
      </c>
    </row>
    <row r="1492" ht="15" customHeight="1" s="12">
      <c r="A1492" s="14">
        <f>'Raw Data'!A1492</f>
        <v/>
      </c>
      <c r="B1492" s="14">
        <f>'Raw Data'!B1492</f>
        <v/>
      </c>
      <c r="C1492" s="14">
        <f>'Raw Data'!C1492</f>
        <v/>
      </c>
      <c r="D1492" s="15">
        <f>'Raw Data'!M1492</f>
        <v/>
      </c>
      <c r="E1492" s="18">
        <f>'Raw Data'!M1492/'Raw Data'!L1492*100</f>
        <v/>
      </c>
      <c r="F1492" s="14">
        <f>IF(E1492&gt;15,"Wet Year",IF(E1492&lt;-15,"Dry Year","Normal Year"))</f>
        <v/>
      </c>
      <c r="G1492" s="16">
        <f>'Raw Data'!I1492</f>
        <v/>
      </c>
      <c r="H1492" s="14">
        <f>IF(G1492&lt;15,"Low Variability",IF(G1492&lt;=35,"Moderate Variability","High Variability"))</f>
        <v/>
      </c>
      <c r="I1492" s="18">
        <f>'Raw Data'!O1492</f>
        <v/>
      </c>
      <c r="J1492" s="14">
        <f>IF(I1492=0,"No Flood",IF(I1492&lt;=0.5,"Low",IF(I1492&lt;=2,"Moderate","High")))</f>
        <v/>
      </c>
    </row>
    <row r="1493" ht="15" customHeight="1" s="12">
      <c r="A1493" s="14">
        <f>'Raw Data'!A1493</f>
        <v/>
      </c>
      <c r="B1493" s="14">
        <f>'Raw Data'!B1493</f>
        <v/>
      </c>
      <c r="C1493" s="14">
        <f>'Raw Data'!C1493</f>
        <v/>
      </c>
      <c r="D1493" s="15">
        <f>'Raw Data'!M1493</f>
        <v/>
      </c>
      <c r="E1493" s="18">
        <f>'Raw Data'!M1493/'Raw Data'!L1493*100</f>
        <v/>
      </c>
      <c r="F1493" s="14">
        <f>IF(E1493&gt;15,"Wet Year",IF(E1493&lt;-15,"Dry Year","Normal Year"))</f>
        <v/>
      </c>
      <c r="G1493" s="16">
        <f>'Raw Data'!I1493</f>
        <v/>
      </c>
      <c r="H1493" s="14">
        <f>IF(G1493&lt;15,"Low Variability",IF(G1493&lt;=35,"Moderate Variability","High Variability"))</f>
        <v/>
      </c>
      <c r="I1493" s="18">
        <f>'Raw Data'!O1493</f>
        <v/>
      </c>
      <c r="J1493" s="14">
        <f>IF(I1493=0,"No Flood",IF(I1493&lt;=0.5,"Low",IF(I1493&lt;=2,"Moderate","High")))</f>
        <v/>
      </c>
    </row>
    <row r="1494" ht="15" customHeight="1" s="12">
      <c r="A1494" s="14">
        <f>'Raw Data'!A1494</f>
        <v/>
      </c>
      <c r="B1494" s="14">
        <f>'Raw Data'!B1494</f>
        <v/>
      </c>
      <c r="C1494" s="14">
        <f>'Raw Data'!C1494</f>
        <v/>
      </c>
      <c r="D1494" s="15">
        <f>'Raw Data'!M1494</f>
        <v/>
      </c>
      <c r="E1494" s="18">
        <f>'Raw Data'!M1494/'Raw Data'!L1494*100</f>
        <v/>
      </c>
      <c r="F1494" s="14">
        <f>IF(E1494&gt;15,"Wet Year",IF(E1494&lt;-15,"Dry Year","Normal Year"))</f>
        <v/>
      </c>
      <c r="G1494" s="16">
        <f>'Raw Data'!I1494</f>
        <v/>
      </c>
      <c r="H1494" s="14">
        <f>IF(G1494&lt;15,"Low Variability",IF(G1494&lt;=35,"Moderate Variability","High Variability"))</f>
        <v/>
      </c>
      <c r="I1494" s="18">
        <f>'Raw Data'!O1494</f>
        <v/>
      </c>
      <c r="J1494" s="14">
        <f>IF(I1494=0,"No Flood",IF(I1494&lt;=0.5,"Low",IF(I1494&lt;=2,"Moderate","High")))</f>
        <v/>
      </c>
    </row>
    <row r="1495" ht="15" customHeight="1" s="12">
      <c r="A1495" s="14">
        <f>'Raw Data'!A1495</f>
        <v/>
      </c>
      <c r="B1495" s="14">
        <f>'Raw Data'!B1495</f>
        <v/>
      </c>
      <c r="C1495" s="14">
        <f>'Raw Data'!C1495</f>
        <v/>
      </c>
      <c r="D1495" s="15">
        <f>'Raw Data'!M1495</f>
        <v/>
      </c>
      <c r="E1495" s="18">
        <f>'Raw Data'!M1495/'Raw Data'!L1495*100</f>
        <v/>
      </c>
      <c r="F1495" s="14">
        <f>IF(E1495&gt;15,"Wet Year",IF(E1495&lt;-15,"Dry Year","Normal Year"))</f>
        <v/>
      </c>
      <c r="G1495" s="16">
        <f>'Raw Data'!I1495</f>
        <v/>
      </c>
      <c r="H1495" s="14">
        <f>IF(G1495&lt;15,"Low Variability",IF(G1495&lt;=35,"Moderate Variability","High Variability"))</f>
        <v/>
      </c>
      <c r="I1495" s="18">
        <f>'Raw Data'!O1495</f>
        <v/>
      </c>
      <c r="J1495" s="14">
        <f>IF(I1495=0,"No Flood",IF(I1495&lt;=0.5,"Low",IF(I1495&lt;=2,"Moderate","High")))</f>
        <v/>
      </c>
    </row>
    <row r="1496" ht="15" customHeight="1" s="12">
      <c r="A1496" s="14">
        <f>'Raw Data'!A1496</f>
        <v/>
      </c>
      <c r="B1496" s="14">
        <f>'Raw Data'!B1496</f>
        <v/>
      </c>
      <c r="C1496" s="14">
        <f>'Raw Data'!C1496</f>
        <v/>
      </c>
      <c r="D1496" s="15">
        <f>'Raw Data'!M1496</f>
        <v/>
      </c>
      <c r="E1496" s="18">
        <f>'Raw Data'!M1496/'Raw Data'!L1496*100</f>
        <v/>
      </c>
      <c r="F1496" s="14">
        <f>IF(E1496&gt;15,"Wet Year",IF(E1496&lt;-15,"Dry Year","Normal Year"))</f>
        <v/>
      </c>
      <c r="G1496" s="16">
        <f>'Raw Data'!I1496</f>
        <v/>
      </c>
      <c r="H1496" s="14">
        <f>IF(G1496&lt;15,"Low Variability",IF(G1496&lt;=35,"Moderate Variability","High Variability"))</f>
        <v/>
      </c>
      <c r="I1496" s="18">
        <f>'Raw Data'!O1496</f>
        <v/>
      </c>
      <c r="J1496" s="14">
        <f>IF(I1496=0,"No Flood",IF(I1496&lt;=0.5,"Low",IF(I1496&lt;=2,"Moderate","High")))</f>
        <v/>
      </c>
    </row>
    <row r="1497" ht="15" customHeight="1" s="12">
      <c r="A1497" s="14">
        <f>'Raw Data'!A1497</f>
        <v/>
      </c>
      <c r="B1497" s="14">
        <f>'Raw Data'!B1497</f>
        <v/>
      </c>
      <c r="C1497" s="14">
        <f>'Raw Data'!C1497</f>
        <v/>
      </c>
      <c r="D1497" s="15">
        <f>'Raw Data'!M1497</f>
        <v/>
      </c>
      <c r="E1497" s="18">
        <f>'Raw Data'!M1497/'Raw Data'!L1497*100</f>
        <v/>
      </c>
      <c r="F1497" s="14">
        <f>IF(E1497&gt;15,"Wet Year",IF(E1497&lt;-15,"Dry Year","Normal Year"))</f>
        <v/>
      </c>
      <c r="G1497" s="16">
        <f>'Raw Data'!I1497</f>
        <v/>
      </c>
      <c r="H1497" s="14">
        <f>IF(G1497&lt;15,"Low Variability",IF(G1497&lt;=35,"Moderate Variability","High Variability"))</f>
        <v/>
      </c>
      <c r="I1497" s="18">
        <f>'Raw Data'!O1497</f>
        <v/>
      </c>
      <c r="J1497" s="14">
        <f>IF(I1497=0,"No Flood",IF(I1497&lt;=0.5,"Low",IF(I1497&lt;=2,"Moderate","High")))</f>
        <v/>
      </c>
    </row>
    <row r="1498" ht="15" customHeight="1" s="12">
      <c r="A1498" s="14">
        <f>'Raw Data'!A1498</f>
        <v/>
      </c>
      <c r="B1498" s="14">
        <f>'Raw Data'!B1498</f>
        <v/>
      </c>
      <c r="C1498" s="14">
        <f>'Raw Data'!C1498</f>
        <v/>
      </c>
      <c r="D1498" s="15">
        <f>'Raw Data'!M1498</f>
        <v/>
      </c>
      <c r="E1498" s="18">
        <f>'Raw Data'!M1498/'Raw Data'!L1498*100</f>
        <v/>
      </c>
      <c r="F1498" s="14">
        <f>IF(E1498&gt;15,"Wet Year",IF(E1498&lt;-15,"Dry Year","Normal Year"))</f>
        <v/>
      </c>
      <c r="G1498" s="16">
        <f>'Raw Data'!I1498</f>
        <v/>
      </c>
      <c r="H1498" s="14">
        <f>IF(G1498&lt;15,"Low Variability",IF(G1498&lt;=35,"Moderate Variability","High Variability"))</f>
        <v/>
      </c>
      <c r="I1498" s="18">
        <f>'Raw Data'!O1498</f>
        <v/>
      </c>
      <c r="J1498" s="14">
        <f>IF(I1498=0,"No Flood",IF(I1498&lt;=0.5,"Low",IF(I1498&lt;=2,"Moderate","High")))</f>
        <v/>
      </c>
    </row>
    <row r="1499" ht="15" customHeight="1" s="12">
      <c r="A1499" s="14">
        <f>'Raw Data'!A1499</f>
        <v/>
      </c>
      <c r="B1499" s="14">
        <f>'Raw Data'!B1499</f>
        <v/>
      </c>
      <c r="C1499" s="14">
        <f>'Raw Data'!C1499</f>
        <v/>
      </c>
      <c r="D1499" s="15">
        <f>'Raw Data'!M1499</f>
        <v/>
      </c>
      <c r="E1499" s="18">
        <f>'Raw Data'!M1499/'Raw Data'!L1499*100</f>
        <v/>
      </c>
      <c r="F1499" s="14">
        <f>IF(E1499&gt;15,"Wet Year",IF(E1499&lt;-15,"Dry Year","Normal Year"))</f>
        <v/>
      </c>
      <c r="G1499" s="16">
        <f>'Raw Data'!I1499</f>
        <v/>
      </c>
      <c r="H1499" s="14">
        <f>IF(G1499&lt;15,"Low Variability",IF(G1499&lt;=35,"Moderate Variability","High Variability"))</f>
        <v/>
      </c>
      <c r="I1499" s="18">
        <f>'Raw Data'!O1499</f>
        <v/>
      </c>
      <c r="J1499" s="14">
        <f>IF(I1499=0,"No Flood",IF(I1499&lt;=0.5,"Low",IF(I1499&lt;=2,"Moderate","High")))</f>
        <v/>
      </c>
    </row>
    <row r="1500" ht="15" customHeight="1" s="12">
      <c r="A1500" s="14">
        <f>'Raw Data'!A1500</f>
        <v/>
      </c>
      <c r="B1500" s="14">
        <f>'Raw Data'!B1500</f>
        <v/>
      </c>
      <c r="C1500" s="14">
        <f>'Raw Data'!C1500</f>
        <v/>
      </c>
      <c r="D1500" s="15">
        <f>'Raw Data'!M1500</f>
        <v/>
      </c>
      <c r="E1500" s="18">
        <f>'Raw Data'!M1500/'Raw Data'!L1500*100</f>
        <v/>
      </c>
      <c r="F1500" s="14">
        <f>IF(E1500&gt;15,"Wet Year",IF(E1500&lt;-15,"Dry Year","Normal Year"))</f>
        <v/>
      </c>
      <c r="G1500" s="16">
        <f>'Raw Data'!I1500</f>
        <v/>
      </c>
      <c r="H1500" s="14">
        <f>IF(G1500&lt;15,"Low Variability",IF(G1500&lt;=35,"Moderate Variability","High Variability"))</f>
        <v/>
      </c>
      <c r="I1500" s="18">
        <f>'Raw Data'!O1500</f>
        <v/>
      </c>
      <c r="J1500" s="14">
        <f>IF(I1500=0,"No Flood",IF(I1500&lt;=0.5,"Low",IF(I1500&lt;=2,"Moderate","High")))</f>
        <v/>
      </c>
    </row>
    <row r="1501" ht="15" customHeight="1" s="12">
      <c r="A1501" s="14">
        <f>'Raw Data'!A1501</f>
        <v/>
      </c>
      <c r="B1501" s="14">
        <f>'Raw Data'!B1501</f>
        <v/>
      </c>
      <c r="C1501" s="14">
        <f>'Raw Data'!C1501</f>
        <v/>
      </c>
      <c r="D1501" s="15">
        <f>'Raw Data'!M1501</f>
        <v/>
      </c>
      <c r="E1501" s="18">
        <f>'Raw Data'!M1501/'Raw Data'!L1501*100</f>
        <v/>
      </c>
      <c r="F1501" s="14">
        <f>IF(E1501&gt;15,"Wet Year",IF(E1501&lt;-15,"Dry Year","Normal Year"))</f>
        <v/>
      </c>
      <c r="G1501" s="16">
        <f>'Raw Data'!I1501</f>
        <v/>
      </c>
      <c r="H1501" s="14">
        <f>IF(G1501&lt;15,"Low Variability",IF(G1501&lt;=35,"Moderate Variability","High Variability"))</f>
        <v/>
      </c>
      <c r="I1501" s="18">
        <f>'Raw Data'!O1501</f>
        <v/>
      </c>
      <c r="J1501" s="14">
        <f>IF(I1501=0,"No Flood",IF(I1501&lt;=0.5,"Low",IF(I1501&lt;=2,"Moderate","High")))</f>
        <v/>
      </c>
    </row>
    <row r="1502" ht="15" customHeight="1" s="12">
      <c r="A1502" s="14">
        <f>'Raw Data'!A1502</f>
        <v/>
      </c>
      <c r="B1502" s="14">
        <f>'Raw Data'!B1502</f>
        <v/>
      </c>
      <c r="C1502" s="14">
        <f>'Raw Data'!C1502</f>
        <v/>
      </c>
      <c r="D1502" s="15">
        <f>'Raw Data'!M1502</f>
        <v/>
      </c>
      <c r="E1502" s="18">
        <f>'Raw Data'!M1502/'Raw Data'!L1502*100</f>
        <v/>
      </c>
      <c r="F1502" s="14">
        <f>IF(E1502&gt;15,"Wet Year",IF(E1502&lt;-15,"Dry Year","Normal Year"))</f>
        <v/>
      </c>
      <c r="G1502" s="16">
        <f>'Raw Data'!I1502</f>
        <v/>
      </c>
      <c r="H1502" s="14">
        <f>IF(G1502&lt;15,"Low Variability",IF(G1502&lt;=35,"Moderate Variability","High Variability"))</f>
        <v/>
      </c>
      <c r="I1502" s="18">
        <f>'Raw Data'!O1502</f>
        <v/>
      </c>
      <c r="J1502" s="14">
        <f>IF(I1502=0,"No Flood",IF(I1502&lt;=0.5,"Low",IF(I1502&lt;=2,"Moderate","High")))</f>
        <v/>
      </c>
    </row>
    <row r="1503" ht="15" customHeight="1" s="12">
      <c r="A1503" s="14">
        <f>'Raw Data'!A1503</f>
        <v/>
      </c>
      <c r="B1503" s="14">
        <f>'Raw Data'!B1503</f>
        <v/>
      </c>
      <c r="C1503" s="14">
        <f>'Raw Data'!C1503</f>
        <v/>
      </c>
      <c r="D1503" s="15">
        <f>'Raw Data'!M1503</f>
        <v/>
      </c>
      <c r="E1503" s="18">
        <f>'Raw Data'!M1503/'Raw Data'!L1503*100</f>
        <v/>
      </c>
      <c r="F1503" s="14">
        <f>IF(E1503&gt;15,"Wet Year",IF(E1503&lt;-15,"Dry Year","Normal Year"))</f>
        <v/>
      </c>
      <c r="G1503" s="16">
        <f>'Raw Data'!I1503</f>
        <v/>
      </c>
      <c r="H1503" s="14">
        <f>IF(G1503&lt;15,"Low Variability",IF(G1503&lt;=35,"Moderate Variability","High Variability"))</f>
        <v/>
      </c>
      <c r="I1503" s="18">
        <f>'Raw Data'!O1503</f>
        <v/>
      </c>
      <c r="J1503" s="14">
        <f>IF(I1503=0,"No Flood",IF(I1503&lt;=0.5,"Low",IF(I1503&lt;=2,"Moderate","High")))</f>
        <v/>
      </c>
    </row>
    <row r="1504" ht="15" customHeight="1" s="12">
      <c r="A1504" s="14">
        <f>'Raw Data'!A1504</f>
        <v/>
      </c>
      <c r="B1504" s="14">
        <f>'Raw Data'!B1504</f>
        <v/>
      </c>
      <c r="C1504" s="14">
        <f>'Raw Data'!C1504</f>
        <v/>
      </c>
      <c r="D1504" s="15">
        <f>'Raw Data'!M1504</f>
        <v/>
      </c>
      <c r="E1504" s="18">
        <f>'Raw Data'!M1504/'Raw Data'!L1504*100</f>
        <v/>
      </c>
      <c r="F1504" s="14">
        <f>IF(E1504&gt;15,"Wet Year",IF(E1504&lt;-15,"Dry Year","Normal Year"))</f>
        <v/>
      </c>
      <c r="G1504" s="16">
        <f>'Raw Data'!I1504</f>
        <v/>
      </c>
      <c r="H1504" s="14">
        <f>IF(G1504&lt;15,"Low Variability",IF(G1504&lt;=35,"Moderate Variability","High Variability"))</f>
        <v/>
      </c>
      <c r="I1504" s="18">
        <f>'Raw Data'!O1504</f>
        <v/>
      </c>
      <c r="J1504" s="14">
        <f>IF(I1504=0,"No Flood",IF(I1504&lt;=0.5,"Low",IF(I1504&lt;=2,"Moderate","High")))</f>
        <v/>
      </c>
    </row>
    <row r="1505" ht="15" customHeight="1" s="12">
      <c r="A1505" s="14">
        <f>'Raw Data'!A1505</f>
        <v/>
      </c>
      <c r="B1505" s="14">
        <f>'Raw Data'!B1505</f>
        <v/>
      </c>
      <c r="C1505" s="14">
        <f>'Raw Data'!C1505</f>
        <v/>
      </c>
      <c r="D1505" s="15">
        <f>'Raw Data'!M1505</f>
        <v/>
      </c>
      <c r="E1505" s="18">
        <f>'Raw Data'!M1505/'Raw Data'!L1505*100</f>
        <v/>
      </c>
      <c r="F1505" s="14">
        <f>IF(E1505&gt;15,"Wet Year",IF(E1505&lt;-15,"Dry Year","Normal Year"))</f>
        <v/>
      </c>
      <c r="G1505" s="16">
        <f>'Raw Data'!I1505</f>
        <v/>
      </c>
      <c r="H1505" s="14">
        <f>IF(G1505&lt;15,"Low Variability",IF(G1505&lt;=35,"Moderate Variability","High Variability"))</f>
        <v/>
      </c>
      <c r="I1505" s="18">
        <f>'Raw Data'!O1505</f>
        <v/>
      </c>
      <c r="J1505" s="14">
        <f>IF(I1505=0,"No Flood",IF(I1505&lt;=0.5,"Low",IF(I1505&lt;=2,"Moderate","High")))</f>
        <v/>
      </c>
    </row>
    <row r="1506" ht="15" customHeight="1" s="12">
      <c r="A1506" s="14">
        <f>'Raw Data'!A1506</f>
        <v/>
      </c>
      <c r="B1506" s="14">
        <f>'Raw Data'!B1506</f>
        <v/>
      </c>
      <c r="C1506" s="14">
        <f>'Raw Data'!C1506</f>
        <v/>
      </c>
      <c r="D1506" s="15">
        <f>'Raw Data'!M1506</f>
        <v/>
      </c>
      <c r="E1506" s="18">
        <f>'Raw Data'!M1506/'Raw Data'!L1506*100</f>
        <v/>
      </c>
      <c r="F1506" s="14">
        <f>IF(E1506&gt;15,"Wet Year",IF(E1506&lt;-15,"Dry Year","Normal Year"))</f>
        <v/>
      </c>
      <c r="G1506" s="16">
        <f>'Raw Data'!I1506</f>
        <v/>
      </c>
      <c r="H1506" s="14">
        <f>IF(G1506&lt;15,"Low Variability",IF(G1506&lt;=35,"Moderate Variability","High Variability"))</f>
        <v/>
      </c>
      <c r="I1506" s="18">
        <f>'Raw Data'!O1506</f>
        <v/>
      </c>
      <c r="J1506" s="14">
        <f>IF(I1506=0,"No Flood",IF(I1506&lt;=0.5,"Low",IF(I1506&lt;=2,"Moderate","High")))</f>
        <v/>
      </c>
    </row>
    <row r="1507" ht="15" customHeight="1" s="12">
      <c r="A1507" s="14">
        <f>'Raw Data'!A1507</f>
        <v/>
      </c>
      <c r="B1507" s="14">
        <f>'Raw Data'!B1507</f>
        <v/>
      </c>
      <c r="C1507" s="14">
        <f>'Raw Data'!C1507</f>
        <v/>
      </c>
      <c r="D1507" s="15">
        <f>'Raw Data'!M1507</f>
        <v/>
      </c>
      <c r="E1507" s="18">
        <f>'Raw Data'!M1507/'Raw Data'!L1507*100</f>
        <v/>
      </c>
      <c r="F1507" s="14">
        <f>IF(E1507&gt;15,"Wet Year",IF(E1507&lt;-15,"Dry Year","Normal Year"))</f>
        <v/>
      </c>
      <c r="G1507" s="16">
        <f>'Raw Data'!I1507</f>
        <v/>
      </c>
      <c r="H1507" s="14">
        <f>IF(G1507&lt;15,"Low Variability",IF(G1507&lt;=35,"Moderate Variability","High Variability"))</f>
        <v/>
      </c>
      <c r="I1507" s="18">
        <f>'Raw Data'!O1507</f>
        <v/>
      </c>
      <c r="J1507" s="14">
        <f>IF(I1507=0,"No Flood",IF(I1507&lt;=0.5,"Low",IF(I1507&lt;=2,"Moderate","High")))</f>
        <v/>
      </c>
    </row>
    <row r="1508" ht="15" customHeight="1" s="12">
      <c r="A1508" s="14">
        <f>'Raw Data'!A1508</f>
        <v/>
      </c>
      <c r="B1508" s="14">
        <f>'Raw Data'!B1508</f>
        <v/>
      </c>
      <c r="C1508" s="14">
        <f>'Raw Data'!C1508</f>
        <v/>
      </c>
      <c r="D1508" s="15">
        <f>'Raw Data'!M1508</f>
        <v/>
      </c>
      <c r="E1508" s="18">
        <f>'Raw Data'!M1508/'Raw Data'!L1508*100</f>
        <v/>
      </c>
      <c r="F1508" s="14">
        <f>IF(E1508&gt;15,"Wet Year",IF(E1508&lt;-15,"Dry Year","Normal Year"))</f>
        <v/>
      </c>
      <c r="G1508" s="16">
        <f>'Raw Data'!I1508</f>
        <v/>
      </c>
      <c r="H1508" s="14">
        <f>IF(G1508&lt;15,"Low Variability",IF(G1508&lt;=35,"Moderate Variability","High Variability"))</f>
        <v/>
      </c>
      <c r="I1508" s="18">
        <f>'Raw Data'!O1508</f>
        <v/>
      </c>
      <c r="J1508" s="14">
        <f>IF(I1508=0,"No Flood",IF(I1508&lt;=0.5,"Low",IF(I1508&lt;=2,"Moderate","High")))</f>
        <v/>
      </c>
    </row>
    <row r="1509" ht="15" customHeight="1" s="12">
      <c r="A1509" s="14">
        <f>'Raw Data'!A1509</f>
        <v/>
      </c>
      <c r="B1509" s="14">
        <f>'Raw Data'!B1509</f>
        <v/>
      </c>
      <c r="C1509" s="14">
        <f>'Raw Data'!C1509</f>
        <v/>
      </c>
      <c r="D1509" s="15">
        <f>'Raw Data'!M1509</f>
        <v/>
      </c>
      <c r="E1509" s="18">
        <f>'Raw Data'!M1509/'Raw Data'!L1509*100</f>
        <v/>
      </c>
      <c r="F1509" s="14">
        <f>IF(E1509&gt;15,"Wet Year",IF(E1509&lt;-15,"Dry Year","Normal Year"))</f>
        <v/>
      </c>
      <c r="G1509" s="16">
        <f>'Raw Data'!I1509</f>
        <v/>
      </c>
      <c r="H1509" s="14">
        <f>IF(G1509&lt;15,"Low Variability",IF(G1509&lt;=35,"Moderate Variability","High Variability"))</f>
        <v/>
      </c>
      <c r="I1509" s="18">
        <f>'Raw Data'!O1509</f>
        <v/>
      </c>
      <c r="J1509" s="14">
        <f>IF(I1509=0,"No Flood",IF(I1509&lt;=0.5,"Low",IF(I1509&lt;=2,"Moderate","High")))</f>
        <v/>
      </c>
    </row>
    <row r="1510" ht="15" customHeight="1" s="12">
      <c r="A1510" s="14">
        <f>'Raw Data'!A1510</f>
        <v/>
      </c>
      <c r="B1510" s="14">
        <f>'Raw Data'!B1510</f>
        <v/>
      </c>
      <c r="C1510" s="14">
        <f>'Raw Data'!C1510</f>
        <v/>
      </c>
      <c r="D1510" s="15">
        <f>'Raw Data'!M1510</f>
        <v/>
      </c>
      <c r="E1510" s="18">
        <f>'Raw Data'!M1510/'Raw Data'!L1510*100</f>
        <v/>
      </c>
      <c r="F1510" s="14">
        <f>IF(E1510&gt;15,"Wet Year",IF(E1510&lt;-15,"Dry Year","Normal Year"))</f>
        <v/>
      </c>
      <c r="G1510" s="16">
        <f>'Raw Data'!I1510</f>
        <v/>
      </c>
      <c r="H1510" s="14">
        <f>IF(G1510&lt;15,"Low Variability",IF(G1510&lt;=35,"Moderate Variability","High Variability"))</f>
        <v/>
      </c>
      <c r="I1510" s="18">
        <f>'Raw Data'!O1510</f>
        <v/>
      </c>
      <c r="J1510" s="14">
        <f>IF(I1510=0,"No Flood",IF(I1510&lt;=0.5,"Low",IF(I1510&lt;=2,"Moderate","High")))</f>
        <v/>
      </c>
    </row>
    <row r="1511" ht="15" customHeight="1" s="12">
      <c r="A1511" s="14">
        <f>'Raw Data'!A1511</f>
        <v/>
      </c>
      <c r="B1511" s="14">
        <f>'Raw Data'!B1511</f>
        <v/>
      </c>
      <c r="C1511" s="14">
        <f>'Raw Data'!C1511</f>
        <v/>
      </c>
      <c r="D1511" s="15">
        <f>'Raw Data'!M1511</f>
        <v/>
      </c>
      <c r="E1511" s="18">
        <f>'Raw Data'!M1511/'Raw Data'!L1511*100</f>
        <v/>
      </c>
      <c r="F1511" s="14">
        <f>IF(E1511&gt;15,"Wet Year",IF(E1511&lt;-15,"Dry Year","Normal Year"))</f>
        <v/>
      </c>
      <c r="G1511" s="16">
        <f>'Raw Data'!I1511</f>
        <v/>
      </c>
      <c r="H1511" s="14">
        <f>IF(G1511&lt;15,"Low Variability",IF(G1511&lt;=35,"Moderate Variability","High Variability"))</f>
        <v/>
      </c>
      <c r="I1511" s="18">
        <f>'Raw Data'!O1511</f>
        <v/>
      </c>
      <c r="J1511" s="14">
        <f>IF(I1511=0,"No Flood",IF(I1511&lt;=0.5,"Low",IF(I1511&lt;=2,"Moderate","High")))</f>
        <v/>
      </c>
    </row>
    <row r="1512" ht="15" customHeight="1" s="12">
      <c r="A1512" s="14">
        <f>'Raw Data'!A1512</f>
        <v/>
      </c>
      <c r="B1512" s="14">
        <f>'Raw Data'!B1512</f>
        <v/>
      </c>
      <c r="C1512" s="14">
        <f>'Raw Data'!C1512</f>
        <v/>
      </c>
      <c r="D1512" s="15">
        <f>'Raw Data'!M1512</f>
        <v/>
      </c>
      <c r="E1512" s="18">
        <f>'Raw Data'!M1512/'Raw Data'!L1512*100</f>
        <v/>
      </c>
      <c r="F1512" s="14">
        <f>IF(E1512&gt;15,"Wet Year",IF(E1512&lt;-15,"Dry Year","Normal Year"))</f>
        <v/>
      </c>
      <c r="G1512" s="16">
        <f>'Raw Data'!I1512</f>
        <v/>
      </c>
      <c r="H1512" s="14">
        <f>IF(G1512&lt;15,"Low Variability",IF(G1512&lt;=35,"Moderate Variability","High Variability"))</f>
        <v/>
      </c>
      <c r="I1512" s="18">
        <f>'Raw Data'!O1512</f>
        <v/>
      </c>
      <c r="J1512" s="14">
        <f>IF(I1512=0,"No Flood",IF(I1512&lt;=0.5,"Low",IF(I1512&lt;=2,"Moderate","High")))</f>
        <v/>
      </c>
    </row>
    <row r="1513" ht="15" customHeight="1" s="12">
      <c r="A1513" s="14">
        <f>'Raw Data'!A1513</f>
        <v/>
      </c>
      <c r="B1513" s="14">
        <f>'Raw Data'!B1513</f>
        <v/>
      </c>
      <c r="C1513" s="14">
        <f>'Raw Data'!C1513</f>
        <v/>
      </c>
      <c r="D1513" s="15">
        <f>'Raw Data'!M1513</f>
        <v/>
      </c>
      <c r="E1513" s="18">
        <f>'Raw Data'!M1513/'Raw Data'!L1513*100</f>
        <v/>
      </c>
      <c r="F1513" s="14">
        <f>IF(E1513&gt;15,"Wet Year",IF(E1513&lt;-15,"Dry Year","Normal Year"))</f>
        <v/>
      </c>
      <c r="G1513" s="16">
        <f>'Raw Data'!I1513</f>
        <v/>
      </c>
      <c r="H1513" s="14">
        <f>IF(G1513&lt;15,"Low Variability",IF(G1513&lt;=35,"Moderate Variability","High Variability"))</f>
        <v/>
      </c>
      <c r="I1513" s="18">
        <f>'Raw Data'!O1513</f>
        <v/>
      </c>
      <c r="J1513" s="14">
        <f>IF(I1513=0,"No Flood",IF(I1513&lt;=0.5,"Low",IF(I1513&lt;=2,"Moderate","High")))</f>
        <v/>
      </c>
    </row>
    <row r="1514" ht="15" customHeight="1" s="12">
      <c r="A1514" s="14">
        <f>'Raw Data'!A1514</f>
        <v/>
      </c>
      <c r="B1514" s="14">
        <f>'Raw Data'!B1514</f>
        <v/>
      </c>
      <c r="C1514" s="14">
        <f>'Raw Data'!C1514</f>
        <v/>
      </c>
      <c r="D1514" s="15">
        <f>'Raw Data'!M1514</f>
        <v/>
      </c>
      <c r="E1514" s="18">
        <f>'Raw Data'!M1514/'Raw Data'!L1514*100</f>
        <v/>
      </c>
      <c r="F1514" s="14">
        <f>IF(E1514&gt;15,"Wet Year",IF(E1514&lt;-15,"Dry Year","Normal Year"))</f>
        <v/>
      </c>
      <c r="G1514" s="16">
        <f>'Raw Data'!I1514</f>
        <v/>
      </c>
      <c r="H1514" s="14">
        <f>IF(G1514&lt;15,"Low Variability",IF(G1514&lt;=35,"Moderate Variability","High Variability"))</f>
        <v/>
      </c>
      <c r="I1514" s="18">
        <f>'Raw Data'!O1514</f>
        <v/>
      </c>
      <c r="J1514" s="14">
        <f>IF(I1514=0,"No Flood",IF(I1514&lt;=0.5,"Low",IF(I1514&lt;=2,"Moderate","High")))</f>
        <v/>
      </c>
    </row>
    <row r="1515" ht="15" customHeight="1" s="12">
      <c r="A1515" s="14">
        <f>'Raw Data'!A1515</f>
        <v/>
      </c>
      <c r="B1515" s="14">
        <f>'Raw Data'!B1515</f>
        <v/>
      </c>
      <c r="C1515" s="14">
        <f>'Raw Data'!C1515</f>
        <v/>
      </c>
      <c r="D1515" s="15">
        <f>'Raw Data'!M1515</f>
        <v/>
      </c>
      <c r="E1515" s="18">
        <f>'Raw Data'!M1515/'Raw Data'!L1515*100</f>
        <v/>
      </c>
      <c r="F1515" s="14">
        <f>IF(E1515&gt;15,"Wet Year",IF(E1515&lt;-15,"Dry Year","Normal Year"))</f>
        <v/>
      </c>
      <c r="G1515" s="16">
        <f>'Raw Data'!I1515</f>
        <v/>
      </c>
      <c r="H1515" s="14">
        <f>IF(G1515&lt;15,"Low Variability",IF(G1515&lt;=35,"Moderate Variability","High Variability"))</f>
        <v/>
      </c>
      <c r="I1515" s="18">
        <f>'Raw Data'!O1515</f>
        <v/>
      </c>
      <c r="J1515" s="14">
        <f>IF(I1515=0,"No Flood",IF(I1515&lt;=0.5,"Low",IF(I1515&lt;=2,"Moderate","High")))</f>
        <v/>
      </c>
    </row>
    <row r="1516" ht="15" customHeight="1" s="12">
      <c r="A1516" s="14">
        <f>'Raw Data'!A1516</f>
        <v/>
      </c>
      <c r="B1516" s="14">
        <f>'Raw Data'!B1516</f>
        <v/>
      </c>
      <c r="C1516" s="14">
        <f>'Raw Data'!C1516</f>
        <v/>
      </c>
      <c r="D1516" s="15">
        <f>'Raw Data'!M1516</f>
        <v/>
      </c>
      <c r="E1516" s="18">
        <f>'Raw Data'!M1516/'Raw Data'!L1516*100</f>
        <v/>
      </c>
      <c r="F1516" s="14">
        <f>IF(E1516&gt;15,"Wet Year",IF(E1516&lt;-15,"Dry Year","Normal Year"))</f>
        <v/>
      </c>
      <c r="G1516" s="16">
        <f>'Raw Data'!I1516</f>
        <v/>
      </c>
      <c r="H1516" s="14">
        <f>IF(G1516&lt;15,"Low Variability",IF(G1516&lt;=35,"Moderate Variability","High Variability"))</f>
        <v/>
      </c>
      <c r="I1516" s="18">
        <f>'Raw Data'!O1516</f>
        <v/>
      </c>
      <c r="J1516" s="14">
        <f>IF(I1516=0,"No Flood",IF(I1516&lt;=0.5,"Low",IF(I1516&lt;=2,"Moderate","High")))</f>
        <v/>
      </c>
    </row>
    <row r="1517" ht="15" customHeight="1" s="12">
      <c r="A1517" s="14">
        <f>'Raw Data'!A1517</f>
        <v/>
      </c>
      <c r="B1517" s="14">
        <f>'Raw Data'!B1517</f>
        <v/>
      </c>
      <c r="C1517" s="14">
        <f>'Raw Data'!C1517</f>
        <v/>
      </c>
      <c r="D1517" s="15">
        <f>'Raw Data'!M1517</f>
        <v/>
      </c>
      <c r="E1517" s="18">
        <f>'Raw Data'!M1517/'Raw Data'!L1517*100</f>
        <v/>
      </c>
      <c r="F1517" s="14">
        <f>IF(E1517&gt;15,"Wet Year",IF(E1517&lt;-15,"Dry Year","Normal Year"))</f>
        <v/>
      </c>
      <c r="G1517" s="16">
        <f>'Raw Data'!I1517</f>
        <v/>
      </c>
      <c r="H1517" s="14">
        <f>IF(G1517&lt;15,"Low Variability",IF(G1517&lt;=35,"Moderate Variability","High Variability"))</f>
        <v/>
      </c>
      <c r="I1517" s="18">
        <f>'Raw Data'!O1517</f>
        <v/>
      </c>
      <c r="J1517" s="14">
        <f>IF(I1517=0,"No Flood",IF(I1517&lt;=0.5,"Low",IF(I1517&lt;=2,"Moderate","High")))</f>
        <v/>
      </c>
    </row>
    <row r="1518" ht="15" customHeight="1" s="12">
      <c r="A1518" s="14">
        <f>'Raw Data'!A1518</f>
        <v/>
      </c>
      <c r="B1518" s="14">
        <f>'Raw Data'!B1518</f>
        <v/>
      </c>
      <c r="C1518" s="14">
        <f>'Raw Data'!C1518</f>
        <v/>
      </c>
      <c r="D1518" s="15">
        <f>'Raw Data'!M1518</f>
        <v/>
      </c>
      <c r="E1518" s="18">
        <f>'Raw Data'!M1518/'Raw Data'!L1518*100</f>
        <v/>
      </c>
      <c r="F1518" s="14">
        <f>IF(E1518&gt;15,"Wet Year",IF(E1518&lt;-15,"Dry Year","Normal Year"))</f>
        <v/>
      </c>
      <c r="G1518" s="16">
        <f>'Raw Data'!I1518</f>
        <v/>
      </c>
      <c r="H1518" s="14">
        <f>IF(G1518&lt;15,"Low Variability",IF(G1518&lt;=35,"Moderate Variability","High Variability"))</f>
        <v/>
      </c>
      <c r="I1518" s="18">
        <f>'Raw Data'!O1518</f>
        <v/>
      </c>
      <c r="J1518" s="14">
        <f>IF(I1518=0,"No Flood",IF(I1518&lt;=0.5,"Low",IF(I1518&lt;=2,"Moderate","High")))</f>
        <v/>
      </c>
    </row>
    <row r="1519" ht="15" customHeight="1" s="12">
      <c r="A1519" s="14">
        <f>'Raw Data'!A1519</f>
        <v/>
      </c>
      <c r="B1519" s="14">
        <f>'Raw Data'!B1519</f>
        <v/>
      </c>
      <c r="C1519" s="14">
        <f>'Raw Data'!C1519</f>
        <v/>
      </c>
      <c r="D1519" s="15">
        <f>'Raw Data'!M1519</f>
        <v/>
      </c>
      <c r="E1519" s="18">
        <f>'Raw Data'!M1519/'Raw Data'!L1519*100</f>
        <v/>
      </c>
      <c r="F1519" s="14">
        <f>IF(E1519&gt;15,"Wet Year",IF(E1519&lt;-15,"Dry Year","Normal Year"))</f>
        <v/>
      </c>
      <c r="G1519" s="16">
        <f>'Raw Data'!I1519</f>
        <v/>
      </c>
      <c r="H1519" s="14">
        <f>IF(G1519&lt;15,"Low Variability",IF(G1519&lt;=35,"Moderate Variability","High Variability"))</f>
        <v/>
      </c>
      <c r="I1519" s="18">
        <f>'Raw Data'!O1519</f>
        <v/>
      </c>
      <c r="J1519" s="14">
        <f>IF(I1519=0,"No Flood",IF(I1519&lt;=0.5,"Low",IF(I1519&lt;=2,"Moderate","High")))</f>
        <v/>
      </c>
    </row>
    <row r="1520" ht="15" customHeight="1" s="12">
      <c r="A1520" s="14">
        <f>'Raw Data'!A1520</f>
        <v/>
      </c>
      <c r="B1520" s="14">
        <f>'Raw Data'!B1520</f>
        <v/>
      </c>
      <c r="C1520" s="14">
        <f>'Raw Data'!C1520</f>
        <v/>
      </c>
      <c r="D1520" s="15">
        <f>'Raw Data'!M1520</f>
        <v/>
      </c>
      <c r="E1520" s="18">
        <f>'Raw Data'!M1520/'Raw Data'!L1520*100</f>
        <v/>
      </c>
      <c r="F1520" s="14">
        <f>IF(E1520&gt;15,"Wet Year",IF(E1520&lt;-15,"Dry Year","Normal Year"))</f>
        <v/>
      </c>
      <c r="G1520" s="16">
        <f>'Raw Data'!I1520</f>
        <v/>
      </c>
      <c r="H1520" s="14">
        <f>IF(G1520&lt;15,"Low Variability",IF(G1520&lt;=35,"Moderate Variability","High Variability"))</f>
        <v/>
      </c>
      <c r="I1520" s="18">
        <f>'Raw Data'!O1520</f>
        <v/>
      </c>
      <c r="J1520" s="14">
        <f>IF(I1520=0,"No Flood",IF(I1520&lt;=0.5,"Low",IF(I1520&lt;=2,"Moderate","High")))</f>
        <v/>
      </c>
    </row>
    <row r="1521" ht="15" customHeight="1" s="12">
      <c r="A1521" s="14">
        <f>'Raw Data'!A1521</f>
        <v/>
      </c>
      <c r="B1521" s="14">
        <f>'Raw Data'!B1521</f>
        <v/>
      </c>
      <c r="C1521" s="14">
        <f>'Raw Data'!C1521</f>
        <v/>
      </c>
      <c r="D1521" s="15">
        <f>'Raw Data'!M1521</f>
        <v/>
      </c>
      <c r="E1521" s="18">
        <f>'Raw Data'!M1521/'Raw Data'!L1521*100</f>
        <v/>
      </c>
      <c r="F1521" s="14">
        <f>IF(E1521&gt;15,"Wet Year",IF(E1521&lt;-15,"Dry Year","Normal Year"))</f>
        <v/>
      </c>
      <c r="G1521" s="16">
        <f>'Raw Data'!I1521</f>
        <v/>
      </c>
      <c r="H1521" s="14">
        <f>IF(G1521&lt;15,"Low Variability",IF(G1521&lt;=35,"Moderate Variability","High Variability"))</f>
        <v/>
      </c>
      <c r="I1521" s="18">
        <f>'Raw Data'!O1521</f>
        <v/>
      </c>
      <c r="J1521" s="14">
        <f>IF(I1521=0,"No Flood",IF(I1521&lt;=0.5,"Low",IF(I1521&lt;=2,"Moderate","High")))</f>
        <v/>
      </c>
    </row>
    <row r="1522" ht="15" customHeight="1" s="12">
      <c r="A1522" s="14">
        <f>'Raw Data'!A1522</f>
        <v/>
      </c>
      <c r="B1522" s="14">
        <f>'Raw Data'!B1522</f>
        <v/>
      </c>
      <c r="C1522" s="14">
        <f>'Raw Data'!C1522</f>
        <v/>
      </c>
      <c r="D1522" s="15">
        <f>'Raw Data'!M1522</f>
        <v/>
      </c>
      <c r="E1522" s="18">
        <f>'Raw Data'!M1522/'Raw Data'!L1522*100</f>
        <v/>
      </c>
      <c r="F1522" s="14">
        <f>IF(E1522&gt;15,"Wet Year",IF(E1522&lt;-15,"Dry Year","Normal Year"))</f>
        <v/>
      </c>
      <c r="G1522" s="16">
        <f>'Raw Data'!I1522</f>
        <v/>
      </c>
      <c r="H1522" s="14">
        <f>IF(G1522&lt;15,"Low Variability",IF(G1522&lt;=35,"Moderate Variability","High Variability"))</f>
        <v/>
      </c>
      <c r="I1522" s="18">
        <f>'Raw Data'!O1522</f>
        <v/>
      </c>
      <c r="J1522" s="14">
        <f>IF(I1522=0,"No Flood",IF(I1522&lt;=0.5,"Low",IF(I1522&lt;=2,"Moderate","High")))</f>
        <v/>
      </c>
    </row>
    <row r="1523" ht="15" customHeight="1" s="12">
      <c r="A1523" s="14">
        <f>'Raw Data'!A1523</f>
        <v/>
      </c>
      <c r="B1523" s="14">
        <f>'Raw Data'!B1523</f>
        <v/>
      </c>
      <c r="C1523" s="14">
        <f>'Raw Data'!C1523</f>
        <v/>
      </c>
      <c r="D1523" s="15">
        <f>'Raw Data'!M1523</f>
        <v/>
      </c>
      <c r="E1523" s="18">
        <f>'Raw Data'!M1523/'Raw Data'!L1523*100</f>
        <v/>
      </c>
      <c r="F1523" s="14">
        <f>IF(E1523&gt;15,"Wet Year",IF(E1523&lt;-15,"Dry Year","Normal Year"))</f>
        <v/>
      </c>
      <c r="G1523" s="16">
        <f>'Raw Data'!I1523</f>
        <v/>
      </c>
      <c r="H1523" s="14">
        <f>IF(G1523&lt;15,"Low Variability",IF(G1523&lt;=35,"Moderate Variability","High Variability"))</f>
        <v/>
      </c>
      <c r="I1523" s="18">
        <f>'Raw Data'!O1523</f>
        <v/>
      </c>
      <c r="J1523" s="14">
        <f>IF(I1523=0,"No Flood",IF(I1523&lt;=0.5,"Low",IF(I1523&lt;=2,"Moderate","High")))</f>
        <v/>
      </c>
    </row>
    <row r="1524" ht="15" customHeight="1" s="12">
      <c r="A1524" s="14">
        <f>'Raw Data'!A1524</f>
        <v/>
      </c>
      <c r="B1524" s="14">
        <f>'Raw Data'!B1524</f>
        <v/>
      </c>
      <c r="C1524" s="14">
        <f>'Raw Data'!C1524</f>
        <v/>
      </c>
      <c r="D1524" s="15">
        <f>'Raw Data'!M1524</f>
        <v/>
      </c>
      <c r="E1524" s="18">
        <f>'Raw Data'!M1524/'Raw Data'!L1524*100</f>
        <v/>
      </c>
      <c r="F1524" s="14">
        <f>IF(E1524&gt;15,"Wet Year",IF(E1524&lt;-15,"Dry Year","Normal Year"))</f>
        <v/>
      </c>
      <c r="G1524" s="16">
        <f>'Raw Data'!I1524</f>
        <v/>
      </c>
      <c r="H1524" s="14">
        <f>IF(G1524&lt;15,"Low Variability",IF(G1524&lt;=35,"Moderate Variability","High Variability"))</f>
        <v/>
      </c>
      <c r="I1524" s="18">
        <f>'Raw Data'!O1524</f>
        <v/>
      </c>
      <c r="J1524" s="14">
        <f>IF(I1524=0,"No Flood",IF(I1524&lt;=0.5,"Low",IF(I1524&lt;=2,"Moderate","High")))</f>
        <v/>
      </c>
    </row>
    <row r="1525" ht="15" customHeight="1" s="12">
      <c r="A1525" s="14">
        <f>'Raw Data'!A1525</f>
        <v/>
      </c>
      <c r="B1525" s="14">
        <f>'Raw Data'!B1525</f>
        <v/>
      </c>
      <c r="C1525" s="14">
        <f>'Raw Data'!C1525</f>
        <v/>
      </c>
      <c r="D1525" s="15">
        <f>'Raw Data'!M1525</f>
        <v/>
      </c>
      <c r="E1525" s="18">
        <f>'Raw Data'!M1525/'Raw Data'!L1525*100</f>
        <v/>
      </c>
      <c r="F1525" s="14">
        <f>IF(E1525&gt;15,"Wet Year",IF(E1525&lt;-15,"Dry Year","Normal Year"))</f>
        <v/>
      </c>
      <c r="G1525" s="16">
        <f>'Raw Data'!I1525</f>
        <v/>
      </c>
      <c r="H1525" s="14">
        <f>IF(G1525&lt;15,"Low Variability",IF(G1525&lt;=35,"Moderate Variability","High Variability"))</f>
        <v/>
      </c>
      <c r="I1525" s="18">
        <f>'Raw Data'!O1525</f>
        <v/>
      </c>
      <c r="J1525" s="14">
        <f>IF(I1525=0,"No Flood",IF(I1525&lt;=0.5,"Low",IF(I1525&lt;=2,"Moderate","High")))</f>
        <v/>
      </c>
    </row>
    <row r="1526" ht="15" customHeight="1" s="12">
      <c r="A1526" s="14">
        <f>'Raw Data'!A1526</f>
        <v/>
      </c>
      <c r="B1526" s="14">
        <f>'Raw Data'!B1526</f>
        <v/>
      </c>
      <c r="C1526" s="14">
        <f>'Raw Data'!C1526</f>
        <v/>
      </c>
      <c r="D1526" s="15">
        <f>'Raw Data'!M1526</f>
        <v/>
      </c>
      <c r="E1526" s="18">
        <f>'Raw Data'!M1526/'Raw Data'!L1526*100</f>
        <v/>
      </c>
      <c r="F1526" s="14">
        <f>IF(E1526&gt;15,"Wet Year",IF(E1526&lt;-15,"Dry Year","Normal Year"))</f>
        <v/>
      </c>
      <c r="G1526" s="16">
        <f>'Raw Data'!I1526</f>
        <v/>
      </c>
      <c r="H1526" s="14">
        <f>IF(G1526&lt;15,"Low Variability",IF(G1526&lt;=35,"Moderate Variability","High Variability"))</f>
        <v/>
      </c>
      <c r="I1526" s="18">
        <f>'Raw Data'!O1526</f>
        <v/>
      </c>
      <c r="J1526" s="14">
        <f>IF(I1526=0,"No Flood",IF(I1526&lt;=0.5,"Low",IF(I1526&lt;=2,"Moderate","High")))</f>
        <v/>
      </c>
    </row>
    <row r="1527" ht="15" customHeight="1" s="12">
      <c r="A1527" s="14">
        <f>'Raw Data'!A1527</f>
        <v/>
      </c>
      <c r="B1527" s="14">
        <f>'Raw Data'!B1527</f>
        <v/>
      </c>
      <c r="C1527" s="14">
        <f>'Raw Data'!C1527</f>
        <v/>
      </c>
      <c r="D1527" s="15">
        <f>'Raw Data'!M1527</f>
        <v/>
      </c>
      <c r="E1527" s="18">
        <f>'Raw Data'!M1527/'Raw Data'!L1527*100</f>
        <v/>
      </c>
      <c r="F1527" s="14">
        <f>IF(E1527&gt;15,"Wet Year",IF(E1527&lt;-15,"Dry Year","Normal Year"))</f>
        <v/>
      </c>
      <c r="G1527" s="16">
        <f>'Raw Data'!I1527</f>
        <v/>
      </c>
      <c r="H1527" s="14">
        <f>IF(G1527&lt;15,"Low Variability",IF(G1527&lt;=35,"Moderate Variability","High Variability"))</f>
        <v/>
      </c>
      <c r="I1527" s="18">
        <f>'Raw Data'!O1527</f>
        <v/>
      </c>
      <c r="J1527" s="14">
        <f>IF(I1527=0,"No Flood",IF(I1527&lt;=0.5,"Low",IF(I1527&lt;=2,"Moderate","High")))</f>
        <v/>
      </c>
    </row>
    <row r="1528" ht="15" customHeight="1" s="12">
      <c r="A1528" s="14">
        <f>'Raw Data'!A1528</f>
        <v/>
      </c>
      <c r="B1528" s="14">
        <f>'Raw Data'!B1528</f>
        <v/>
      </c>
      <c r="C1528" s="14">
        <f>'Raw Data'!C1528</f>
        <v/>
      </c>
      <c r="D1528" s="15">
        <f>'Raw Data'!M1528</f>
        <v/>
      </c>
      <c r="E1528" s="18">
        <f>'Raw Data'!M1528/'Raw Data'!L1528*100</f>
        <v/>
      </c>
      <c r="F1528" s="14">
        <f>IF(E1528&gt;15,"Wet Year",IF(E1528&lt;-15,"Dry Year","Normal Year"))</f>
        <v/>
      </c>
      <c r="G1528" s="16">
        <f>'Raw Data'!I1528</f>
        <v/>
      </c>
      <c r="H1528" s="14">
        <f>IF(G1528&lt;15,"Low Variability",IF(G1528&lt;=35,"Moderate Variability","High Variability"))</f>
        <v/>
      </c>
      <c r="I1528" s="18">
        <f>'Raw Data'!O1528</f>
        <v/>
      </c>
      <c r="J1528" s="14">
        <f>IF(I1528=0,"No Flood",IF(I1528&lt;=0.5,"Low",IF(I1528&lt;=2,"Moderate","High")))</f>
        <v/>
      </c>
    </row>
    <row r="1529" ht="15" customHeight="1" s="12">
      <c r="A1529" s="14">
        <f>'Raw Data'!A1529</f>
        <v/>
      </c>
      <c r="B1529" s="14">
        <f>'Raw Data'!B1529</f>
        <v/>
      </c>
      <c r="C1529" s="14">
        <f>'Raw Data'!C1529</f>
        <v/>
      </c>
      <c r="D1529" s="15">
        <f>'Raw Data'!M1529</f>
        <v/>
      </c>
      <c r="E1529" s="18">
        <f>'Raw Data'!M1529/'Raw Data'!L1529*100</f>
        <v/>
      </c>
      <c r="F1529" s="14">
        <f>IF(E1529&gt;15,"Wet Year",IF(E1529&lt;-15,"Dry Year","Normal Year"))</f>
        <v/>
      </c>
      <c r="G1529" s="16">
        <f>'Raw Data'!I1529</f>
        <v/>
      </c>
      <c r="H1529" s="14">
        <f>IF(G1529&lt;15,"Low Variability",IF(G1529&lt;=35,"Moderate Variability","High Variability"))</f>
        <v/>
      </c>
      <c r="I1529" s="18">
        <f>'Raw Data'!O1529</f>
        <v/>
      </c>
      <c r="J1529" s="14">
        <f>IF(I1529=0,"No Flood",IF(I1529&lt;=0.5,"Low",IF(I1529&lt;=2,"Moderate","High")))</f>
        <v/>
      </c>
    </row>
    <row r="1530" ht="15" customHeight="1" s="12">
      <c r="A1530" s="14">
        <f>'Raw Data'!A1530</f>
        <v/>
      </c>
      <c r="B1530" s="14">
        <f>'Raw Data'!B1530</f>
        <v/>
      </c>
      <c r="C1530" s="14">
        <f>'Raw Data'!C1530</f>
        <v/>
      </c>
      <c r="D1530" s="15">
        <f>'Raw Data'!M1530</f>
        <v/>
      </c>
      <c r="E1530" s="18">
        <f>'Raw Data'!M1530/'Raw Data'!L1530*100</f>
        <v/>
      </c>
      <c r="F1530" s="14">
        <f>IF(E1530&gt;15,"Wet Year",IF(E1530&lt;-15,"Dry Year","Normal Year"))</f>
        <v/>
      </c>
      <c r="G1530" s="16">
        <f>'Raw Data'!I1530</f>
        <v/>
      </c>
      <c r="H1530" s="14">
        <f>IF(G1530&lt;15,"Low Variability",IF(G1530&lt;=35,"Moderate Variability","High Variability"))</f>
        <v/>
      </c>
      <c r="I1530" s="18">
        <f>'Raw Data'!O1530</f>
        <v/>
      </c>
      <c r="J1530" s="14">
        <f>IF(I1530=0,"No Flood",IF(I1530&lt;=0.5,"Low",IF(I1530&lt;=2,"Moderate","High")))</f>
        <v/>
      </c>
    </row>
    <row r="1531" ht="15" customHeight="1" s="12">
      <c r="A1531" s="14">
        <f>'Raw Data'!A1531</f>
        <v/>
      </c>
      <c r="B1531" s="14">
        <f>'Raw Data'!B1531</f>
        <v/>
      </c>
      <c r="C1531" s="14">
        <f>'Raw Data'!C1531</f>
        <v/>
      </c>
      <c r="D1531" s="15">
        <f>'Raw Data'!M1531</f>
        <v/>
      </c>
      <c r="E1531" s="18">
        <f>'Raw Data'!M1531/'Raw Data'!L1531*100</f>
        <v/>
      </c>
      <c r="F1531" s="14">
        <f>IF(E1531&gt;15,"Wet Year",IF(E1531&lt;-15,"Dry Year","Normal Year"))</f>
        <v/>
      </c>
      <c r="G1531" s="16">
        <f>'Raw Data'!I1531</f>
        <v/>
      </c>
      <c r="H1531" s="14">
        <f>IF(G1531&lt;15,"Low Variability",IF(G1531&lt;=35,"Moderate Variability","High Variability"))</f>
        <v/>
      </c>
      <c r="I1531" s="18">
        <f>'Raw Data'!O1531</f>
        <v/>
      </c>
      <c r="J1531" s="14">
        <f>IF(I1531=0,"No Flood",IF(I1531&lt;=0.5,"Low",IF(I1531&lt;=2,"Moderate","High")))</f>
        <v/>
      </c>
    </row>
    <row r="1532" ht="15" customHeight="1" s="12">
      <c r="A1532" s="14">
        <f>'Raw Data'!A1532</f>
        <v/>
      </c>
      <c r="B1532" s="14">
        <f>'Raw Data'!B1532</f>
        <v/>
      </c>
      <c r="C1532" s="14">
        <f>'Raw Data'!C1532</f>
        <v/>
      </c>
      <c r="D1532" s="15">
        <f>'Raw Data'!M1532</f>
        <v/>
      </c>
      <c r="E1532" s="18">
        <f>'Raw Data'!M1532/'Raw Data'!L1532*100</f>
        <v/>
      </c>
      <c r="F1532" s="14">
        <f>IF(E1532&gt;15,"Wet Year",IF(E1532&lt;-15,"Dry Year","Normal Year"))</f>
        <v/>
      </c>
      <c r="G1532" s="16">
        <f>'Raw Data'!I1532</f>
        <v/>
      </c>
      <c r="H1532" s="14">
        <f>IF(G1532&lt;15,"Low Variability",IF(G1532&lt;=35,"Moderate Variability","High Variability"))</f>
        <v/>
      </c>
      <c r="I1532" s="18">
        <f>'Raw Data'!O1532</f>
        <v/>
      </c>
      <c r="J1532" s="14">
        <f>IF(I1532=0,"No Flood",IF(I1532&lt;=0.5,"Low",IF(I1532&lt;=2,"Moderate","High")))</f>
        <v/>
      </c>
    </row>
    <row r="1533" ht="15" customHeight="1" s="12">
      <c r="A1533" s="14">
        <f>'Raw Data'!A1533</f>
        <v/>
      </c>
      <c r="B1533" s="14">
        <f>'Raw Data'!B1533</f>
        <v/>
      </c>
      <c r="C1533" s="14">
        <f>'Raw Data'!C1533</f>
        <v/>
      </c>
      <c r="D1533" s="15">
        <f>'Raw Data'!M1533</f>
        <v/>
      </c>
      <c r="E1533" s="18">
        <f>'Raw Data'!M1533/'Raw Data'!L1533*100</f>
        <v/>
      </c>
      <c r="F1533" s="14">
        <f>IF(E1533&gt;15,"Wet Year",IF(E1533&lt;-15,"Dry Year","Normal Year"))</f>
        <v/>
      </c>
      <c r="G1533" s="16">
        <f>'Raw Data'!I1533</f>
        <v/>
      </c>
      <c r="H1533" s="14">
        <f>IF(G1533&lt;15,"Low Variability",IF(G1533&lt;=35,"Moderate Variability","High Variability"))</f>
        <v/>
      </c>
      <c r="I1533" s="18">
        <f>'Raw Data'!O1533</f>
        <v/>
      </c>
      <c r="J1533" s="14">
        <f>IF(I1533=0,"No Flood",IF(I1533&lt;=0.5,"Low",IF(I1533&lt;=2,"Moderate","High")))</f>
        <v/>
      </c>
    </row>
    <row r="1534" ht="15" customHeight="1" s="12">
      <c r="A1534" s="14">
        <f>'Raw Data'!A1534</f>
        <v/>
      </c>
      <c r="B1534" s="14">
        <f>'Raw Data'!B1534</f>
        <v/>
      </c>
      <c r="C1534" s="14">
        <f>'Raw Data'!C1534</f>
        <v/>
      </c>
      <c r="D1534" s="15">
        <f>'Raw Data'!M1534</f>
        <v/>
      </c>
      <c r="E1534" s="18">
        <f>'Raw Data'!M1534/'Raw Data'!L1534*100</f>
        <v/>
      </c>
      <c r="F1534" s="14">
        <f>IF(E1534&gt;15,"Wet Year",IF(E1534&lt;-15,"Dry Year","Normal Year"))</f>
        <v/>
      </c>
      <c r="G1534" s="16">
        <f>'Raw Data'!I1534</f>
        <v/>
      </c>
      <c r="H1534" s="14">
        <f>IF(G1534&lt;15,"Low Variability",IF(G1534&lt;=35,"Moderate Variability","High Variability"))</f>
        <v/>
      </c>
      <c r="I1534" s="18">
        <f>'Raw Data'!O1534</f>
        <v/>
      </c>
      <c r="J1534" s="14">
        <f>IF(I1534=0,"No Flood",IF(I1534&lt;=0.5,"Low",IF(I1534&lt;=2,"Moderate","High")))</f>
        <v/>
      </c>
    </row>
    <row r="1535" ht="15" customHeight="1" s="12">
      <c r="A1535" s="14">
        <f>'Raw Data'!A1535</f>
        <v/>
      </c>
      <c r="B1535" s="14">
        <f>'Raw Data'!B1535</f>
        <v/>
      </c>
      <c r="C1535" s="14">
        <f>'Raw Data'!C1535</f>
        <v/>
      </c>
      <c r="D1535" s="15">
        <f>'Raw Data'!M1535</f>
        <v/>
      </c>
      <c r="E1535" s="18">
        <f>'Raw Data'!M1535/'Raw Data'!L1535*100</f>
        <v/>
      </c>
      <c r="F1535" s="14">
        <f>IF(E1535&gt;15,"Wet Year",IF(E1535&lt;-15,"Dry Year","Normal Year"))</f>
        <v/>
      </c>
      <c r="G1535" s="16">
        <f>'Raw Data'!I1535</f>
        <v/>
      </c>
      <c r="H1535" s="14">
        <f>IF(G1535&lt;15,"Low Variability",IF(G1535&lt;=35,"Moderate Variability","High Variability"))</f>
        <v/>
      </c>
      <c r="I1535" s="18">
        <f>'Raw Data'!O1535</f>
        <v/>
      </c>
      <c r="J1535" s="14">
        <f>IF(I1535=0,"No Flood",IF(I1535&lt;=0.5,"Low",IF(I1535&lt;=2,"Moderate","High")))</f>
        <v/>
      </c>
    </row>
    <row r="1536" ht="15" customHeight="1" s="12">
      <c r="A1536" s="14">
        <f>'Raw Data'!A1536</f>
        <v/>
      </c>
      <c r="B1536" s="14">
        <f>'Raw Data'!B1536</f>
        <v/>
      </c>
      <c r="C1536" s="14">
        <f>'Raw Data'!C1536</f>
        <v/>
      </c>
      <c r="D1536" s="15">
        <f>'Raw Data'!M1536</f>
        <v/>
      </c>
      <c r="E1536" s="18">
        <f>'Raw Data'!M1536/'Raw Data'!L1536*100</f>
        <v/>
      </c>
      <c r="F1536" s="14">
        <f>IF(E1536&gt;15,"Wet Year",IF(E1536&lt;-15,"Dry Year","Normal Year"))</f>
        <v/>
      </c>
      <c r="G1536" s="16">
        <f>'Raw Data'!I1536</f>
        <v/>
      </c>
      <c r="H1536" s="14">
        <f>IF(G1536&lt;15,"Low Variability",IF(G1536&lt;=35,"Moderate Variability","High Variability"))</f>
        <v/>
      </c>
      <c r="I1536" s="18">
        <f>'Raw Data'!O1536</f>
        <v/>
      </c>
      <c r="J1536" s="14">
        <f>IF(I1536=0,"No Flood",IF(I1536&lt;=0.5,"Low",IF(I1536&lt;=2,"Moderate","High")))</f>
        <v/>
      </c>
    </row>
    <row r="1537" ht="15" customHeight="1" s="12">
      <c r="A1537" s="14">
        <f>'Raw Data'!A1537</f>
        <v/>
      </c>
      <c r="B1537" s="14">
        <f>'Raw Data'!B1537</f>
        <v/>
      </c>
      <c r="C1537" s="14">
        <f>'Raw Data'!C1537</f>
        <v/>
      </c>
      <c r="D1537" s="15">
        <f>'Raw Data'!M1537</f>
        <v/>
      </c>
      <c r="E1537" s="18">
        <f>'Raw Data'!M1537/'Raw Data'!L1537*100</f>
        <v/>
      </c>
      <c r="F1537" s="14">
        <f>IF(E1537&gt;15,"Wet Year",IF(E1537&lt;-15,"Dry Year","Normal Year"))</f>
        <v/>
      </c>
      <c r="G1537" s="16">
        <f>'Raw Data'!I1537</f>
        <v/>
      </c>
      <c r="H1537" s="14">
        <f>IF(G1537&lt;15,"Low Variability",IF(G1537&lt;=35,"Moderate Variability","High Variability"))</f>
        <v/>
      </c>
      <c r="I1537" s="18">
        <f>'Raw Data'!O1537</f>
        <v/>
      </c>
      <c r="J1537" s="14">
        <f>IF(I1537=0,"No Flood",IF(I1537&lt;=0.5,"Low",IF(I1537&lt;=2,"Moderate","High")))</f>
        <v/>
      </c>
    </row>
    <row r="1538" ht="15" customHeight="1" s="12">
      <c r="A1538" s="14">
        <f>'Raw Data'!A1538</f>
        <v/>
      </c>
      <c r="B1538" s="14">
        <f>'Raw Data'!B1538</f>
        <v/>
      </c>
      <c r="C1538" s="14">
        <f>'Raw Data'!C1538</f>
        <v/>
      </c>
      <c r="D1538" s="15">
        <f>'Raw Data'!M1538</f>
        <v/>
      </c>
      <c r="E1538" s="18">
        <f>'Raw Data'!M1538/'Raw Data'!L1538*100</f>
        <v/>
      </c>
      <c r="F1538" s="14">
        <f>IF(E1538&gt;15,"Wet Year",IF(E1538&lt;-15,"Dry Year","Normal Year"))</f>
        <v/>
      </c>
      <c r="G1538" s="16">
        <f>'Raw Data'!I1538</f>
        <v/>
      </c>
      <c r="H1538" s="14">
        <f>IF(G1538&lt;15,"Low Variability",IF(G1538&lt;=35,"Moderate Variability","High Variability"))</f>
        <v/>
      </c>
      <c r="I1538" s="18">
        <f>'Raw Data'!O1538</f>
        <v/>
      </c>
      <c r="J1538" s="14">
        <f>IF(I1538=0,"No Flood",IF(I1538&lt;=0.5,"Low",IF(I1538&lt;=2,"Moderate","High")))</f>
        <v/>
      </c>
    </row>
    <row r="1539" ht="15" customHeight="1" s="12">
      <c r="A1539" s="14">
        <f>'Raw Data'!A1539</f>
        <v/>
      </c>
      <c r="B1539" s="14">
        <f>'Raw Data'!B1539</f>
        <v/>
      </c>
      <c r="C1539" s="14">
        <f>'Raw Data'!C1539</f>
        <v/>
      </c>
      <c r="D1539" s="15">
        <f>'Raw Data'!M1539</f>
        <v/>
      </c>
      <c r="E1539" s="18">
        <f>'Raw Data'!M1539/'Raw Data'!L1539*100</f>
        <v/>
      </c>
      <c r="F1539" s="14">
        <f>IF(E1539&gt;15,"Wet Year",IF(E1539&lt;-15,"Dry Year","Normal Year"))</f>
        <v/>
      </c>
      <c r="G1539" s="16">
        <f>'Raw Data'!I1539</f>
        <v/>
      </c>
      <c r="H1539" s="14">
        <f>IF(G1539&lt;15,"Low Variability",IF(G1539&lt;=35,"Moderate Variability","High Variability"))</f>
        <v/>
      </c>
      <c r="I1539" s="18">
        <f>'Raw Data'!O1539</f>
        <v/>
      </c>
      <c r="J1539" s="14">
        <f>IF(I1539=0,"No Flood",IF(I1539&lt;=0.5,"Low",IF(I1539&lt;=2,"Moderate","High")))</f>
        <v/>
      </c>
    </row>
    <row r="1540" ht="15" customHeight="1" s="12">
      <c r="A1540" s="14">
        <f>'Raw Data'!A1540</f>
        <v/>
      </c>
      <c r="B1540" s="14">
        <f>'Raw Data'!B1540</f>
        <v/>
      </c>
      <c r="C1540" s="14">
        <f>'Raw Data'!C1540</f>
        <v/>
      </c>
      <c r="D1540" s="15">
        <f>'Raw Data'!M1540</f>
        <v/>
      </c>
      <c r="E1540" s="18">
        <f>'Raw Data'!M1540/'Raw Data'!L1540*100</f>
        <v/>
      </c>
      <c r="F1540" s="14">
        <f>IF(E1540&gt;15,"Wet Year",IF(E1540&lt;-15,"Dry Year","Normal Year"))</f>
        <v/>
      </c>
      <c r="G1540" s="16">
        <f>'Raw Data'!I1540</f>
        <v/>
      </c>
      <c r="H1540" s="14">
        <f>IF(G1540&lt;15,"Low Variability",IF(G1540&lt;=35,"Moderate Variability","High Variability"))</f>
        <v/>
      </c>
      <c r="I1540" s="18">
        <f>'Raw Data'!O1540</f>
        <v/>
      </c>
      <c r="J1540" s="14">
        <f>IF(I1540=0,"No Flood",IF(I1540&lt;=0.5,"Low",IF(I1540&lt;=2,"Moderate","High")))</f>
        <v/>
      </c>
    </row>
    <row r="1541" ht="15" customHeight="1" s="12">
      <c r="A1541" s="14">
        <f>'Raw Data'!A1541</f>
        <v/>
      </c>
      <c r="B1541" s="14">
        <f>'Raw Data'!B1541</f>
        <v/>
      </c>
      <c r="C1541" s="14">
        <f>'Raw Data'!C1541</f>
        <v/>
      </c>
      <c r="D1541" s="15">
        <f>'Raw Data'!M1541</f>
        <v/>
      </c>
      <c r="E1541" s="18">
        <f>'Raw Data'!M1541/'Raw Data'!L1541*100</f>
        <v/>
      </c>
      <c r="F1541" s="14">
        <f>IF(E1541&gt;15,"Wet Year",IF(E1541&lt;-15,"Dry Year","Normal Year"))</f>
        <v/>
      </c>
      <c r="G1541" s="16">
        <f>'Raw Data'!I1541</f>
        <v/>
      </c>
      <c r="H1541" s="14">
        <f>IF(G1541&lt;15,"Low Variability",IF(G1541&lt;=35,"Moderate Variability","High Variability"))</f>
        <v/>
      </c>
      <c r="I1541" s="18">
        <f>'Raw Data'!O1541</f>
        <v/>
      </c>
      <c r="J1541" s="14">
        <f>IF(I1541=0,"No Flood",IF(I1541&lt;=0.5,"Low",IF(I1541&lt;=2,"Moderate","High")))</f>
        <v/>
      </c>
    </row>
    <row r="1542" ht="15" customHeight="1" s="12">
      <c r="A1542" s="14">
        <f>'Raw Data'!A1542</f>
        <v/>
      </c>
      <c r="B1542" s="14">
        <f>'Raw Data'!B1542</f>
        <v/>
      </c>
      <c r="C1542" s="14">
        <f>'Raw Data'!C1542</f>
        <v/>
      </c>
      <c r="D1542" s="15">
        <f>'Raw Data'!M1542</f>
        <v/>
      </c>
      <c r="E1542" s="18">
        <f>'Raw Data'!M1542/'Raw Data'!L1542*100</f>
        <v/>
      </c>
      <c r="F1542" s="14">
        <f>IF(E1542&gt;15,"Wet Year",IF(E1542&lt;-15,"Dry Year","Normal Year"))</f>
        <v/>
      </c>
      <c r="G1542" s="16">
        <f>'Raw Data'!I1542</f>
        <v/>
      </c>
      <c r="H1542" s="14">
        <f>IF(G1542&lt;15,"Low Variability",IF(G1542&lt;=35,"Moderate Variability","High Variability"))</f>
        <v/>
      </c>
      <c r="I1542" s="18">
        <f>'Raw Data'!O1542</f>
        <v/>
      </c>
      <c r="J1542" s="14">
        <f>IF(I1542=0,"No Flood",IF(I1542&lt;=0.5,"Low",IF(I1542&lt;=2,"Moderate","High")))</f>
        <v/>
      </c>
    </row>
    <row r="1543" ht="15" customHeight="1" s="12">
      <c r="A1543" s="14">
        <f>'Raw Data'!A1543</f>
        <v/>
      </c>
      <c r="B1543" s="14">
        <f>'Raw Data'!B1543</f>
        <v/>
      </c>
      <c r="C1543" s="14">
        <f>'Raw Data'!C1543</f>
        <v/>
      </c>
      <c r="D1543" s="15">
        <f>'Raw Data'!M1543</f>
        <v/>
      </c>
      <c r="E1543" s="18">
        <f>'Raw Data'!M1543/'Raw Data'!L1543*100</f>
        <v/>
      </c>
      <c r="F1543" s="14">
        <f>IF(E1543&gt;15,"Wet Year",IF(E1543&lt;-15,"Dry Year","Normal Year"))</f>
        <v/>
      </c>
      <c r="G1543" s="16">
        <f>'Raw Data'!I1543</f>
        <v/>
      </c>
      <c r="H1543" s="14">
        <f>IF(G1543&lt;15,"Low Variability",IF(G1543&lt;=35,"Moderate Variability","High Variability"))</f>
        <v/>
      </c>
      <c r="I1543" s="18">
        <f>'Raw Data'!O1543</f>
        <v/>
      </c>
      <c r="J1543" s="14">
        <f>IF(I1543=0,"No Flood",IF(I1543&lt;=0.5,"Low",IF(I1543&lt;=2,"Moderate","High")))</f>
        <v/>
      </c>
    </row>
    <row r="1544" ht="15" customHeight="1" s="12">
      <c r="A1544" s="14">
        <f>'Raw Data'!A1544</f>
        <v/>
      </c>
      <c r="B1544" s="14">
        <f>'Raw Data'!B1544</f>
        <v/>
      </c>
      <c r="C1544" s="14">
        <f>'Raw Data'!C1544</f>
        <v/>
      </c>
      <c r="D1544" s="15">
        <f>'Raw Data'!M1544</f>
        <v/>
      </c>
      <c r="E1544" s="18">
        <f>'Raw Data'!M1544/'Raw Data'!L1544*100</f>
        <v/>
      </c>
      <c r="F1544" s="14">
        <f>IF(E1544&gt;15,"Wet Year",IF(E1544&lt;-15,"Dry Year","Normal Year"))</f>
        <v/>
      </c>
      <c r="G1544" s="16">
        <f>'Raw Data'!I1544</f>
        <v/>
      </c>
      <c r="H1544" s="14">
        <f>IF(G1544&lt;15,"Low Variability",IF(G1544&lt;=35,"Moderate Variability","High Variability"))</f>
        <v/>
      </c>
      <c r="I1544" s="18">
        <f>'Raw Data'!O1544</f>
        <v/>
      </c>
      <c r="J1544" s="14">
        <f>IF(I1544=0,"No Flood",IF(I1544&lt;=0.5,"Low",IF(I1544&lt;=2,"Moderate","High")))</f>
        <v/>
      </c>
    </row>
    <row r="1545" ht="15" customHeight="1" s="12">
      <c r="A1545" s="14">
        <f>'Raw Data'!A1545</f>
        <v/>
      </c>
      <c r="B1545" s="14">
        <f>'Raw Data'!B1545</f>
        <v/>
      </c>
      <c r="C1545" s="14">
        <f>'Raw Data'!C1545</f>
        <v/>
      </c>
      <c r="D1545" s="15">
        <f>'Raw Data'!M1545</f>
        <v/>
      </c>
      <c r="E1545" s="18">
        <f>'Raw Data'!M1545/'Raw Data'!L1545*100</f>
        <v/>
      </c>
      <c r="F1545" s="14">
        <f>IF(E1545&gt;15,"Wet Year",IF(E1545&lt;-15,"Dry Year","Normal Year"))</f>
        <v/>
      </c>
      <c r="G1545" s="16">
        <f>'Raw Data'!I1545</f>
        <v/>
      </c>
      <c r="H1545" s="14">
        <f>IF(G1545&lt;15,"Low Variability",IF(G1545&lt;=35,"Moderate Variability","High Variability"))</f>
        <v/>
      </c>
      <c r="I1545" s="18">
        <f>'Raw Data'!O1545</f>
        <v/>
      </c>
      <c r="J1545" s="14">
        <f>IF(I1545=0,"No Flood",IF(I1545&lt;=0.5,"Low",IF(I1545&lt;=2,"Moderate","High")))</f>
        <v/>
      </c>
    </row>
    <row r="1546" ht="15" customHeight="1" s="12">
      <c r="A1546" s="14">
        <f>'Raw Data'!A1546</f>
        <v/>
      </c>
      <c r="B1546" s="14">
        <f>'Raw Data'!B1546</f>
        <v/>
      </c>
      <c r="C1546" s="14">
        <f>'Raw Data'!C1546</f>
        <v/>
      </c>
      <c r="D1546" s="15">
        <f>'Raw Data'!M1546</f>
        <v/>
      </c>
      <c r="E1546" s="18">
        <f>'Raw Data'!M1546/'Raw Data'!L1546*100</f>
        <v/>
      </c>
      <c r="F1546" s="14">
        <f>IF(E1546&gt;15,"Wet Year",IF(E1546&lt;-15,"Dry Year","Normal Year"))</f>
        <v/>
      </c>
      <c r="G1546" s="16">
        <f>'Raw Data'!I1546</f>
        <v/>
      </c>
      <c r="H1546" s="14">
        <f>IF(G1546&lt;15,"Low Variability",IF(G1546&lt;=35,"Moderate Variability","High Variability"))</f>
        <v/>
      </c>
      <c r="I1546" s="18">
        <f>'Raw Data'!O1546</f>
        <v/>
      </c>
      <c r="J1546" s="14">
        <f>IF(I1546=0,"No Flood",IF(I1546&lt;=0.5,"Low",IF(I1546&lt;=2,"Moderate","High")))</f>
        <v/>
      </c>
    </row>
    <row r="1547" ht="15" customHeight="1" s="12">
      <c r="A1547" s="14">
        <f>'Raw Data'!A1547</f>
        <v/>
      </c>
      <c r="B1547" s="14">
        <f>'Raw Data'!B1547</f>
        <v/>
      </c>
      <c r="C1547" s="14">
        <f>'Raw Data'!C1547</f>
        <v/>
      </c>
      <c r="D1547" s="15">
        <f>'Raw Data'!M1547</f>
        <v/>
      </c>
      <c r="E1547" s="18">
        <f>'Raw Data'!M1547/'Raw Data'!L1547*100</f>
        <v/>
      </c>
      <c r="F1547" s="14">
        <f>IF(E1547&gt;15,"Wet Year",IF(E1547&lt;-15,"Dry Year","Normal Year"))</f>
        <v/>
      </c>
      <c r="G1547" s="16">
        <f>'Raw Data'!I1547</f>
        <v/>
      </c>
      <c r="H1547" s="14">
        <f>IF(G1547&lt;15,"Low Variability",IF(G1547&lt;=35,"Moderate Variability","High Variability"))</f>
        <v/>
      </c>
      <c r="I1547" s="18">
        <f>'Raw Data'!O1547</f>
        <v/>
      </c>
      <c r="J1547" s="14">
        <f>IF(I1547=0,"No Flood",IF(I1547&lt;=0.5,"Low",IF(I1547&lt;=2,"Moderate","High")))</f>
        <v/>
      </c>
    </row>
    <row r="1548" ht="15" customHeight="1" s="12">
      <c r="A1548" s="14">
        <f>'Raw Data'!A1548</f>
        <v/>
      </c>
      <c r="B1548" s="14">
        <f>'Raw Data'!B1548</f>
        <v/>
      </c>
      <c r="C1548" s="14">
        <f>'Raw Data'!C1548</f>
        <v/>
      </c>
      <c r="D1548" s="15">
        <f>'Raw Data'!M1548</f>
        <v/>
      </c>
      <c r="E1548" s="18">
        <f>'Raw Data'!M1548/'Raw Data'!L1548*100</f>
        <v/>
      </c>
      <c r="F1548" s="14">
        <f>IF(E1548&gt;15,"Wet Year",IF(E1548&lt;-15,"Dry Year","Normal Year"))</f>
        <v/>
      </c>
      <c r="G1548" s="16">
        <f>'Raw Data'!I1548</f>
        <v/>
      </c>
      <c r="H1548" s="14">
        <f>IF(G1548&lt;15,"Low Variability",IF(G1548&lt;=35,"Moderate Variability","High Variability"))</f>
        <v/>
      </c>
      <c r="I1548" s="18">
        <f>'Raw Data'!O1548</f>
        <v/>
      </c>
      <c r="J1548" s="14">
        <f>IF(I1548=0,"No Flood",IF(I1548&lt;=0.5,"Low",IF(I1548&lt;=2,"Moderate","High")))</f>
        <v/>
      </c>
    </row>
    <row r="1549" ht="15" customHeight="1" s="12">
      <c r="A1549" s="14">
        <f>'Raw Data'!A1549</f>
        <v/>
      </c>
      <c r="B1549" s="14">
        <f>'Raw Data'!B1549</f>
        <v/>
      </c>
      <c r="C1549" s="14">
        <f>'Raw Data'!C1549</f>
        <v/>
      </c>
      <c r="D1549" s="15">
        <f>'Raw Data'!M1549</f>
        <v/>
      </c>
      <c r="E1549" s="18">
        <f>'Raw Data'!M1549/'Raw Data'!L1549*100</f>
        <v/>
      </c>
      <c r="F1549" s="14">
        <f>IF(E1549&gt;15,"Wet Year",IF(E1549&lt;-15,"Dry Year","Normal Year"))</f>
        <v/>
      </c>
      <c r="G1549" s="16">
        <f>'Raw Data'!I1549</f>
        <v/>
      </c>
      <c r="H1549" s="14">
        <f>IF(G1549&lt;15,"Low Variability",IF(G1549&lt;=35,"Moderate Variability","High Variability"))</f>
        <v/>
      </c>
      <c r="I1549" s="18">
        <f>'Raw Data'!O1549</f>
        <v/>
      </c>
      <c r="J1549" s="14">
        <f>IF(I1549=0,"No Flood",IF(I1549&lt;=0.5,"Low",IF(I1549&lt;=2,"Moderate","High")))</f>
        <v/>
      </c>
    </row>
    <row r="1550" ht="15" customHeight="1" s="12">
      <c r="A1550" s="14">
        <f>'Raw Data'!A1550</f>
        <v/>
      </c>
      <c r="B1550" s="14">
        <f>'Raw Data'!B1550</f>
        <v/>
      </c>
      <c r="C1550" s="14">
        <f>'Raw Data'!C1550</f>
        <v/>
      </c>
      <c r="D1550" s="15">
        <f>'Raw Data'!M1550</f>
        <v/>
      </c>
      <c r="E1550" s="18">
        <f>'Raw Data'!M1550/'Raw Data'!L1550*100</f>
        <v/>
      </c>
      <c r="F1550" s="14">
        <f>IF(E1550&gt;15,"Wet Year",IF(E1550&lt;-15,"Dry Year","Normal Year"))</f>
        <v/>
      </c>
      <c r="G1550" s="16">
        <f>'Raw Data'!I1550</f>
        <v/>
      </c>
      <c r="H1550" s="14">
        <f>IF(G1550&lt;15,"Low Variability",IF(G1550&lt;=35,"Moderate Variability","High Variability"))</f>
        <v/>
      </c>
      <c r="I1550" s="18">
        <f>'Raw Data'!O1550</f>
        <v/>
      </c>
      <c r="J1550" s="14">
        <f>IF(I1550=0,"No Flood",IF(I1550&lt;=0.5,"Low",IF(I1550&lt;=2,"Moderate","High")))</f>
        <v/>
      </c>
    </row>
    <row r="1551" ht="15" customHeight="1" s="12">
      <c r="A1551" s="14">
        <f>'Raw Data'!A1551</f>
        <v/>
      </c>
      <c r="B1551" s="14">
        <f>'Raw Data'!B1551</f>
        <v/>
      </c>
      <c r="C1551" s="14">
        <f>'Raw Data'!C1551</f>
        <v/>
      </c>
      <c r="D1551" s="15">
        <f>'Raw Data'!M1551</f>
        <v/>
      </c>
      <c r="E1551" s="18">
        <f>'Raw Data'!M1551/'Raw Data'!L1551*100</f>
        <v/>
      </c>
      <c r="F1551" s="14">
        <f>IF(E1551&gt;15,"Wet Year",IF(E1551&lt;-15,"Dry Year","Normal Year"))</f>
        <v/>
      </c>
      <c r="G1551" s="16">
        <f>'Raw Data'!I1551</f>
        <v/>
      </c>
      <c r="H1551" s="14">
        <f>IF(G1551&lt;15,"Low Variability",IF(G1551&lt;=35,"Moderate Variability","High Variability"))</f>
        <v/>
      </c>
      <c r="I1551" s="18">
        <f>'Raw Data'!O1551</f>
        <v/>
      </c>
      <c r="J1551" s="14">
        <f>IF(I1551=0,"No Flood",IF(I1551&lt;=0.5,"Low",IF(I1551&lt;=2,"Moderate","High")))</f>
        <v/>
      </c>
    </row>
    <row r="1552" ht="15" customHeight="1" s="12">
      <c r="A1552" s="14">
        <f>'Raw Data'!A1552</f>
        <v/>
      </c>
      <c r="B1552" s="14">
        <f>'Raw Data'!B1552</f>
        <v/>
      </c>
      <c r="C1552" s="14">
        <f>'Raw Data'!C1552</f>
        <v/>
      </c>
      <c r="D1552" s="15">
        <f>'Raw Data'!M1552</f>
        <v/>
      </c>
      <c r="E1552" s="18">
        <f>'Raw Data'!M1552/'Raw Data'!L1552*100</f>
        <v/>
      </c>
      <c r="F1552" s="14">
        <f>IF(E1552&gt;15,"Wet Year",IF(E1552&lt;-15,"Dry Year","Normal Year"))</f>
        <v/>
      </c>
      <c r="G1552" s="16">
        <f>'Raw Data'!I1552</f>
        <v/>
      </c>
      <c r="H1552" s="14">
        <f>IF(G1552&lt;15,"Low Variability",IF(G1552&lt;=35,"Moderate Variability","High Variability"))</f>
        <v/>
      </c>
      <c r="I1552" s="18">
        <f>'Raw Data'!O1552</f>
        <v/>
      </c>
      <c r="J1552" s="14">
        <f>IF(I1552=0,"No Flood",IF(I1552&lt;=0.5,"Low",IF(I1552&lt;=2,"Moderate","High")))</f>
        <v/>
      </c>
    </row>
    <row r="1553" ht="15" customHeight="1" s="12">
      <c r="A1553" s="14">
        <f>'Raw Data'!A1553</f>
        <v/>
      </c>
      <c r="B1553" s="14">
        <f>'Raw Data'!B1553</f>
        <v/>
      </c>
      <c r="C1553" s="14">
        <f>'Raw Data'!C1553</f>
        <v/>
      </c>
      <c r="D1553" s="15">
        <f>'Raw Data'!M1553</f>
        <v/>
      </c>
      <c r="E1553" s="18">
        <f>'Raw Data'!M1553/'Raw Data'!L1553*100</f>
        <v/>
      </c>
      <c r="F1553" s="14">
        <f>IF(E1553&gt;15,"Wet Year",IF(E1553&lt;-15,"Dry Year","Normal Year"))</f>
        <v/>
      </c>
      <c r="G1553" s="16">
        <f>'Raw Data'!I1553</f>
        <v/>
      </c>
      <c r="H1553" s="14">
        <f>IF(G1553&lt;15,"Low Variability",IF(G1553&lt;=35,"Moderate Variability","High Variability"))</f>
        <v/>
      </c>
      <c r="I1553" s="18">
        <f>'Raw Data'!O1553</f>
        <v/>
      </c>
      <c r="J1553" s="14">
        <f>IF(I1553=0,"No Flood",IF(I1553&lt;=0.5,"Low",IF(I1553&lt;=2,"Moderate","High")))</f>
        <v/>
      </c>
    </row>
    <row r="1554" ht="15" customHeight="1" s="12">
      <c r="A1554" s="14">
        <f>'Raw Data'!A1554</f>
        <v/>
      </c>
      <c r="B1554" s="14">
        <f>'Raw Data'!B1554</f>
        <v/>
      </c>
      <c r="C1554" s="14">
        <f>'Raw Data'!C1554</f>
        <v/>
      </c>
      <c r="D1554" s="15">
        <f>'Raw Data'!M1554</f>
        <v/>
      </c>
      <c r="E1554" s="18">
        <f>'Raw Data'!M1554/'Raw Data'!L1554*100</f>
        <v/>
      </c>
      <c r="F1554" s="14">
        <f>IF(E1554&gt;15,"Wet Year",IF(E1554&lt;-15,"Dry Year","Normal Year"))</f>
        <v/>
      </c>
      <c r="G1554" s="16">
        <f>'Raw Data'!I1554</f>
        <v/>
      </c>
      <c r="H1554" s="14">
        <f>IF(G1554&lt;15,"Low Variability",IF(G1554&lt;=35,"Moderate Variability","High Variability"))</f>
        <v/>
      </c>
      <c r="I1554" s="18">
        <f>'Raw Data'!O1554</f>
        <v/>
      </c>
      <c r="J1554" s="14">
        <f>IF(I1554=0,"No Flood",IF(I1554&lt;=0.5,"Low",IF(I1554&lt;=2,"Moderate","High")))</f>
        <v/>
      </c>
    </row>
    <row r="1555" ht="15" customHeight="1" s="12">
      <c r="A1555" s="14">
        <f>'Raw Data'!A1555</f>
        <v/>
      </c>
      <c r="B1555" s="14">
        <f>'Raw Data'!B1555</f>
        <v/>
      </c>
      <c r="C1555" s="14">
        <f>'Raw Data'!C1555</f>
        <v/>
      </c>
      <c r="D1555" s="15">
        <f>'Raw Data'!M1555</f>
        <v/>
      </c>
      <c r="E1555" s="18">
        <f>'Raw Data'!M1555/'Raw Data'!L1555*100</f>
        <v/>
      </c>
      <c r="F1555" s="14">
        <f>IF(E1555&gt;15,"Wet Year",IF(E1555&lt;-15,"Dry Year","Normal Year"))</f>
        <v/>
      </c>
      <c r="G1555" s="16">
        <f>'Raw Data'!I1555</f>
        <v/>
      </c>
      <c r="H1555" s="14">
        <f>IF(G1555&lt;15,"Low Variability",IF(G1555&lt;=35,"Moderate Variability","High Variability"))</f>
        <v/>
      </c>
      <c r="I1555" s="18">
        <f>'Raw Data'!O1555</f>
        <v/>
      </c>
      <c r="J1555" s="14">
        <f>IF(I1555=0,"No Flood",IF(I1555&lt;=0.5,"Low",IF(I1555&lt;=2,"Moderate","High")))</f>
        <v/>
      </c>
    </row>
    <row r="1556" ht="15" customHeight="1" s="12">
      <c r="A1556" s="14">
        <f>'Raw Data'!A1556</f>
        <v/>
      </c>
      <c r="B1556" s="14">
        <f>'Raw Data'!B1556</f>
        <v/>
      </c>
      <c r="C1556" s="14">
        <f>'Raw Data'!C1556</f>
        <v/>
      </c>
      <c r="D1556" s="15">
        <f>'Raw Data'!M1556</f>
        <v/>
      </c>
      <c r="E1556" s="18">
        <f>'Raw Data'!M1556/'Raw Data'!L1556*100</f>
        <v/>
      </c>
      <c r="F1556" s="14">
        <f>IF(E1556&gt;15,"Wet Year",IF(E1556&lt;-15,"Dry Year","Normal Year"))</f>
        <v/>
      </c>
      <c r="G1556" s="16">
        <f>'Raw Data'!I1556</f>
        <v/>
      </c>
      <c r="H1556" s="14">
        <f>IF(G1556&lt;15,"Low Variability",IF(G1556&lt;=35,"Moderate Variability","High Variability"))</f>
        <v/>
      </c>
      <c r="I1556" s="18">
        <f>'Raw Data'!O1556</f>
        <v/>
      </c>
      <c r="J1556" s="14">
        <f>IF(I1556=0,"No Flood",IF(I1556&lt;=0.5,"Low",IF(I1556&lt;=2,"Moderate","High")))</f>
        <v/>
      </c>
    </row>
    <row r="1557" ht="15" customHeight="1" s="12">
      <c r="A1557" s="14">
        <f>'Raw Data'!A1557</f>
        <v/>
      </c>
      <c r="B1557" s="14">
        <f>'Raw Data'!B1557</f>
        <v/>
      </c>
      <c r="C1557" s="14">
        <f>'Raw Data'!C1557</f>
        <v/>
      </c>
      <c r="D1557" s="15">
        <f>'Raw Data'!M1557</f>
        <v/>
      </c>
      <c r="E1557" s="18">
        <f>'Raw Data'!M1557/'Raw Data'!L1557*100</f>
        <v/>
      </c>
      <c r="F1557" s="14">
        <f>IF(E1557&gt;15,"Wet Year",IF(E1557&lt;-15,"Dry Year","Normal Year"))</f>
        <v/>
      </c>
      <c r="G1557" s="16">
        <f>'Raw Data'!I1557</f>
        <v/>
      </c>
      <c r="H1557" s="14">
        <f>IF(G1557&lt;15,"Low Variability",IF(G1557&lt;=35,"Moderate Variability","High Variability"))</f>
        <v/>
      </c>
      <c r="I1557" s="18">
        <f>'Raw Data'!O1557</f>
        <v/>
      </c>
      <c r="J1557" s="14">
        <f>IF(I1557=0,"No Flood",IF(I1557&lt;=0.5,"Low",IF(I1557&lt;=2,"Moderate","High")))</f>
        <v/>
      </c>
    </row>
    <row r="1558" ht="15" customHeight="1" s="12">
      <c r="A1558" s="14">
        <f>'Raw Data'!A1558</f>
        <v/>
      </c>
      <c r="B1558" s="14">
        <f>'Raw Data'!B1558</f>
        <v/>
      </c>
      <c r="C1558" s="14">
        <f>'Raw Data'!C1558</f>
        <v/>
      </c>
      <c r="D1558" s="15">
        <f>'Raw Data'!M1558</f>
        <v/>
      </c>
      <c r="E1558" s="18">
        <f>'Raw Data'!M1558/'Raw Data'!L1558*100</f>
        <v/>
      </c>
      <c r="F1558" s="14">
        <f>IF(E1558&gt;15,"Wet Year",IF(E1558&lt;-15,"Dry Year","Normal Year"))</f>
        <v/>
      </c>
      <c r="G1558" s="16">
        <f>'Raw Data'!I1558</f>
        <v/>
      </c>
      <c r="H1558" s="14">
        <f>IF(G1558&lt;15,"Low Variability",IF(G1558&lt;=35,"Moderate Variability","High Variability"))</f>
        <v/>
      </c>
      <c r="I1558" s="18">
        <f>'Raw Data'!O1558</f>
        <v/>
      </c>
      <c r="J1558" s="14">
        <f>IF(I1558=0,"No Flood",IF(I1558&lt;=0.5,"Low",IF(I1558&lt;=2,"Moderate","High")))</f>
        <v/>
      </c>
    </row>
    <row r="1559" ht="15" customHeight="1" s="12">
      <c r="A1559" s="14">
        <f>'Raw Data'!A1559</f>
        <v/>
      </c>
      <c r="B1559" s="14">
        <f>'Raw Data'!B1559</f>
        <v/>
      </c>
      <c r="C1559" s="14">
        <f>'Raw Data'!C1559</f>
        <v/>
      </c>
      <c r="D1559" s="15">
        <f>'Raw Data'!M1559</f>
        <v/>
      </c>
      <c r="E1559" s="18">
        <f>'Raw Data'!M1559/'Raw Data'!L1559*100</f>
        <v/>
      </c>
      <c r="F1559" s="14">
        <f>IF(E1559&gt;15,"Wet Year",IF(E1559&lt;-15,"Dry Year","Normal Year"))</f>
        <v/>
      </c>
      <c r="G1559" s="16">
        <f>'Raw Data'!I1559</f>
        <v/>
      </c>
      <c r="H1559" s="14">
        <f>IF(G1559&lt;15,"Low Variability",IF(G1559&lt;=35,"Moderate Variability","High Variability"))</f>
        <v/>
      </c>
      <c r="I1559" s="18">
        <f>'Raw Data'!O1559</f>
        <v/>
      </c>
      <c r="J1559" s="14">
        <f>IF(I1559=0,"No Flood",IF(I1559&lt;=0.5,"Low",IF(I1559&lt;=2,"Moderate","High")))</f>
        <v/>
      </c>
    </row>
    <row r="1560" ht="15" customHeight="1" s="12">
      <c r="A1560" s="14">
        <f>'Raw Data'!A1560</f>
        <v/>
      </c>
      <c r="B1560" s="14">
        <f>'Raw Data'!B1560</f>
        <v/>
      </c>
      <c r="C1560" s="14">
        <f>'Raw Data'!C1560</f>
        <v/>
      </c>
      <c r="D1560" s="15">
        <f>'Raw Data'!M1560</f>
        <v/>
      </c>
      <c r="E1560" s="18">
        <f>'Raw Data'!M1560/'Raw Data'!L1560*100</f>
        <v/>
      </c>
      <c r="F1560" s="14">
        <f>IF(E1560&gt;15,"Wet Year",IF(E1560&lt;-15,"Dry Year","Normal Year"))</f>
        <v/>
      </c>
      <c r="G1560" s="16">
        <f>'Raw Data'!I1560</f>
        <v/>
      </c>
      <c r="H1560" s="14">
        <f>IF(G1560&lt;15,"Low Variability",IF(G1560&lt;=35,"Moderate Variability","High Variability"))</f>
        <v/>
      </c>
      <c r="I1560" s="18">
        <f>'Raw Data'!O1560</f>
        <v/>
      </c>
      <c r="J1560" s="14">
        <f>IF(I1560=0,"No Flood",IF(I1560&lt;=0.5,"Low",IF(I1560&lt;=2,"Moderate","High")))</f>
        <v/>
      </c>
    </row>
    <row r="1561" ht="15" customHeight="1" s="12">
      <c r="A1561" s="14">
        <f>'Raw Data'!A1561</f>
        <v/>
      </c>
      <c r="B1561" s="14">
        <f>'Raw Data'!B1561</f>
        <v/>
      </c>
      <c r="C1561" s="14">
        <f>'Raw Data'!C1561</f>
        <v/>
      </c>
      <c r="D1561" s="15">
        <f>'Raw Data'!M1561</f>
        <v/>
      </c>
      <c r="E1561" s="18">
        <f>'Raw Data'!M1561/'Raw Data'!L1561*100</f>
        <v/>
      </c>
      <c r="F1561" s="14">
        <f>IF(E1561&gt;15,"Wet Year",IF(E1561&lt;-15,"Dry Year","Normal Year"))</f>
        <v/>
      </c>
      <c r="G1561" s="16">
        <f>'Raw Data'!I1561</f>
        <v/>
      </c>
      <c r="H1561" s="14">
        <f>IF(G1561&lt;15,"Low Variability",IF(G1561&lt;=35,"Moderate Variability","High Variability"))</f>
        <v/>
      </c>
      <c r="I1561" s="18">
        <f>'Raw Data'!O1561</f>
        <v/>
      </c>
      <c r="J1561" s="14">
        <f>IF(I1561=0,"No Flood",IF(I1561&lt;=0.5,"Low",IF(I1561&lt;=2,"Moderate","High")))</f>
        <v/>
      </c>
    </row>
    <row r="1562" ht="15" customHeight="1" s="12">
      <c r="A1562" s="14">
        <f>'Raw Data'!A1562</f>
        <v/>
      </c>
      <c r="B1562" s="14">
        <f>'Raw Data'!B1562</f>
        <v/>
      </c>
      <c r="C1562" s="14">
        <f>'Raw Data'!C1562</f>
        <v/>
      </c>
      <c r="D1562" s="15">
        <f>'Raw Data'!M1562</f>
        <v/>
      </c>
      <c r="E1562" s="18">
        <f>'Raw Data'!M1562/'Raw Data'!L1562*100</f>
        <v/>
      </c>
      <c r="F1562" s="14">
        <f>IF(E1562&gt;15,"Wet Year",IF(E1562&lt;-15,"Dry Year","Normal Year"))</f>
        <v/>
      </c>
      <c r="G1562" s="16">
        <f>'Raw Data'!I1562</f>
        <v/>
      </c>
      <c r="H1562" s="14">
        <f>IF(G1562&lt;15,"Low Variability",IF(G1562&lt;=35,"Moderate Variability","High Variability"))</f>
        <v/>
      </c>
      <c r="I1562" s="18">
        <f>'Raw Data'!O1562</f>
        <v/>
      </c>
      <c r="J1562" s="14">
        <f>IF(I1562=0,"No Flood",IF(I1562&lt;=0.5,"Low",IF(I1562&lt;=2,"Moderate","High")))</f>
        <v/>
      </c>
    </row>
    <row r="1563" ht="15" customHeight="1" s="12">
      <c r="A1563" s="14">
        <f>'Raw Data'!A1563</f>
        <v/>
      </c>
      <c r="B1563" s="14">
        <f>'Raw Data'!B1563</f>
        <v/>
      </c>
      <c r="C1563" s="14">
        <f>'Raw Data'!C1563</f>
        <v/>
      </c>
      <c r="D1563" s="15">
        <f>'Raw Data'!M1563</f>
        <v/>
      </c>
      <c r="E1563" s="18">
        <f>'Raw Data'!M1563/'Raw Data'!L1563*100</f>
        <v/>
      </c>
      <c r="F1563" s="14">
        <f>IF(E1563&gt;15,"Wet Year",IF(E1563&lt;-15,"Dry Year","Normal Year"))</f>
        <v/>
      </c>
      <c r="G1563" s="16">
        <f>'Raw Data'!I1563</f>
        <v/>
      </c>
      <c r="H1563" s="14">
        <f>IF(G1563&lt;15,"Low Variability",IF(G1563&lt;=35,"Moderate Variability","High Variability"))</f>
        <v/>
      </c>
      <c r="I1563" s="18">
        <f>'Raw Data'!O1563</f>
        <v/>
      </c>
      <c r="J1563" s="14">
        <f>IF(I1563=0,"No Flood",IF(I1563&lt;=0.5,"Low",IF(I1563&lt;=2,"Moderate","High")))</f>
        <v/>
      </c>
    </row>
    <row r="1564" ht="15" customHeight="1" s="12">
      <c r="A1564" s="14">
        <f>'Raw Data'!A1564</f>
        <v/>
      </c>
      <c r="B1564" s="14">
        <f>'Raw Data'!B1564</f>
        <v/>
      </c>
      <c r="C1564" s="14">
        <f>'Raw Data'!C1564</f>
        <v/>
      </c>
      <c r="D1564" s="15">
        <f>'Raw Data'!M1564</f>
        <v/>
      </c>
      <c r="E1564" s="18">
        <f>'Raw Data'!M1564/'Raw Data'!L1564*100</f>
        <v/>
      </c>
      <c r="F1564" s="14">
        <f>IF(E1564&gt;15,"Wet Year",IF(E1564&lt;-15,"Dry Year","Normal Year"))</f>
        <v/>
      </c>
      <c r="G1564" s="16">
        <f>'Raw Data'!I1564</f>
        <v/>
      </c>
      <c r="H1564" s="14">
        <f>IF(G1564&lt;15,"Low Variability",IF(G1564&lt;=35,"Moderate Variability","High Variability"))</f>
        <v/>
      </c>
      <c r="I1564" s="18">
        <f>'Raw Data'!O1564</f>
        <v/>
      </c>
      <c r="J1564" s="14">
        <f>IF(I1564=0,"No Flood",IF(I1564&lt;=0.5,"Low",IF(I1564&lt;=2,"Moderate","High")))</f>
        <v/>
      </c>
    </row>
    <row r="1565" ht="15" customHeight="1" s="12">
      <c r="A1565" s="14">
        <f>'Raw Data'!A1565</f>
        <v/>
      </c>
      <c r="B1565" s="14">
        <f>'Raw Data'!B1565</f>
        <v/>
      </c>
      <c r="C1565" s="14">
        <f>'Raw Data'!C1565</f>
        <v/>
      </c>
      <c r="D1565" s="15">
        <f>'Raw Data'!M1565</f>
        <v/>
      </c>
      <c r="E1565" s="18">
        <f>'Raw Data'!M1565/'Raw Data'!L1565*100</f>
        <v/>
      </c>
      <c r="F1565" s="14">
        <f>IF(E1565&gt;15,"Wet Year",IF(E1565&lt;-15,"Dry Year","Normal Year"))</f>
        <v/>
      </c>
      <c r="G1565" s="16">
        <f>'Raw Data'!I1565</f>
        <v/>
      </c>
      <c r="H1565" s="14">
        <f>IF(G1565&lt;15,"Low Variability",IF(G1565&lt;=35,"Moderate Variability","High Variability"))</f>
        <v/>
      </c>
      <c r="I1565" s="18">
        <f>'Raw Data'!O1565</f>
        <v/>
      </c>
      <c r="J1565" s="14">
        <f>IF(I1565=0,"No Flood",IF(I1565&lt;=0.5,"Low",IF(I1565&lt;=2,"Moderate","High")))</f>
        <v/>
      </c>
    </row>
    <row r="1566" ht="15" customHeight="1" s="12">
      <c r="A1566" s="14">
        <f>'Raw Data'!A1566</f>
        <v/>
      </c>
      <c r="B1566" s="14">
        <f>'Raw Data'!B1566</f>
        <v/>
      </c>
      <c r="C1566" s="14">
        <f>'Raw Data'!C1566</f>
        <v/>
      </c>
      <c r="D1566" s="15">
        <f>'Raw Data'!M1566</f>
        <v/>
      </c>
      <c r="E1566" s="18">
        <f>'Raw Data'!M1566/'Raw Data'!L1566*100</f>
        <v/>
      </c>
      <c r="F1566" s="14">
        <f>IF(E1566&gt;15,"Wet Year",IF(E1566&lt;-15,"Dry Year","Normal Year"))</f>
        <v/>
      </c>
      <c r="G1566" s="16">
        <f>'Raw Data'!I1566</f>
        <v/>
      </c>
      <c r="H1566" s="14">
        <f>IF(G1566&lt;15,"Low Variability",IF(G1566&lt;=35,"Moderate Variability","High Variability"))</f>
        <v/>
      </c>
      <c r="I1566" s="18">
        <f>'Raw Data'!O1566</f>
        <v/>
      </c>
      <c r="J1566" s="14">
        <f>IF(I1566=0,"No Flood",IF(I1566&lt;=0.5,"Low",IF(I1566&lt;=2,"Moderate","High")))</f>
        <v/>
      </c>
    </row>
    <row r="1567" ht="15" customHeight="1" s="12">
      <c r="A1567" s="14">
        <f>'Raw Data'!A1567</f>
        <v/>
      </c>
      <c r="B1567" s="14">
        <f>'Raw Data'!B1567</f>
        <v/>
      </c>
      <c r="C1567" s="14">
        <f>'Raw Data'!C1567</f>
        <v/>
      </c>
      <c r="D1567" s="15">
        <f>'Raw Data'!M1567</f>
        <v/>
      </c>
      <c r="E1567" s="18">
        <f>'Raw Data'!M1567/'Raw Data'!L1567*100</f>
        <v/>
      </c>
      <c r="F1567" s="14">
        <f>IF(E1567&gt;15,"Wet Year",IF(E1567&lt;-15,"Dry Year","Normal Year"))</f>
        <v/>
      </c>
      <c r="G1567" s="16">
        <f>'Raw Data'!I1567</f>
        <v/>
      </c>
      <c r="H1567" s="14">
        <f>IF(G1567&lt;15,"Low Variability",IF(G1567&lt;=35,"Moderate Variability","High Variability"))</f>
        <v/>
      </c>
      <c r="I1567" s="18">
        <f>'Raw Data'!O1567</f>
        <v/>
      </c>
      <c r="J1567" s="14">
        <f>IF(I1567=0,"No Flood",IF(I1567&lt;=0.5,"Low",IF(I1567&lt;=2,"Moderate","High")))</f>
        <v/>
      </c>
    </row>
    <row r="1568" ht="15" customHeight="1" s="12">
      <c r="A1568" s="14">
        <f>'Raw Data'!A1568</f>
        <v/>
      </c>
      <c r="B1568" s="14">
        <f>'Raw Data'!B1568</f>
        <v/>
      </c>
      <c r="C1568" s="14">
        <f>'Raw Data'!C1568</f>
        <v/>
      </c>
      <c r="D1568" s="15">
        <f>'Raw Data'!M1568</f>
        <v/>
      </c>
      <c r="E1568" s="18">
        <f>'Raw Data'!M1568/'Raw Data'!L1568*100</f>
        <v/>
      </c>
      <c r="F1568" s="14">
        <f>IF(E1568&gt;15,"Wet Year",IF(E1568&lt;-15,"Dry Year","Normal Year"))</f>
        <v/>
      </c>
      <c r="G1568" s="16">
        <f>'Raw Data'!I1568</f>
        <v/>
      </c>
      <c r="H1568" s="14">
        <f>IF(G1568&lt;15,"Low Variability",IF(G1568&lt;=35,"Moderate Variability","High Variability"))</f>
        <v/>
      </c>
      <c r="I1568" s="18">
        <f>'Raw Data'!O1568</f>
        <v/>
      </c>
      <c r="J1568" s="14">
        <f>IF(I1568=0,"No Flood",IF(I1568&lt;=0.5,"Low",IF(I1568&lt;=2,"Moderate","High")))</f>
        <v/>
      </c>
    </row>
    <row r="1569" ht="15" customHeight="1" s="12">
      <c r="A1569" s="14">
        <f>'Raw Data'!A1569</f>
        <v/>
      </c>
      <c r="B1569" s="14">
        <f>'Raw Data'!B1569</f>
        <v/>
      </c>
      <c r="C1569" s="14">
        <f>'Raw Data'!C1569</f>
        <v/>
      </c>
      <c r="D1569" s="15">
        <f>'Raw Data'!M1569</f>
        <v/>
      </c>
      <c r="E1569" s="18">
        <f>'Raw Data'!M1569/'Raw Data'!L1569*100</f>
        <v/>
      </c>
      <c r="F1569" s="14">
        <f>IF(E1569&gt;15,"Wet Year",IF(E1569&lt;-15,"Dry Year","Normal Year"))</f>
        <v/>
      </c>
      <c r="G1569" s="16">
        <f>'Raw Data'!I1569</f>
        <v/>
      </c>
      <c r="H1569" s="14">
        <f>IF(G1569&lt;15,"Low Variability",IF(G1569&lt;=35,"Moderate Variability","High Variability"))</f>
        <v/>
      </c>
      <c r="I1569" s="18">
        <f>'Raw Data'!O1569</f>
        <v/>
      </c>
      <c r="J1569" s="14">
        <f>IF(I1569=0,"No Flood",IF(I1569&lt;=0.5,"Low",IF(I1569&lt;=2,"Moderate","High")))</f>
        <v/>
      </c>
    </row>
    <row r="1570" ht="15" customHeight="1" s="12">
      <c r="A1570" s="14">
        <f>'Raw Data'!A1570</f>
        <v/>
      </c>
      <c r="B1570" s="14">
        <f>'Raw Data'!B1570</f>
        <v/>
      </c>
      <c r="C1570" s="14">
        <f>'Raw Data'!C1570</f>
        <v/>
      </c>
      <c r="D1570" s="15">
        <f>'Raw Data'!M1570</f>
        <v/>
      </c>
      <c r="E1570" s="18">
        <f>'Raw Data'!M1570/'Raw Data'!L1570*100</f>
        <v/>
      </c>
      <c r="F1570" s="14">
        <f>IF(E1570&gt;15,"Wet Year",IF(E1570&lt;-15,"Dry Year","Normal Year"))</f>
        <v/>
      </c>
      <c r="G1570" s="16">
        <f>'Raw Data'!I1570</f>
        <v/>
      </c>
      <c r="H1570" s="14">
        <f>IF(G1570&lt;15,"Low Variability",IF(G1570&lt;=35,"Moderate Variability","High Variability"))</f>
        <v/>
      </c>
      <c r="I1570" s="18">
        <f>'Raw Data'!O1570</f>
        <v/>
      </c>
      <c r="J1570" s="14">
        <f>IF(I1570=0,"No Flood",IF(I1570&lt;=0.5,"Low",IF(I1570&lt;=2,"Moderate","High")))</f>
        <v/>
      </c>
    </row>
    <row r="1571" ht="15" customHeight="1" s="12">
      <c r="A1571" s="14">
        <f>'Raw Data'!A1571</f>
        <v/>
      </c>
      <c r="B1571" s="14">
        <f>'Raw Data'!B1571</f>
        <v/>
      </c>
      <c r="C1571" s="14">
        <f>'Raw Data'!C1571</f>
        <v/>
      </c>
      <c r="D1571" s="15">
        <f>'Raw Data'!M1571</f>
        <v/>
      </c>
      <c r="E1571" s="18">
        <f>'Raw Data'!M1571/'Raw Data'!L1571*100</f>
        <v/>
      </c>
      <c r="F1571" s="14">
        <f>IF(E1571&gt;15,"Wet Year",IF(E1571&lt;-15,"Dry Year","Normal Year"))</f>
        <v/>
      </c>
      <c r="G1571" s="16">
        <f>'Raw Data'!I1571</f>
        <v/>
      </c>
      <c r="H1571" s="14">
        <f>IF(G1571&lt;15,"Low Variability",IF(G1571&lt;=35,"Moderate Variability","High Variability"))</f>
        <v/>
      </c>
      <c r="I1571" s="18">
        <f>'Raw Data'!O1571</f>
        <v/>
      </c>
      <c r="J1571" s="14">
        <f>IF(I1571=0,"No Flood",IF(I1571&lt;=0.5,"Low",IF(I1571&lt;=2,"Moderate","High")))</f>
        <v/>
      </c>
    </row>
    <row r="1572" ht="15" customHeight="1" s="12">
      <c r="A1572" s="14">
        <f>'Raw Data'!A1572</f>
        <v/>
      </c>
      <c r="B1572" s="14">
        <f>'Raw Data'!B1572</f>
        <v/>
      </c>
      <c r="C1572" s="14">
        <f>'Raw Data'!C1572</f>
        <v/>
      </c>
      <c r="D1572" s="15">
        <f>'Raw Data'!M1572</f>
        <v/>
      </c>
      <c r="E1572" s="18">
        <f>'Raw Data'!M1572/'Raw Data'!L1572*100</f>
        <v/>
      </c>
      <c r="F1572" s="14">
        <f>IF(E1572&gt;15,"Wet Year",IF(E1572&lt;-15,"Dry Year","Normal Year"))</f>
        <v/>
      </c>
      <c r="G1572" s="16">
        <f>'Raw Data'!I1572</f>
        <v/>
      </c>
      <c r="H1572" s="14">
        <f>IF(G1572&lt;15,"Low Variability",IF(G1572&lt;=35,"Moderate Variability","High Variability"))</f>
        <v/>
      </c>
      <c r="I1572" s="18">
        <f>'Raw Data'!O1572</f>
        <v/>
      </c>
      <c r="J1572" s="14">
        <f>IF(I1572=0,"No Flood",IF(I1572&lt;=0.5,"Low",IF(I1572&lt;=2,"Moderate","High")))</f>
        <v/>
      </c>
    </row>
    <row r="1573" ht="15" customHeight="1" s="12">
      <c r="A1573" s="14">
        <f>'Raw Data'!A1573</f>
        <v/>
      </c>
      <c r="B1573" s="14">
        <f>'Raw Data'!B1573</f>
        <v/>
      </c>
      <c r="C1573" s="14">
        <f>'Raw Data'!C1573</f>
        <v/>
      </c>
      <c r="D1573" s="15">
        <f>'Raw Data'!M1573</f>
        <v/>
      </c>
      <c r="E1573" s="18">
        <f>'Raw Data'!M1573/'Raw Data'!L1573*100</f>
        <v/>
      </c>
      <c r="F1573" s="14">
        <f>IF(E1573&gt;15,"Wet Year",IF(E1573&lt;-15,"Dry Year","Normal Year"))</f>
        <v/>
      </c>
      <c r="G1573" s="16">
        <f>'Raw Data'!I1573</f>
        <v/>
      </c>
      <c r="H1573" s="14">
        <f>IF(G1573&lt;15,"Low Variability",IF(G1573&lt;=35,"Moderate Variability","High Variability"))</f>
        <v/>
      </c>
      <c r="I1573" s="18">
        <f>'Raw Data'!O1573</f>
        <v/>
      </c>
      <c r="J1573" s="14">
        <f>IF(I1573=0,"No Flood",IF(I1573&lt;=0.5,"Low",IF(I1573&lt;=2,"Moderate","High")))</f>
        <v/>
      </c>
    </row>
    <row r="1574" ht="15" customHeight="1" s="12">
      <c r="A1574" s="14">
        <f>'Raw Data'!A1574</f>
        <v/>
      </c>
      <c r="B1574" s="14">
        <f>'Raw Data'!B1574</f>
        <v/>
      </c>
      <c r="C1574" s="14">
        <f>'Raw Data'!C1574</f>
        <v/>
      </c>
      <c r="D1574" s="15">
        <f>'Raw Data'!M1574</f>
        <v/>
      </c>
      <c r="E1574" s="18">
        <f>'Raw Data'!M1574/'Raw Data'!L1574*100</f>
        <v/>
      </c>
      <c r="F1574" s="14">
        <f>IF(E1574&gt;15,"Wet Year",IF(E1574&lt;-15,"Dry Year","Normal Year"))</f>
        <v/>
      </c>
      <c r="G1574" s="16">
        <f>'Raw Data'!I1574</f>
        <v/>
      </c>
      <c r="H1574" s="14">
        <f>IF(G1574&lt;15,"Low Variability",IF(G1574&lt;=35,"Moderate Variability","High Variability"))</f>
        <v/>
      </c>
      <c r="I1574" s="18">
        <f>'Raw Data'!O1574</f>
        <v/>
      </c>
      <c r="J1574" s="14">
        <f>IF(I1574=0,"No Flood",IF(I1574&lt;=0.5,"Low",IF(I1574&lt;=2,"Moderate","High")))</f>
        <v/>
      </c>
    </row>
    <row r="1575" ht="15" customHeight="1" s="12">
      <c r="A1575" s="14">
        <f>'Raw Data'!A1575</f>
        <v/>
      </c>
      <c r="B1575" s="14">
        <f>'Raw Data'!B1575</f>
        <v/>
      </c>
      <c r="C1575" s="14">
        <f>'Raw Data'!C1575</f>
        <v/>
      </c>
      <c r="D1575" s="15">
        <f>'Raw Data'!M1575</f>
        <v/>
      </c>
      <c r="E1575" s="18">
        <f>'Raw Data'!M1575/'Raw Data'!L1575*100</f>
        <v/>
      </c>
      <c r="F1575" s="14">
        <f>IF(E1575&gt;15,"Wet Year",IF(E1575&lt;-15,"Dry Year","Normal Year"))</f>
        <v/>
      </c>
      <c r="G1575" s="16">
        <f>'Raw Data'!I1575</f>
        <v/>
      </c>
      <c r="H1575" s="14">
        <f>IF(G1575&lt;15,"Low Variability",IF(G1575&lt;=35,"Moderate Variability","High Variability"))</f>
        <v/>
      </c>
      <c r="I1575" s="18">
        <f>'Raw Data'!O1575</f>
        <v/>
      </c>
      <c r="J1575" s="14">
        <f>IF(I1575=0,"No Flood",IF(I1575&lt;=0.5,"Low",IF(I1575&lt;=2,"Moderate","High")))</f>
        <v/>
      </c>
    </row>
    <row r="1576" ht="15" customHeight="1" s="12">
      <c r="A1576" s="14">
        <f>'Raw Data'!A1576</f>
        <v/>
      </c>
      <c r="B1576" s="14">
        <f>'Raw Data'!B1576</f>
        <v/>
      </c>
      <c r="C1576" s="14">
        <f>'Raw Data'!C1576</f>
        <v/>
      </c>
      <c r="D1576" s="15">
        <f>'Raw Data'!M1576</f>
        <v/>
      </c>
      <c r="E1576" s="18">
        <f>'Raw Data'!M1576/'Raw Data'!L1576*100</f>
        <v/>
      </c>
      <c r="F1576" s="14">
        <f>IF(E1576&gt;15,"Wet Year",IF(E1576&lt;-15,"Dry Year","Normal Year"))</f>
        <v/>
      </c>
      <c r="G1576" s="16">
        <f>'Raw Data'!I1576</f>
        <v/>
      </c>
      <c r="H1576" s="14">
        <f>IF(G1576&lt;15,"Low Variability",IF(G1576&lt;=35,"Moderate Variability","High Variability"))</f>
        <v/>
      </c>
      <c r="I1576" s="18">
        <f>'Raw Data'!O1576</f>
        <v/>
      </c>
      <c r="J1576" s="14">
        <f>IF(I1576=0,"No Flood",IF(I1576&lt;=0.5,"Low",IF(I1576&lt;=2,"Moderate","High")))</f>
        <v/>
      </c>
    </row>
    <row r="1577" ht="15" customHeight="1" s="12">
      <c r="A1577" s="14">
        <f>'Raw Data'!A1577</f>
        <v/>
      </c>
      <c r="B1577" s="14">
        <f>'Raw Data'!B1577</f>
        <v/>
      </c>
      <c r="C1577" s="14">
        <f>'Raw Data'!C1577</f>
        <v/>
      </c>
      <c r="D1577" s="15">
        <f>'Raw Data'!M1577</f>
        <v/>
      </c>
      <c r="E1577" s="18">
        <f>'Raw Data'!M1577/'Raw Data'!L1577*100</f>
        <v/>
      </c>
      <c r="F1577" s="14">
        <f>IF(E1577&gt;15,"Wet Year",IF(E1577&lt;-15,"Dry Year","Normal Year"))</f>
        <v/>
      </c>
      <c r="G1577" s="16">
        <f>'Raw Data'!I1577</f>
        <v/>
      </c>
      <c r="H1577" s="14">
        <f>IF(G1577&lt;15,"Low Variability",IF(G1577&lt;=35,"Moderate Variability","High Variability"))</f>
        <v/>
      </c>
      <c r="I1577" s="18">
        <f>'Raw Data'!O1577</f>
        <v/>
      </c>
      <c r="J1577" s="14">
        <f>IF(I1577=0,"No Flood",IF(I1577&lt;=0.5,"Low",IF(I1577&lt;=2,"Moderate","High")))</f>
        <v/>
      </c>
    </row>
    <row r="1578" ht="15" customHeight="1" s="12">
      <c r="A1578" s="14">
        <f>'Raw Data'!A1578</f>
        <v/>
      </c>
      <c r="B1578" s="14">
        <f>'Raw Data'!B1578</f>
        <v/>
      </c>
      <c r="C1578" s="14">
        <f>'Raw Data'!C1578</f>
        <v/>
      </c>
      <c r="D1578" s="15">
        <f>'Raw Data'!M1578</f>
        <v/>
      </c>
      <c r="E1578" s="18">
        <f>'Raw Data'!M1578/'Raw Data'!L1578*100</f>
        <v/>
      </c>
      <c r="F1578" s="14">
        <f>IF(E1578&gt;15,"Wet Year",IF(E1578&lt;-15,"Dry Year","Normal Year"))</f>
        <v/>
      </c>
      <c r="G1578" s="16">
        <f>'Raw Data'!I1578</f>
        <v/>
      </c>
      <c r="H1578" s="14">
        <f>IF(G1578&lt;15,"Low Variability",IF(G1578&lt;=35,"Moderate Variability","High Variability"))</f>
        <v/>
      </c>
      <c r="I1578" s="18">
        <f>'Raw Data'!O1578</f>
        <v/>
      </c>
      <c r="J1578" s="14">
        <f>IF(I1578=0,"No Flood",IF(I1578&lt;=0.5,"Low",IF(I1578&lt;=2,"Moderate","High")))</f>
        <v/>
      </c>
    </row>
    <row r="1579" ht="15" customHeight="1" s="12">
      <c r="A1579" s="14">
        <f>'Raw Data'!A1579</f>
        <v/>
      </c>
      <c r="B1579" s="14">
        <f>'Raw Data'!B1579</f>
        <v/>
      </c>
      <c r="C1579" s="14">
        <f>'Raw Data'!C1579</f>
        <v/>
      </c>
      <c r="D1579" s="15">
        <f>'Raw Data'!M1579</f>
        <v/>
      </c>
      <c r="E1579" s="18">
        <f>'Raw Data'!M1579/'Raw Data'!L1579*100</f>
        <v/>
      </c>
      <c r="F1579" s="14">
        <f>IF(E1579&gt;15,"Wet Year",IF(E1579&lt;-15,"Dry Year","Normal Year"))</f>
        <v/>
      </c>
      <c r="G1579" s="16">
        <f>'Raw Data'!I1579</f>
        <v/>
      </c>
      <c r="H1579" s="14">
        <f>IF(G1579&lt;15,"Low Variability",IF(G1579&lt;=35,"Moderate Variability","High Variability"))</f>
        <v/>
      </c>
      <c r="I1579" s="18">
        <f>'Raw Data'!O1579</f>
        <v/>
      </c>
      <c r="J1579" s="14">
        <f>IF(I1579=0,"No Flood",IF(I1579&lt;=0.5,"Low",IF(I1579&lt;=2,"Moderate","High")))</f>
        <v/>
      </c>
    </row>
    <row r="1580" ht="15" customHeight="1" s="12">
      <c r="A1580" s="14">
        <f>'Raw Data'!A1580</f>
        <v/>
      </c>
      <c r="B1580" s="14">
        <f>'Raw Data'!B1580</f>
        <v/>
      </c>
      <c r="C1580" s="14">
        <f>'Raw Data'!C1580</f>
        <v/>
      </c>
      <c r="D1580" s="15">
        <f>'Raw Data'!M1580</f>
        <v/>
      </c>
      <c r="E1580" s="18">
        <f>'Raw Data'!M1580/'Raw Data'!L1580*100</f>
        <v/>
      </c>
      <c r="F1580" s="14">
        <f>IF(E1580&gt;15,"Wet Year",IF(E1580&lt;-15,"Dry Year","Normal Year"))</f>
        <v/>
      </c>
      <c r="G1580" s="16">
        <f>'Raw Data'!I1580</f>
        <v/>
      </c>
      <c r="H1580" s="14">
        <f>IF(G1580&lt;15,"Low Variability",IF(G1580&lt;=35,"Moderate Variability","High Variability"))</f>
        <v/>
      </c>
      <c r="I1580" s="18">
        <f>'Raw Data'!O1580</f>
        <v/>
      </c>
      <c r="J1580" s="14">
        <f>IF(I1580=0,"No Flood",IF(I1580&lt;=0.5,"Low",IF(I1580&lt;=2,"Moderate","High")))</f>
        <v/>
      </c>
    </row>
    <row r="1581" ht="15" customHeight="1" s="12">
      <c r="A1581" s="14">
        <f>'Raw Data'!A1581</f>
        <v/>
      </c>
      <c r="B1581" s="14">
        <f>'Raw Data'!B1581</f>
        <v/>
      </c>
      <c r="C1581" s="14">
        <f>'Raw Data'!C1581</f>
        <v/>
      </c>
      <c r="D1581" s="15">
        <f>'Raw Data'!M1581</f>
        <v/>
      </c>
      <c r="E1581" s="18">
        <f>'Raw Data'!M1581/'Raw Data'!L1581*100</f>
        <v/>
      </c>
      <c r="F1581" s="14">
        <f>IF(E1581&gt;15,"Wet Year",IF(E1581&lt;-15,"Dry Year","Normal Year"))</f>
        <v/>
      </c>
      <c r="G1581" s="16">
        <f>'Raw Data'!I1581</f>
        <v/>
      </c>
      <c r="H1581" s="14">
        <f>IF(G1581&lt;15,"Low Variability",IF(G1581&lt;=35,"Moderate Variability","High Variability"))</f>
        <v/>
      </c>
      <c r="I1581" s="18">
        <f>'Raw Data'!O1581</f>
        <v/>
      </c>
      <c r="J1581" s="14">
        <f>IF(I1581=0,"No Flood",IF(I1581&lt;=0.5,"Low",IF(I1581&lt;=2,"Moderate","High")))</f>
        <v/>
      </c>
    </row>
    <row r="1582" ht="15" customHeight="1" s="12">
      <c r="A1582" s="14">
        <f>'Raw Data'!A1582</f>
        <v/>
      </c>
      <c r="B1582" s="14">
        <f>'Raw Data'!B1582</f>
        <v/>
      </c>
      <c r="C1582" s="14">
        <f>'Raw Data'!C1582</f>
        <v/>
      </c>
      <c r="D1582" s="15">
        <f>'Raw Data'!M1582</f>
        <v/>
      </c>
      <c r="E1582" s="18">
        <f>'Raw Data'!M1582/'Raw Data'!L1582*100</f>
        <v/>
      </c>
      <c r="F1582" s="14">
        <f>IF(E1582&gt;15,"Wet Year",IF(E1582&lt;-15,"Dry Year","Normal Year"))</f>
        <v/>
      </c>
      <c r="G1582" s="16">
        <f>'Raw Data'!I1582</f>
        <v/>
      </c>
      <c r="H1582" s="14">
        <f>IF(G1582&lt;15,"Low Variability",IF(G1582&lt;=35,"Moderate Variability","High Variability"))</f>
        <v/>
      </c>
      <c r="I1582" s="18">
        <f>'Raw Data'!O1582</f>
        <v/>
      </c>
      <c r="J1582" s="14">
        <f>IF(I1582=0,"No Flood",IF(I1582&lt;=0.5,"Low",IF(I1582&lt;=2,"Moderate","High")))</f>
        <v/>
      </c>
    </row>
    <row r="1583" ht="15" customHeight="1" s="12">
      <c r="A1583" s="14">
        <f>'Raw Data'!A1583</f>
        <v/>
      </c>
      <c r="B1583" s="14">
        <f>'Raw Data'!B1583</f>
        <v/>
      </c>
      <c r="C1583" s="14">
        <f>'Raw Data'!C1583</f>
        <v/>
      </c>
      <c r="D1583" s="15">
        <f>'Raw Data'!M1583</f>
        <v/>
      </c>
      <c r="E1583" s="18">
        <f>'Raw Data'!M1583/'Raw Data'!L1583*100</f>
        <v/>
      </c>
      <c r="F1583" s="14">
        <f>IF(E1583&gt;15,"Wet Year",IF(E1583&lt;-15,"Dry Year","Normal Year"))</f>
        <v/>
      </c>
      <c r="G1583" s="16">
        <f>'Raw Data'!I1583</f>
        <v/>
      </c>
      <c r="H1583" s="14">
        <f>IF(G1583&lt;15,"Low Variability",IF(G1583&lt;=35,"Moderate Variability","High Variability"))</f>
        <v/>
      </c>
      <c r="I1583" s="18">
        <f>'Raw Data'!O1583</f>
        <v/>
      </c>
      <c r="J1583" s="14">
        <f>IF(I1583=0,"No Flood",IF(I1583&lt;=0.5,"Low",IF(I1583&lt;=2,"Moderate","High")))</f>
        <v/>
      </c>
    </row>
    <row r="1584" ht="15" customHeight="1" s="12">
      <c r="A1584" s="14">
        <f>'Raw Data'!A1584</f>
        <v/>
      </c>
      <c r="B1584" s="14">
        <f>'Raw Data'!B1584</f>
        <v/>
      </c>
      <c r="C1584" s="14">
        <f>'Raw Data'!C1584</f>
        <v/>
      </c>
      <c r="D1584" s="15">
        <f>'Raw Data'!M1584</f>
        <v/>
      </c>
      <c r="E1584" s="18">
        <f>'Raw Data'!M1584/'Raw Data'!L1584*100</f>
        <v/>
      </c>
      <c r="F1584" s="14">
        <f>IF(E1584&gt;15,"Wet Year",IF(E1584&lt;-15,"Dry Year","Normal Year"))</f>
        <v/>
      </c>
      <c r="G1584" s="16">
        <f>'Raw Data'!I1584</f>
        <v/>
      </c>
      <c r="H1584" s="14">
        <f>IF(G1584&lt;15,"Low Variability",IF(G1584&lt;=35,"Moderate Variability","High Variability"))</f>
        <v/>
      </c>
      <c r="I1584" s="18">
        <f>'Raw Data'!O1584</f>
        <v/>
      </c>
      <c r="J1584" s="14">
        <f>IF(I1584=0,"No Flood",IF(I1584&lt;=0.5,"Low",IF(I1584&lt;=2,"Moderate","High")))</f>
        <v/>
      </c>
    </row>
    <row r="1585" ht="15" customHeight="1" s="12">
      <c r="A1585" s="14">
        <f>'Raw Data'!A1585</f>
        <v/>
      </c>
      <c r="B1585" s="14">
        <f>'Raw Data'!B1585</f>
        <v/>
      </c>
      <c r="C1585" s="14">
        <f>'Raw Data'!C1585</f>
        <v/>
      </c>
      <c r="D1585" s="15">
        <f>'Raw Data'!M1585</f>
        <v/>
      </c>
      <c r="E1585" s="18">
        <f>'Raw Data'!M1585/'Raw Data'!L1585*100</f>
        <v/>
      </c>
      <c r="F1585" s="14">
        <f>IF(E1585&gt;15,"Wet Year",IF(E1585&lt;-15,"Dry Year","Normal Year"))</f>
        <v/>
      </c>
      <c r="G1585" s="16">
        <f>'Raw Data'!I1585</f>
        <v/>
      </c>
      <c r="H1585" s="14">
        <f>IF(G1585&lt;15,"Low Variability",IF(G1585&lt;=35,"Moderate Variability","High Variability"))</f>
        <v/>
      </c>
      <c r="I1585" s="18">
        <f>'Raw Data'!O1585</f>
        <v/>
      </c>
      <c r="J1585" s="14">
        <f>IF(I1585=0,"No Flood",IF(I1585&lt;=0.5,"Low",IF(I1585&lt;=2,"Moderate","High")))</f>
        <v/>
      </c>
    </row>
    <row r="1586" ht="15" customHeight="1" s="12">
      <c r="A1586" s="14">
        <f>'Raw Data'!A1586</f>
        <v/>
      </c>
      <c r="B1586" s="14">
        <f>'Raw Data'!B1586</f>
        <v/>
      </c>
      <c r="C1586" s="14">
        <f>'Raw Data'!C1586</f>
        <v/>
      </c>
      <c r="D1586" s="15">
        <f>'Raw Data'!M1586</f>
        <v/>
      </c>
      <c r="E1586" s="18">
        <f>'Raw Data'!M1586/'Raw Data'!L1586*100</f>
        <v/>
      </c>
      <c r="F1586" s="14">
        <f>IF(E1586&gt;15,"Wet Year",IF(E1586&lt;-15,"Dry Year","Normal Year"))</f>
        <v/>
      </c>
      <c r="G1586" s="16">
        <f>'Raw Data'!I1586</f>
        <v/>
      </c>
      <c r="H1586" s="14">
        <f>IF(G1586&lt;15,"Low Variability",IF(G1586&lt;=35,"Moderate Variability","High Variability"))</f>
        <v/>
      </c>
      <c r="I1586" s="18">
        <f>'Raw Data'!O1586</f>
        <v/>
      </c>
      <c r="J1586" s="14">
        <f>IF(I1586=0,"No Flood",IF(I1586&lt;=0.5,"Low",IF(I1586&lt;=2,"Moderate","High")))</f>
        <v/>
      </c>
    </row>
    <row r="1587" ht="15" customHeight="1" s="12">
      <c r="A1587" s="14">
        <f>'Raw Data'!A1587</f>
        <v/>
      </c>
      <c r="B1587" s="14">
        <f>'Raw Data'!B1587</f>
        <v/>
      </c>
      <c r="C1587" s="14">
        <f>'Raw Data'!C1587</f>
        <v/>
      </c>
      <c r="D1587" s="15">
        <f>'Raw Data'!M1587</f>
        <v/>
      </c>
      <c r="E1587" s="18">
        <f>'Raw Data'!M1587/'Raw Data'!L1587*100</f>
        <v/>
      </c>
      <c r="F1587" s="14">
        <f>IF(E1587&gt;15,"Wet Year",IF(E1587&lt;-15,"Dry Year","Normal Year"))</f>
        <v/>
      </c>
      <c r="G1587" s="16">
        <f>'Raw Data'!I1587</f>
        <v/>
      </c>
      <c r="H1587" s="14">
        <f>IF(G1587&lt;15,"Low Variability",IF(G1587&lt;=35,"Moderate Variability","High Variability"))</f>
        <v/>
      </c>
      <c r="I1587" s="18">
        <f>'Raw Data'!O1587</f>
        <v/>
      </c>
      <c r="J1587" s="14">
        <f>IF(I1587=0,"No Flood",IF(I1587&lt;=0.5,"Low",IF(I1587&lt;=2,"Moderate","High")))</f>
        <v/>
      </c>
    </row>
    <row r="1588" ht="15" customHeight="1" s="12">
      <c r="A1588" s="14">
        <f>'Raw Data'!A1588</f>
        <v/>
      </c>
      <c r="B1588" s="14">
        <f>'Raw Data'!B1588</f>
        <v/>
      </c>
      <c r="C1588" s="14">
        <f>'Raw Data'!C1588</f>
        <v/>
      </c>
      <c r="D1588" s="15">
        <f>'Raw Data'!M1588</f>
        <v/>
      </c>
      <c r="E1588" s="18">
        <f>'Raw Data'!M1588/'Raw Data'!L1588*100</f>
        <v/>
      </c>
      <c r="F1588" s="14">
        <f>IF(E1588&gt;15,"Wet Year",IF(E1588&lt;-15,"Dry Year","Normal Year"))</f>
        <v/>
      </c>
      <c r="G1588" s="16">
        <f>'Raw Data'!I1588</f>
        <v/>
      </c>
      <c r="H1588" s="14">
        <f>IF(G1588&lt;15,"Low Variability",IF(G1588&lt;=35,"Moderate Variability","High Variability"))</f>
        <v/>
      </c>
      <c r="I1588" s="18">
        <f>'Raw Data'!O1588</f>
        <v/>
      </c>
      <c r="J1588" s="14">
        <f>IF(I1588=0,"No Flood",IF(I1588&lt;=0.5,"Low",IF(I1588&lt;=2,"Moderate","High")))</f>
        <v/>
      </c>
    </row>
    <row r="1589" ht="15" customHeight="1" s="12">
      <c r="A1589" s="14">
        <f>'Raw Data'!A1589</f>
        <v/>
      </c>
      <c r="B1589" s="14">
        <f>'Raw Data'!B1589</f>
        <v/>
      </c>
      <c r="C1589" s="14">
        <f>'Raw Data'!C1589</f>
        <v/>
      </c>
      <c r="D1589" s="15">
        <f>'Raw Data'!M1589</f>
        <v/>
      </c>
      <c r="E1589" s="18">
        <f>'Raw Data'!M1589/'Raw Data'!L1589*100</f>
        <v/>
      </c>
      <c r="F1589" s="14">
        <f>IF(E1589&gt;15,"Wet Year",IF(E1589&lt;-15,"Dry Year","Normal Year"))</f>
        <v/>
      </c>
      <c r="G1589" s="16">
        <f>'Raw Data'!I1589</f>
        <v/>
      </c>
      <c r="H1589" s="14">
        <f>IF(G1589&lt;15,"Low Variability",IF(G1589&lt;=35,"Moderate Variability","High Variability"))</f>
        <v/>
      </c>
      <c r="I1589" s="18">
        <f>'Raw Data'!O1589</f>
        <v/>
      </c>
      <c r="J1589" s="14">
        <f>IF(I1589=0,"No Flood",IF(I1589&lt;=0.5,"Low",IF(I1589&lt;=2,"Moderate","High")))</f>
        <v/>
      </c>
    </row>
    <row r="1590" ht="15" customHeight="1" s="12">
      <c r="A1590" s="14">
        <f>'Raw Data'!A1590</f>
        <v/>
      </c>
      <c r="B1590" s="14">
        <f>'Raw Data'!B1590</f>
        <v/>
      </c>
      <c r="C1590" s="14">
        <f>'Raw Data'!C1590</f>
        <v/>
      </c>
      <c r="D1590" s="15">
        <f>'Raw Data'!M1590</f>
        <v/>
      </c>
      <c r="E1590" s="18">
        <f>'Raw Data'!M1590/'Raw Data'!L1590*100</f>
        <v/>
      </c>
      <c r="F1590" s="14">
        <f>IF(E1590&gt;15,"Wet Year",IF(E1590&lt;-15,"Dry Year","Normal Year"))</f>
        <v/>
      </c>
      <c r="G1590" s="16">
        <f>'Raw Data'!I1590</f>
        <v/>
      </c>
      <c r="H1590" s="14">
        <f>IF(G1590&lt;15,"Low Variability",IF(G1590&lt;=35,"Moderate Variability","High Variability"))</f>
        <v/>
      </c>
      <c r="I1590" s="18">
        <f>'Raw Data'!O1590</f>
        <v/>
      </c>
      <c r="J1590" s="14">
        <f>IF(I1590=0,"No Flood",IF(I1590&lt;=0.5,"Low",IF(I1590&lt;=2,"Moderate","High")))</f>
        <v/>
      </c>
    </row>
    <row r="1591" ht="15" customHeight="1" s="12">
      <c r="A1591" s="14">
        <f>'Raw Data'!A1591</f>
        <v/>
      </c>
      <c r="B1591" s="14">
        <f>'Raw Data'!B1591</f>
        <v/>
      </c>
      <c r="C1591" s="14">
        <f>'Raw Data'!C1591</f>
        <v/>
      </c>
      <c r="D1591" s="15">
        <f>'Raw Data'!M1591</f>
        <v/>
      </c>
      <c r="E1591" s="18">
        <f>'Raw Data'!M1591/'Raw Data'!L1591*100</f>
        <v/>
      </c>
      <c r="F1591" s="14">
        <f>IF(E1591&gt;15,"Wet Year",IF(E1591&lt;-15,"Dry Year","Normal Year"))</f>
        <v/>
      </c>
      <c r="G1591" s="16">
        <f>'Raw Data'!I1591</f>
        <v/>
      </c>
      <c r="H1591" s="14">
        <f>IF(G1591&lt;15,"Low Variability",IF(G1591&lt;=35,"Moderate Variability","High Variability"))</f>
        <v/>
      </c>
      <c r="I1591" s="18">
        <f>'Raw Data'!O1591</f>
        <v/>
      </c>
      <c r="J1591" s="14">
        <f>IF(I1591=0,"No Flood",IF(I1591&lt;=0.5,"Low",IF(I1591&lt;=2,"Moderate","High")))</f>
        <v/>
      </c>
    </row>
    <row r="1592" ht="15" customHeight="1" s="12">
      <c r="A1592" s="14">
        <f>'Raw Data'!A1592</f>
        <v/>
      </c>
      <c r="B1592" s="14">
        <f>'Raw Data'!B1592</f>
        <v/>
      </c>
      <c r="C1592" s="14">
        <f>'Raw Data'!C1592</f>
        <v/>
      </c>
      <c r="D1592" s="15">
        <f>'Raw Data'!M1592</f>
        <v/>
      </c>
      <c r="E1592" s="18">
        <f>'Raw Data'!M1592/'Raw Data'!L1592*100</f>
        <v/>
      </c>
      <c r="F1592" s="14">
        <f>IF(E1592&gt;15,"Wet Year",IF(E1592&lt;-15,"Dry Year","Normal Year"))</f>
        <v/>
      </c>
      <c r="G1592" s="16">
        <f>'Raw Data'!I1592</f>
        <v/>
      </c>
      <c r="H1592" s="14">
        <f>IF(G1592&lt;15,"Low Variability",IF(G1592&lt;=35,"Moderate Variability","High Variability"))</f>
        <v/>
      </c>
      <c r="I1592" s="18">
        <f>'Raw Data'!O1592</f>
        <v/>
      </c>
      <c r="J1592" s="14">
        <f>IF(I1592=0,"No Flood",IF(I1592&lt;=0.5,"Low",IF(I1592&lt;=2,"Moderate","High")))</f>
        <v/>
      </c>
    </row>
    <row r="1593" ht="15" customHeight="1" s="12">
      <c r="A1593" s="14">
        <f>'Raw Data'!A1593</f>
        <v/>
      </c>
      <c r="B1593" s="14">
        <f>'Raw Data'!B1593</f>
        <v/>
      </c>
      <c r="C1593" s="14">
        <f>'Raw Data'!C1593</f>
        <v/>
      </c>
      <c r="D1593" s="15">
        <f>'Raw Data'!M1593</f>
        <v/>
      </c>
      <c r="E1593" s="18">
        <f>'Raw Data'!M1593/'Raw Data'!L1593*100</f>
        <v/>
      </c>
      <c r="F1593" s="14">
        <f>IF(E1593&gt;15,"Wet Year",IF(E1593&lt;-15,"Dry Year","Normal Year"))</f>
        <v/>
      </c>
      <c r="G1593" s="16">
        <f>'Raw Data'!I1593</f>
        <v/>
      </c>
      <c r="H1593" s="14">
        <f>IF(G1593&lt;15,"Low Variability",IF(G1593&lt;=35,"Moderate Variability","High Variability"))</f>
        <v/>
      </c>
      <c r="I1593" s="18">
        <f>'Raw Data'!O1593</f>
        <v/>
      </c>
      <c r="J1593" s="14">
        <f>IF(I1593=0,"No Flood",IF(I1593&lt;=0.5,"Low",IF(I1593&lt;=2,"Moderate","High")))</f>
        <v/>
      </c>
    </row>
    <row r="1594" ht="15" customHeight="1" s="12">
      <c r="A1594" s="14">
        <f>'Raw Data'!A1594</f>
        <v/>
      </c>
      <c r="B1594" s="14">
        <f>'Raw Data'!B1594</f>
        <v/>
      </c>
      <c r="C1594" s="14">
        <f>'Raw Data'!C1594</f>
        <v/>
      </c>
      <c r="D1594" s="15">
        <f>'Raw Data'!M1594</f>
        <v/>
      </c>
      <c r="E1594" s="18">
        <f>'Raw Data'!M1594/'Raw Data'!L1594*100</f>
        <v/>
      </c>
      <c r="F1594" s="14">
        <f>IF(E1594&gt;15,"Wet Year",IF(E1594&lt;-15,"Dry Year","Normal Year"))</f>
        <v/>
      </c>
      <c r="G1594" s="16">
        <f>'Raw Data'!I1594</f>
        <v/>
      </c>
      <c r="H1594" s="14">
        <f>IF(G1594&lt;15,"Low Variability",IF(G1594&lt;=35,"Moderate Variability","High Variability"))</f>
        <v/>
      </c>
      <c r="I1594" s="18">
        <f>'Raw Data'!O1594</f>
        <v/>
      </c>
      <c r="J1594" s="14">
        <f>IF(I1594=0,"No Flood",IF(I1594&lt;=0.5,"Low",IF(I1594&lt;=2,"Moderate","High")))</f>
        <v/>
      </c>
    </row>
    <row r="1595" ht="15" customHeight="1" s="12">
      <c r="A1595" s="14">
        <f>'Raw Data'!A1595</f>
        <v/>
      </c>
      <c r="B1595" s="14">
        <f>'Raw Data'!B1595</f>
        <v/>
      </c>
      <c r="C1595" s="14">
        <f>'Raw Data'!C1595</f>
        <v/>
      </c>
      <c r="D1595" s="15">
        <f>'Raw Data'!M1595</f>
        <v/>
      </c>
      <c r="E1595" s="18">
        <f>'Raw Data'!M1595/'Raw Data'!L1595*100</f>
        <v/>
      </c>
      <c r="F1595" s="14">
        <f>IF(E1595&gt;15,"Wet Year",IF(E1595&lt;-15,"Dry Year","Normal Year"))</f>
        <v/>
      </c>
      <c r="G1595" s="16">
        <f>'Raw Data'!I1595</f>
        <v/>
      </c>
      <c r="H1595" s="14">
        <f>IF(G1595&lt;15,"Low Variability",IF(G1595&lt;=35,"Moderate Variability","High Variability"))</f>
        <v/>
      </c>
      <c r="I1595" s="18">
        <f>'Raw Data'!O1595</f>
        <v/>
      </c>
      <c r="J1595" s="14">
        <f>IF(I1595=0,"No Flood",IF(I1595&lt;=0.5,"Low",IF(I1595&lt;=2,"Moderate","High")))</f>
        <v/>
      </c>
    </row>
    <row r="1596" ht="15" customHeight="1" s="12">
      <c r="A1596" s="14">
        <f>'Raw Data'!A1596</f>
        <v/>
      </c>
      <c r="B1596" s="14">
        <f>'Raw Data'!B1596</f>
        <v/>
      </c>
      <c r="C1596" s="14">
        <f>'Raw Data'!C1596</f>
        <v/>
      </c>
      <c r="D1596" s="15">
        <f>'Raw Data'!M1596</f>
        <v/>
      </c>
      <c r="E1596" s="18">
        <f>'Raw Data'!M1596/'Raw Data'!L1596*100</f>
        <v/>
      </c>
      <c r="F1596" s="14">
        <f>IF(E1596&gt;15,"Wet Year",IF(E1596&lt;-15,"Dry Year","Normal Year"))</f>
        <v/>
      </c>
      <c r="G1596" s="16">
        <f>'Raw Data'!I1596</f>
        <v/>
      </c>
      <c r="H1596" s="14">
        <f>IF(G1596&lt;15,"Low Variability",IF(G1596&lt;=35,"Moderate Variability","High Variability"))</f>
        <v/>
      </c>
      <c r="I1596" s="18">
        <f>'Raw Data'!O1596</f>
        <v/>
      </c>
      <c r="J1596" s="14">
        <f>IF(I1596=0,"No Flood",IF(I1596&lt;=0.5,"Low",IF(I1596&lt;=2,"Moderate","High")))</f>
        <v/>
      </c>
    </row>
    <row r="1597" ht="15" customHeight="1" s="12">
      <c r="A1597" s="14">
        <f>'Raw Data'!A1597</f>
        <v/>
      </c>
      <c r="B1597" s="14">
        <f>'Raw Data'!B1597</f>
        <v/>
      </c>
      <c r="C1597" s="14">
        <f>'Raw Data'!C1597</f>
        <v/>
      </c>
      <c r="D1597" s="15">
        <f>'Raw Data'!M1597</f>
        <v/>
      </c>
      <c r="E1597" s="18">
        <f>'Raw Data'!M1597/'Raw Data'!L1597*100</f>
        <v/>
      </c>
      <c r="F1597" s="14">
        <f>IF(E1597&gt;15,"Wet Year",IF(E1597&lt;-15,"Dry Year","Normal Year"))</f>
        <v/>
      </c>
      <c r="G1597" s="16">
        <f>'Raw Data'!I1597</f>
        <v/>
      </c>
      <c r="H1597" s="14">
        <f>IF(G1597&lt;15,"Low Variability",IF(G1597&lt;=35,"Moderate Variability","High Variability"))</f>
        <v/>
      </c>
      <c r="I1597" s="18">
        <f>'Raw Data'!O1597</f>
        <v/>
      </c>
      <c r="J1597" s="14">
        <f>IF(I1597=0,"No Flood",IF(I1597&lt;=0.5,"Low",IF(I1597&lt;=2,"Moderate","High")))</f>
        <v/>
      </c>
    </row>
    <row r="1598" ht="15" customHeight="1" s="12">
      <c r="A1598" s="14">
        <f>'Raw Data'!A1598</f>
        <v/>
      </c>
      <c r="B1598" s="14">
        <f>'Raw Data'!B1598</f>
        <v/>
      </c>
      <c r="C1598" s="14">
        <f>'Raw Data'!C1598</f>
        <v/>
      </c>
      <c r="D1598" s="15">
        <f>'Raw Data'!M1598</f>
        <v/>
      </c>
      <c r="E1598" s="18">
        <f>'Raw Data'!M1598/'Raw Data'!L1598*100</f>
        <v/>
      </c>
      <c r="F1598" s="14">
        <f>IF(E1598&gt;15,"Wet Year",IF(E1598&lt;-15,"Dry Year","Normal Year"))</f>
        <v/>
      </c>
      <c r="G1598" s="16">
        <f>'Raw Data'!I1598</f>
        <v/>
      </c>
      <c r="H1598" s="14">
        <f>IF(G1598&lt;15,"Low Variability",IF(G1598&lt;=35,"Moderate Variability","High Variability"))</f>
        <v/>
      </c>
      <c r="I1598" s="18">
        <f>'Raw Data'!O1598</f>
        <v/>
      </c>
      <c r="J1598" s="14">
        <f>IF(I1598=0,"No Flood",IF(I1598&lt;=0.5,"Low",IF(I1598&lt;=2,"Moderate","High")))</f>
        <v/>
      </c>
    </row>
    <row r="1599" ht="15" customHeight="1" s="12">
      <c r="A1599" s="14">
        <f>'Raw Data'!A1599</f>
        <v/>
      </c>
      <c r="B1599" s="14">
        <f>'Raw Data'!B1599</f>
        <v/>
      </c>
      <c r="C1599" s="14">
        <f>'Raw Data'!C1599</f>
        <v/>
      </c>
      <c r="D1599" s="15">
        <f>'Raw Data'!M1599</f>
        <v/>
      </c>
      <c r="E1599" s="18">
        <f>'Raw Data'!M1599/'Raw Data'!L1599*100</f>
        <v/>
      </c>
      <c r="F1599" s="14">
        <f>IF(E1599&gt;15,"Wet Year",IF(E1599&lt;-15,"Dry Year","Normal Year"))</f>
        <v/>
      </c>
      <c r="G1599" s="16">
        <f>'Raw Data'!I1599</f>
        <v/>
      </c>
      <c r="H1599" s="14">
        <f>IF(G1599&lt;15,"Low Variability",IF(G1599&lt;=35,"Moderate Variability","High Variability"))</f>
        <v/>
      </c>
      <c r="I1599" s="18">
        <f>'Raw Data'!O1599</f>
        <v/>
      </c>
      <c r="J1599" s="14">
        <f>IF(I1599=0,"No Flood",IF(I1599&lt;=0.5,"Low",IF(I1599&lt;=2,"Moderate","High")))</f>
        <v/>
      </c>
    </row>
    <row r="1600" ht="15" customHeight="1" s="12">
      <c r="A1600" s="14">
        <f>'Raw Data'!A1600</f>
        <v/>
      </c>
      <c r="B1600" s="14">
        <f>'Raw Data'!B1600</f>
        <v/>
      </c>
      <c r="C1600" s="14">
        <f>'Raw Data'!C1600</f>
        <v/>
      </c>
      <c r="D1600" s="15">
        <f>'Raw Data'!M1600</f>
        <v/>
      </c>
      <c r="E1600" s="18">
        <f>'Raw Data'!M1600/'Raw Data'!L1600*100</f>
        <v/>
      </c>
      <c r="F1600" s="14">
        <f>IF(E1600&gt;15,"Wet Year",IF(E1600&lt;-15,"Dry Year","Normal Year"))</f>
        <v/>
      </c>
      <c r="G1600" s="16">
        <f>'Raw Data'!I1600</f>
        <v/>
      </c>
      <c r="H1600" s="14">
        <f>IF(G1600&lt;15,"Low Variability",IF(G1600&lt;=35,"Moderate Variability","High Variability"))</f>
        <v/>
      </c>
      <c r="I1600" s="18">
        <f>'Raw Data'!O1600</f>
        <v/>
      </c>
      <c r="J1600" s="14">
        <f>IF(I1600=0,"No Flood",IF(I1600&lt;=0.5,"Low",IF(I1600&lt;=2,"Moderate","High")))</f>
        <v/>
      </c>
    </row>
    <row r="1601" ht="15" customHeight="1" s="12">
      <c r="A1601" s="14">
        <f>'Raw Data'!A1601</f>
        <v/>
      </c>
      <c r="B1601" s="14">
        <f>'Raw Data'!B1601</f>
        <v/>
      </c>
      <c r="C1601" s="14">
        <f>'Raw Data'!C1601</f>
        <v/>
      </c>
      <c r="D1601" s="15">
        <f>'Raw Data'!M1601</f>
        <v/>
      </c>
      <c r="E1601" s="18">
        <f>'Raw Data'!M1601/'Raw Data'!L1601*100</f>
        <v/>
      </c>
      <c r="F1601" s="14">
        <f>IF(E1601&gt;15,"Wet Year",IF(E1601&lt;-15,"Dry Year","Normal Year"))</f>
        <v/>
      </c>
      <c r="G1601" s="16">
        <f>'Raw Data'!I1601</f>
        <v/>
      </c>
      <c r="H1601" s="14">
        <f>IF(G1601&lt;15,"Low Variability",IF(G1601&lt;=35,"Moderate Variability","High Variability"))</f>
        <v/>
      </c>
      <c r="I1601" s="18">
        <f>'Raw Data'!O1601</f>
        <v/>
      </c>
      <c r="J1601" s="14">
        <f>IF(I1601=0,"No Flood",IF(I1601&lt;=0.5,"Low",IF(I1601&lt;=2,"Moderate","High")))</f>
        <v/>
      </c>
    </row>
    <row r="1602" ht="15" customHeight="1" s="12">
      <c r="A1602" s="14">
        <f>'Raw Data'!A1602</f>
        <v/>
      </c>
      <c r="B1602" s="14">
        <f>'Raw Data'!B1602</f>
        <v/>
      </c>
      <c r="C1602" s="14">
        <f>'Raw Data'!C1602</f>
        <v/>
      </c>
      <c r="D1602" s="15">
        <f>'Raw Data'!M1602</f>
        <v/>
      </c>
      <c r="E1602" s="18">
        <f>'Raw Data'!M1602/'Raw Data'!L1602*100</f>
        <v/>
      </c>
      <c r="F1602" s="14">
        <f>IF(E1602&gt;15,"Wet Year",IF(E1602&lt;-15,"Dry Year","Normal Year"))</f>
        <v/>
      </c>
      <c r="G1602" s="16">
        <f>'Raw Data'!I1602</f>
        <v/>
      </c>
      <c r="H1602" s="14">
        <f>IF(G1602&lt;15,"Low Variability",IF(G1602&lt;=35,"Moderate Variability","High Variability"))</f>
        <v/>
      </c>
      <c r="I1602" s="18">
        <f>'Raw Data'!O1602</f>
        <v/>
      </c>
      <c r="J1602" s="14">
        <f>IF(I1602=0,"No Flood",IF(I1602&lt;=0.5,"Low",IF(I1602&lt;=2,"Moderate","High")))</f>
        <v/>
      </c>
    </row>
    <row r="1603" ht="15" customHeight="1" s="12">
      <c r="A1603" s="14">
        <f>'Raw Data'!A1603</f>
        <v/>
      </c>
      <c r="B1603" s="14">
        <f>'Raw Data'!B1603</f>
        <v/>
      </c>
      <c r="C1603" s="14">
        <f>'Raw Data'!C1603</f>
        <v/>
      </c>
      <c r="D1603" s="15">
        <f>'Raw Data'!M1603</f>
        <v/>
      </c>
      <c r="E1603" s="18">
        <f>'Raw Data'!M1603/'Raw Data'!L1603*100</f>
        <v/>
      </c>
      <c r="F1603" s="14">
        <f>IF(E1603&gt;15,"Wet Year",IF(E1603&lt;-15,"Dry Year","Normal Year"))</f>
        <v/>
      </c>
      <c r="G1603" s="16">
        <f>'Raw Data'!I1603</f>
        <v/>
      </c>
      <c r="H1603" s="14">
        <f>IF(G1603&lt;15,"Low Variability",IF(G1603&lt;=35,"Moderate Variability","High Variability"))</f>
        <v/>
      </c>
      <c r="I1603" s="18">
        <f>'Raw Data'!O1603</f>
        <v/>
      </c>
      <c r="J1603" s="14">
        <f>IF(I1603=0,"No Flood",IF(I1603&lt;=0.5,"Low",IF(I1603&lt;=2,"Moderate","High")))</f>
        <v/>
      </c>
    </row>
    <row r="1604" ht="15" customHeight="1" s="12">
      <c r="A1604" s="14">
        <f>'Raw Data'!A1604</f>
        <v/>
      </c>
      <c r="B1604" s="14">
        <f>'Raw Data'!B1604</f>
        <v/>
      </c>
      <c r="C1604" s="14">
        <f>'Raw Data'!C1604</f>
        <v/>
      </c>
      <c r="D1604" s="15">
        <f>'Raw Data'!M1604</f>
        <v/>
      </c>
      <c r="E1604" s="18">
        <f>'Raw Data'!M1604/'Raw Data'!L1604*100</f>
        <v/>
      </c>
      <c r="F1604" s="14">
        <f>IF(E1604&gt;15,"Wet Year",IF(E1604&lt;-15,"Dry Year","Normal Year"))</f>
        <v/>
      </c>
      <c r="G1604" s="16">
        <f>'Raw Data'!I1604</f>
        <v/>
      </c>
      <c r="H1604" s="14">
        <f>IF(G1604&lt;15,"Low Variability",IF(G1604&lt;=35,"Moderate Variability","High Variability"))</f>
        <v/>
      </c>
      <c r="I1604" s="18">
        <f>'Raw Data'!O1604</f>
        <v/>
      </c>
      <c r="J1604" s="14">
        <f>IF(I1604=0,"No Flood",IF(I1604&lt;=0.5,"Low",IF(I1604&lt;=2,"Moderate","High")))</f>
        <v/>
      </c>
    </row>
    <row r="1605" ht="15" customHeight="1" s="12">
      <c r="A1605" s="14">
        <f>'Raw Data'!A1605</f>
        <v/>
      </c>
      <c r="B1605" s="14">
        <f>'Raw Data'!B1605</f>
        <v/>
      </c>
      <c r="C1605" s="14">
        <f>'Raw Data'!C1605</f>
        <v/>
      </c>
      <c r="D1605" s="15">
        <f>'Raw Data'!M1605</f>
        <v/>
      </c>
      <c r="E1605" s="18">
        <f>'Raw Data'!M1605/'Raw Data'!L1605*100</f>
        <v/>
      </c>
      <c r="F1605" s="14">
        <f>IF(E1605&gt;15,"Wet Year",IF(E1605&lt;-15,"Dry Year","Normal Year"))</f>
        <v/>
      </c>
      <c r="G1605" s="16">
        <f>'Raw Data'!I1605</f>
        <v/>
      </c>
      <c r="H1605" s="14">
        <f>IF(G1605&lt;15,"Low Variability",IF(G1605&lt;=35,"Moderate Variability","High Variability"))</f>
        <v/>
      </c>
      <c r="I1605" s="18">
        <f>'Raw Data'!O1605</f>
        <v/>
      </c>
      <c r="J1605" s="14">
        <f>IF(I1605=0,"No Flood",IF(I1605&lt;=0.5,"Low",IF(I1605&lt;=2,"Moderate","High")))</f>
        <v/>
      </c>
    </row>
    <row r="1606" ht="15" customHeight="1" s="12">
      <c r="A1606" s="14">
        <f>'Raw Data'!A1606</f>
        <v/>
      </c>
      <c r="B1606" s="14">
        <f>'Raw Data'!B1606</f>
        <v/>
      </c>
      <c r="C1606" s="14">
        <f>'Raw Data'!C1606</f>
        <v/>
      </c>
      <c r="D1606" s="15">
        <f>'Raw Data'!M1606</f>
        <v/>
      </c>
      <c r="E1606" s="18">
        <f>'Raw Data'!M1606/'Raw Data'!L1606*100</f>
        <v/>
      </c>
      <c r="F1606" s="14">
        <f>IF(E1606&gt;15,"Wet Year",IF(E1606&lt;-15,"Dry Year","Normal Year"))</f>
        <v/>
      </c>
      <c r="G1606" s="16">
        <f>'Raw Data'!I1606</f>
        <v/>
      </c>
      <c r="H1606" s="14">
        <f>IF(G1606&lt;15,"Low Variability",IF(G1606&lt;=35,"Moderate Variability","High Variability"))</f>
        <v/>
      </c>
      <c r="I1606" s="18">
        <f>'Raw Data'!O1606</f>
        <v/>
      </c>
      <c r="J1606" s="14">
        <f>IF(I1606=0,"No Flood",IF(I1606&lt;=0.5,"Low",IF(I1606&lt;=2,"Moderate","High")))</f>
        <v/>
      </c>
    </row>
    <row r="1607" ht="15" customHeight="1" s="12">
      <c r="A1607" s="14">
        <f>'Raw Data'!A1607</f>
        <v/>
      </c>
      <c r="B1607" s="14">
        <f>'Raw Data'!B1607</f>
        <v/>
      </c>
      <c r="C1607" s="14">
        <f>'Raw Data'!C1607</f>
        <v/>
      </c>
      <c r="D1607" s="15">
        <f>'Raw Data'!M1607</f>
        <v/>
      </c>
      <c r="E1607" s="18">
        <f>'Raw Data'!M1607/'Raw Data'!L1607*100</f>
        <v/>
      </c>
      <c r="F1607" s="14">
        <f>IF(E1607&gt;15,"Wet Year",IF(E1607&lt;-15,"Dry Year","Normal Year"))</f>
        <v/>
      </c>
      <c r="G1607" s="16">
        <f>'Raw Data'!I1607</f>
        <v/>
      </c>
      <c r="H1607" s="14">
        <f>IF(G1607&lt;15,"Low Variability",IF(G1607&lt;=35,"Moderate Variability","High Variability"))</f>
        <v/>
      </c>
      <c r="I1607" s="18">
        <f>'Raw Data'!O1607</f>
        <v/>
      </c>
      <c r="J1607" s="14">
        <f>IF(I1607=0,"No Flood",IF(I1607&lt;=0.5,"Low",IF(I1607&lt;=2,"Moderate","High")))</f>
        <v/>
      </c>
    </row>
    <row r="1608" ht="15" customHeight="1" s="12">
      <c r="A1608" s="14">
        <f>'Raw Data'!A1608</f>
        <v/>
      </c>
      <c r="B1608" s="14">
        <f>'Raw Data'!B1608</f>
        <v/>
      </c>
      <c r="C1608" s="14">
        <f>'Raw Data'!C1608</f>
        <v/>
      </c>
      <c r="D1608" s="15">
        <f>'Raw Data'!M1608</f>
        <v/>
      </c>
      <c r="E1608" s="18">
        <f>'Raw Data'!M1608/'Raw Data'!L1608*100</f>
        <v/>
      </c>
      <c r="F1608" s="14">
        <f>IF(E1608&gt;15,"Wet Year",IF(E1608&lt;-15,"Dry Year","Normal Year"))</f>
        <v/>
      </c>
      <c r="G1608" s="16">
        <f>'Raw Data'!I1608</f>
        <v/>
      </c>
      <c r="H1608" s="14">
        <f>IF(G1608&lt;15,"Low Variability",IF(G1608&lt;=35,"Moderate Variability","High Variability"))</f>
        <v/>
      </c>
      <c r="I1608" s="18">
        <f>'Raw Data'!O1608</f>
        <v/>
      </c>
      <c r="J1608" s="14">
        <f>IF(I1608=0,"No Flood",IF(I1608&lt;=0.5,"Low",IF(I1608&lt;=2,"Moderate","High")))</f>
        <v/>
      </c>
    </row>
    <row r="1609" ht="15" customHeight="1" s="12">
      <c r="A1609" s="14">
        <f>'Raw Data'!A1609</f>
        <v/>
      </c>
      <c r="B1609" s="14">
        <f>'Raw Data'!B1609</f>
        <v/>
      </c>
      <c r="C1609" s="14">
        <f>'Raw Data'!C1609</f>
        <v/>
      </c>
      <c r="D1609" s="15">
        <f>'Raw Data'!M1609</f>
        <v/>
      </c>
      <c r="E1609" s="18">
        <f>'Raw Data'!M1609/'Raw Data'!L1609*100</f>
        <v/>
      </c>
      <c r="F1609" s="14">
        <f>IF(E1609&gt;15,"Wet Year",IF(E1609&lt;-15,"Dry Year","Normal Year"))</f>
        <v/>
      </c>
      <c r="G1609" s="16">
        <f>'Raw Data'!I1609</f>
        <v/>
      </c>
      <c r="H1609" s="14">
        <f>IF(G1609&lt;15,"Low Variability",IF(G1609&lt;=35,"Moderate Variability","High Variability"))</f>
        <v/>
      </c>
      <c r="I1609" s="18">
        <f>'Raw Data'!O1609</f>
        <v/>
      </c>
      <c r="J1609" s="14">
        <f>IF(I1609=0,"No Flood",IF(I1609&lt;=0.5,"Low",IF(I1609&lt;=2,"Moderate","High")))</f>
        <v/>
      </c>
    </row>
    <row r="1610" ht="15" customHeight="1" s="12">
      <c r="A1610" s="14">
        <f>'Raw Data'!A1610</f>
        <v/>
      </c>
      <c r="B1610" s="14">
        <f>'Raw Data'!B1610</f>
        <v/>
      </c>
      <c r="C1610" s="14">
        <f>'Raw Data'!C1610</f>
        <v/>
      </c>
      <c r="D1610" s="15">
        <f>'Raw Data'!M1610</f>
        <v/>
      </c>
      <c r="E1610" s="18">
        <f>'Raw Data'!M1610/'Raw Data'!L1610*100</f>
        <v/>
      </c>
      <c r="F1610" s="14">
        <f>IF(E1610&gt;15,"Wet Year",IF(E1610&lt;-15,"Dry Year","Normal Year"))</f>
        <v/>
      </c>
      <c r="G1610" s="16">
        <f>'Raw Data'!I1610</f>
        <v/>
      </c>
      <c r="H1610" s="14">
        <f>IF(G1610&lt;15,"Low Variability",IF(G1610&lt;=35,"Moderate Variability","High Variability"))</f>
        <v/>
      </c>
      <c r="I1610" s="18">
        <f>'Raw Data'!O1610</f>
        <v/>
      </c>
      <c r="J1610" s="14">
        <f>IF(I1610=0,"No Flood",IF(I1610&lt;=0.5,"Low",IF(I1610&lt;=2,"Moderate","High")))</f>
        <v/>
      </c>
    </row>
    <row r="1611" ht="15" customHeight="1" s="12">
      <c r="A1611" s="14">
        <f>'Raw Data'!A1611</f>
        <v/>
      </c>
      <c r="B1611" s="14">
        <f>'Raw Data'!B1611</f>
        <v/>
      </c>
      <c r="C1611" s="14">
        <f>'Raw Data'!C1611</f>
        <v/>
      </c>
      <c r="D1611" s="15">
        <f>'Raw Data'!M1611</f>
        <v/>
      </c>
      <c r="E1611" s="18">
        <f>'Raw Data'!M1611/'Raw Data'!L1611*100</f>
        <v/>
      </c>
      <c r="F1611" s="14">
        <f>IF(E1611&gt;15,"Wet Year",IF(E1611&lt;-15,"Dry Year","Normal Year"))</f>
        <v/>
      </c>
      <c r="G1611" s="16">
        <f>'Raw Data'!I1611</f>
        <v/>
      </c>
      <c r="H1611" s="14">
        <f>IF(G1611&lt;15,"Low Variability",IF(G1611&lt;=35,"Moderate Variability","High Variability"))</f>
        <v/>
      </c>
      <c r="I1611" s="18">
        <f>'Raw Data'!O1611</f>
        <v/>
      </c>
      <c r="J1611" s="14">
        <f>IF(I1611=0,"No Flood",IF(I1611&lt;=0.5,"Low",IF(I1611&lt;=2,"Moderate","High")))</f>
        <v/>
      </c>
    </row>
    <row r="1612" ht="15" customHeight="1" s="12">
      <c r="A1612" s="14">
        <f>'Raw Data'!A1612</f>
        <v/>
      </c>
      <c r="B1612" s="14">
        <f>'Raw Data'!B1612</f>
        <v/>
      </c>
      <c r="C1612" s="14">
        <f>'Raw Data'!C1612</f>
        <v/>
      </c>
      <c r="D1612" s="15">
        <f>'Raw Data'!M1612</f>
        <v/>
      </c>
      <c r="E1612" s="18">
        <f>'Raw Data'!M1612/'Raw Data'!L1612*100</f>
        <v/>
      </c>
      <c r="F1612" s="14">
        <f>IF(E1612&gt;15,"Wet Year",IF(E1612&lt;-15,"Dry Year","Normal Year"))</f>
        <v/>
      </c>
      <c r="G1612" s="16">
        <f>'Raw Data'!I1612</f>
        <v/>
      </c>
      <c r="H1612" s="14">
        <f>IF(G1612&lt;15,"Low Variability",IF(G1612&lt;=35,"Moderate Variability","High Variability"))</f>
        <v/>
      </c>
      <c r="I1612" s="18">
        <f>'Raw Data'!O1612</f>
        <v/>
      </c>
      <c r="J1612" s="14">
        <f>IF(I1612=0,"No Flood",IF(I1612&lt;=0.5,"Low",IF(I1612&lt;=2,"Moderate","High")))</f>
        <v/>
      </c>
    </row>
    <row r="1613" ht="15" customHeight="1" s="12">
      <c r="A1613" s="14">
        <f>'Raw Data'!A1613</f>
        <v/>
      </c>
      <c r="B1613" s="14">
        <f>'Raw Data'!B1613</f>
        <v/>
      </c>
      <c r="C1613" s="14">
        <f>'Raw Data'!C1613</f>
        <v/>
      </c>
      <c r="D1613" s="15">
        <f>'Raw Data'!M1613</f>
        <v/>
      </c>
      <c r="E1613" s="18">
        <f>'Raw Data'!M1613/'Raw Data'!L1613*100</f>
        <v/>
      </c>
      <c r="F1613" s="14">
        <f>IF(E1613&gt;15,"Wet Year",IF(E1613&lt;-15,"Dry Year","Normal Year"))</f>
        <v/>
      </c>
      <c r="G1613" s="16">
        <f>'Raw Data'!I1613</f>
        <v/>
      </c>
      <c r="H1613" s="14">
        <f>IF(G1613&lt;15,"Low Variability",IF(G1613&lt;=35,"Moderate Variability","High Variability"))</f>
        <v/>
      </c>
      <c r="I1613" s="18">
        <f>'Raw Data'!O1613</f>
        <v/>
      </c>
      <c r="J1613" s="14">
        <f>IF(I1613=0,"No Flood",IF(I1613&lt;=0.5,"Low",IF(I1613&lt;=2,"Moderate","High")))</f>
        <v/>
      </c>
    </row>
    <row r="1614" ht="15" customHeight="1" s="12">
      <c r="A1614" s="14">
        <f>'Raw Data'!A1614</f>
        <v/>
      </c>
      <c r="B1614" s="14">
        <f>'Raw Data'!B1614</f>
        <v/>
      </c>
      <c r="C1614" s="14">
        <f>'Raw Data'!C1614</f>
        <v/>
      </c>
      <c r="D1614" s="15">
        <f>'Raw Data'!M1614</f>
        <v/>
      </c>
      <c r="E1614" s="18">
        <f>'Raw Data'!M1614/'Raw Data'!L1614*100</f>
        <v/>
      </c>
      <c r="F1614" s="14">
        <f>IF(E1614&gt;15,"Wet Year",IF(E1614&lt;-15,"Dry Year","Normal Year"))</f>
        <v/>
      </c>
      <c r="G1614" s="16">
        <f>'Raw Data'!I1614</f>
        <v/>
      </c>
      <c r="H1614" s="14">
        <f>IF(G1614&lt;15,"Low Variability",IF(G1614&lt;=35,"Moderate Variability","High Variability"))</f>
        <v/>
      </c>
      <c r="I1614" s="18">
        <f>'Raw Data'!O1614</f>
        <v/>
      </c>
      <c r="J1614" s="14">
        <f>IF(I1614=0,"No Flood",IF(I1614&lt;=0.5,"Low",IF(I1614&lt;=2,"Moderate","High")))</f>
        <v/>
      </c>
    </row>
    <row r="1615" ht="15" customHeight="1" s="12">
      <c r="A1615" s="14">
        <f>'Raw Data'!A1615</f>
        <v/>
      </c>
      <c r="B1615" s="14">
        <f>'Raw Data'!B1615</f>
        <v/>
      </c>
      <c r="C1615" s="14">
        <f>'Raw Data'!C1615</f>
        <v/>
      </c>
      <c r="D1615" s="15">
        <f>'Raw Data'!M1615</f>
        <v/>
      </c>
      <c r="E1615" s="18">
        <f>'Raw Data'!M1615/'Raw Data'!L1615*100</f>
        <v/>
      </c>
      <c r="F1615" s="14">
        <f>IF(E1615&gt;15,"Wet Year",IF(E1615&lt;-15,"Dry Year","Normal Year"))</f>
        <v/>
      </c>
      <c r="G1615" s="16">
        <f>'Raw Data'!I1615</f>
        <v/>
      </c>
      <c r="H1615" s="14">
        <f>IF(G1615&lt;15,"Low Variability",IF(G1615&lt;=35,"Moderate Variability","High Variability"))</f>
        <v/>
      </c>
      <c r="I1615" s="18">
        <f>'Raw Data'!O1615</f>
        <v/>
      </c>
      <c r="J1615" s="14">
        <f>IF(I1615=0,"No Flood",IF(I1615&lt;=0.5,"Low",IF(I1615&lt;=2,"Moderate","High")))</f>
        <v/>
      </c>
    </row>
    <row r="1616" ht="15" customHeight="1" s="12">
      <c r="A1616" s="14">
        <f>'Raw Data'!A1616</f>
        <v/>
      </c>
      <c r="B1616" s="14">
        <f>'Raw Data'!B1616</f>
        <v/>
      </c>
      <c r="C1616" s="14">
        <f>'Raw Data'!C1616</f>
        <v/>
      </c>
      <c r="D1616" s="15">
        <f>'Raw Data'!M1616</f>
        <v/>
      </c>
      <c r="E1616" s="18">
        <f>'Raw Data'!M1616/'Raw Data'!L1616*100</f>
        <v/>
      </c>
      <c r="F1616" s="14">
        <f>IF(E1616&gt;15,"Wet Year",IF(E1616&lt;-15,"Dry Year","Normal Year"))</f>
        <v/>
      </c>
      <c r="G1616" s="16">
        <f>'Raw Data'!I1616</f>
        <v/>
      </c>
      <c r="H1616" s="14">
        <f>IF(G1616&lt;15,"Low Variability",IF(G1616&lt;=35,"Moderate Variability","High Variability"))</f>
        <v/>
      </c>
      <c r="I1616" s="18">
        <f>'Raw Data'!O1616</f>
        <v/>
      </c>
      <c r="J1616" s="14">
        <f>IF(I1616=0,"No Flood",IF(I1616&lt;=0.5,"Low",IF(I1616&lt;=2,"Moderate","High")))</f>
        <v/>
      </c>
    </row>
    <row r="1617" ht="15" customHeight="1" s="12">
      <c r="A1617" s="14">
        <f>'Raw Data'!A1617</f>
        <v/>
      </c>
      <c r="B1617" s="14">
        <f>'Raw Data'!B1617</f>
        <v/>
      </c>
      <c r="C1617" s="14">
        <f>'Raw Data'!C1617</f>
        <v/>
      </c>
      <c r="D1617" s="15">
        <f>'Raw Data'!M1617</f>
        <v/>
      </c>
      <c r="E1617" s="18">
        <f>'Raw Data'!M1617/'Raw Data'!L1617*100</f>
        <v/>
      </c>
      <c r="F1617" s="14">
        <f>IF(E1617&gt;15,"Wet Year",IF(E1617&lt;-15,"Dry Year","Normal Year"))</f>
        <v/>
      </c>
      <c r="G1617" s="16">
        <f>'Raw Data'!I1617</f>
        <v/>
      </c>
      <c r="H1617" s="14">
        <f>IF(G1617&lt;15,"Low Variability",IF(G1617&lt;=35,"Moderate Variability","High Variability"))</f>
        <v/>
      </c>
      <c r="I1617" s="18">
        <f>'Raw Data'!O1617</f>
        <v/>
      </c>
      <c r="J1617" s="14">
        <f>IF(I1617=0,"No Flood",IF(I1617&lt;=0.5,"Low",IF(I1617&lt;=2,"Moderate","High")))</f>
        <v/>
      </c>
    </row>
    <row r="1618" ht="15" customHeight="1" s="12">
      <c r="A1618" s="14">
        <f>'Raw Data'!A1618</f>
        <v/>
      </c>
      <c r="B1618" s="14">
        <f>'Raw Data'!B1618</f>
        <v/>
      </c>
      <c r="C1618" s="14">
        <f>'Raw Data'!C1618</f>
        <v/>
      </c>
      <c r="D1618" s="15">
        <f>'Raw Data'!M1618</f>
        <v/>
      </c>
      <c r="E1618" s="18">
        <f>'Raw Data'!M1618/'Raw Data'!L1618*100</f>
        <v/>
      </c>
      <c r="F1618" s="14">
        <f>IF(E1618&gt;15,"Wet Year",IF(E1618&lt;-15,"Dry Year","Normal Year"))</f>
        <v/>
      </c>
      <c r="G1618" s="16">
        <f>'Raw Data'!I1618</f>
        <v/>
      </c>
      <c r="H1618" s="14">
        <f>IF(G1618&lt;15,"Low Variability",IF(G1618&lt;=35,"Moderate Variability","High Variability"))</f>
        <v/>
      </c>
      <c r="I1618" s="18">
        <f>'Raw Data'!O1618</f>
        <v/>
      </c>
      <c r="J1618" s="14">
        <f>IF(I1618=0,"No Flood",IF(I1618&lt;=0.5,"Low",IF(I1618&lt;=2,"Moderate","High")))</f>
        <v/>
      </c>
    </row>
    <row r="1619" ht="15" customHeight="1" s="12">
      <c r="A1619" s="14">
        <f>'Raw Data'!A1619</f>
        <v/>
      </c>
      <c r="B1619" s="14">
        <f>'Raw Data'!B1619</f>
        <v/>
      </c>
      <c r="C1619" s="14">
        <f>'Raw Data'!C1619</f>
        <v/>
      </c>
      <c r="D1619" s="15">
        <f>'Raw Data'!M1619</f>
        <v/>
      </c>
      <c r="E1619" s="18">
        <f>'Raw Data'!M1619/'Raw Data'!L1619*100</f>
        <v/>
      </c>
      <c r="F1619" s="14">
        <f>IF(E1619&gt;15,"Wet Year",IF(E1619&lt;-15,"Dry Year","Normal Year"))</f>
        <v/>
      </c>
      <c r="G1619" s="16">
        <f>'Raw Data'!I1619</f>
        <v/>
      </c>
      <c r="H1619" s="14">
        <f>IF(G1619&lt;15,"Low Variability",IF(G1619&lt;=35,"Moderate Variability","High Variability"))</f>
        <v/>
      </c>
      <c r="I1619" s="18">
        <f>'Raw Data'!O1619</f>
        <v/>
      </c>
      <c r="J1619" s="14">
        <f>IF(I1619=0,"No Flood",IF(I1619&lt;=0.5,"Low",IF(I1619&lt;=2,"Moderate","High")))</f>
        <v/>
      </c>
    </row>
    <row r="1620" ht="15" customHeight="1" s="12">
      <c r="A1620" s="14">
        <f>'Raw Data'!A1620</f>
        <v/>
      </c>
      <c r="B1620" s="14">
        <f>'Raw Data'!B1620</f>
        <v/>
      </c>
      <c r="C1620" s="14">
        <f>'Raw Data'!C1620</f>
        <v/>
      </c>
      <c r="D1620" s="15">
        <f>'Raw Data'!M1620</f>
        <v/>
      </c>
      <c r="E1620" s="18">
        <f>'Raw Data'!M1620/'Raw Data'!L1620*100</f>
        <v/>
      </c>
      <c r="F1620" s="14">
        <f>IF(E1620&gt;15,"Wet Year",IF(E1620&lt;-15,"Dry Year","Normal Year"))</f>
        <v/>
      </c>
      <c r="G1620" s="16">
        <f>'Raw Data'!I1620</f>
        <v/>
      </c>
      <c r="H1620" s="14">
        <f>IF(G1620&lt;15,"Low Variability",IF(G1620&lt;=35,"Moderate Variability","High Variability"))</f>
        <v/>
      </c>
      <c r="I1620" s="18">
        <f>'Raw Data'!O1620</f>
        <v/>
      </c>
      <c r="J1620" s="14">
        <f>IF(I1620=0,"No Flood",IF(I1620&lt;=0.5,"Low",IF(I1620&lt;=2,"Moderate","High")))</f>
        <v/>
      </c>
    </row>
    <row r="1621" ht="15" customHeight="1" s="12">
      <c r="A1621" s="14">
        <f>'Raw Data'!A1621</f>
        <v/>
      </c>
      <c r="B1621" s="14">
        <f>'Raw Data'!B1621</f>
        <v/>
      </c>
      <c r="C1621" s="14">
        <f>'Raw Data'!C1621</f>
        <v/>
      </c>
      <c r="D1621" s="15">
        <f>'Raw Data'!M1621</f>
        <v/>
      </c>
      <c r="E1621" s="18">
        <f>'Raw Data'!M1621/'Raw Data'!L1621*100</f>
        <v/>
      </c>
      <c r="F1621" s="14">
        <f>IF(E1621&gt;15,"Wet Year",IF(E1621&lt;-15,"Dry Year","Normal Year"))</f>
        <v/>
      </c>
      <c r="G1621" s="16">
        <f>'Raw Data'!I1621</f>
        <v/>
      </c>
      <c r="H1621" s="14">
        <f>IF(G1621&lt;15,"Low Variability",IF(G1621&lt;=35,"Moderate Variability","High Variability"))</f>
        <v/>
      </c>
      <c r="I1621" s="18">
        <f>'Raw Data'!O1621</f>
        <v/>
      </c>
      <c r="J1621" s="14">
        <f>IF(I1621=0,"No Flood",IF(I1621&lt;=0.5,"Low",IF(I1621&lt;=2,"Moderate","High")))</f>
        <v/>
      </c>
    </row>
    <row r="1622" ht="15" customHeight="1" s="12">
      <c r="A1622" s="14">
        <f>'Raw Data'!A1622</f>
        <v/>
      </c>
      <c r="B1622" s="14">
        <f>'Raw Data'!B1622</f>
        <v/>
      </c>
      <c r="C1622" s="14">
        <f>'Raw Data'!C1622</f>
        <v/>
      </c>
      <c r="D1622" s="15">
        <f>'Raw Data'!M1622</f>
        <v/>
      </c>
      <c r="E1622" s="18">
        <f>'Raw Data'!M1622/'Raw Data'!L1622*100</f>
        <v/>
      </c>
      <c r="F1622" s="14">
        <f>IF(E1622&gt;15,"Wet Year",IF(E1622&lt;-15,"Dry Year","Normal Year"))</f>
        <v/>
      </c>
      <c r="G1622" s="16">
        <f>'Raw Data'!I1622</f>
        <v/>
      </c>
      <c r="H1622" s="14">
        <f>IF(G1622&lt;15,"Low Variability",IF(G1622&lt;=35,"Moderate Variability","High Variability"))</f>
        <v/>
      </c>
      <c r="I1622" s="18">
        <f>'Raw Data'!O1622</f>
        <v/>
      </c>
      <c r="J1622" s="14">
        <f>IF(I1622=0,"No Flood",IF(I1622&lt;=0.5,"Low",IF(I1622&lt;=2,"Moderate","High")))</f>
        <v/>
      </c>
    </row>
    <row r="1623" ht="15" customHeight="1" s="12">
      <c r="A1623" s="14">
        <f>'Raw Data'!A1623</f>
        <v/>
      </c>
      <c r="B1623" s="14">
        <f>'Raw Data'!B1623</f>
        <v/>
      </c>
      <c r="C1623" s="14">
        <f>'Raw Data'!C1623</f>
        <v/>
      </c>
      <c r="D1623" s="15">
        <f>'Raw Data'!M1623</f>
        <v/>
      </c>
      <c r="E1623" s="18">
        <f>'Raw Data'!M1623/'Raw Data'!L1623*100</f>
        <v/>
      </c>
      <c r="F1623" s="14">
        <f>IF(E1623&gt;15,"Wet Year",IF(E1623&lt;-15,"Dry Year","Normal Year"))</f>
        <v/>
      </c>
      <c r="G1623" s="16">
        <f>'Raw Data'!I1623</f>
        <v/>
      </c>
      <c r="H1623" s="14">
        <f>IF(G1623&lt;15,"Low Variability",IF(G1623&lt;=35,"Moderate Variability","High Variability"))</f>
        <v/>
      </c>
      <c r="I1623" s="18">
        <f>'Raw Data'!O1623</f>
        <v/>
      </c>
      <c r="J1623" s="14">
        <f>IF(I1623=0,"No Flood",IF(I1623&lt;=0.5,"Low",IF(I1623&lt;=2,"Moderate","High")))</f>
        <v/>
      </c>
    </row>
    <row r="1624" ht="15" customHeight="1" s="12">
      <c r="A1624" s="14">
        <f>'Raw Data'!A1624</f>
        <v/>
      </c>
      <c r="B1624" s="14">
        <f>'Raw Data'!B1624</f>
        <v/>
      </c>
      <c r="C1624" s="14">
        <f>'Raw Data'!C1624</f>
        <v/>
      </c>
      <c r="D1624" s="15">
        <f>'Raw Data'!M1624</f>
        <v/>
      </c>
      <c r="E1624" s="18">
        <f>'Raw Data'!M1624/'Raw Data'!L1624*100</f>
        <v/>
      </c>
      <c r="F1624" s="14">
        <f>IF(E1624&gt;15,"Wet Year",IF(E1624&lt;-15,"Dry Year","Normal Year"))</f>
        <v/>
      </c>
      <c r="G1624" s="16">
        <f>'Raw Data'!I1624</f>
        <v/>
      </c>
      <c r="H1624" s="14">
        <f>IF(G1624&lt;15,"Low Variability",IF(G1624&lt;=35,"Moderate Variability","High Variability"))</f>
        <v/>
      </c>
      <c r="I1624" s="18">
        <f>'Raw Data'!O1624</f>
        <v/>
      </c>
      <c r="J1624" s="14">
        <f>IF(I1624=0,"No Flood",IF(I1624&lt;=0.5,"Low",IF(I1624&lt;=2,"Moderate","High")))</f>
        <v/>
      </c>
    </row>
    <row r="1625" ht="15" customHeight="1" s="12">
      <c r="A1625" s="14">
        <f>'Raw Data'!A1625</f>
        <v/>
      </c>
      <c r="B1625" s="14">
        <f>'Raw Data'!B1625</f>
        <v/>
      </c>
      <c r="C1625" s="14">
        <f>'Raw Data'!C1625</f>
        <v/>
      </c>
      <c r="D1625" s="15">
        <f>'Raw Data'!M1625</f>
        <v/>
      </c>
      <c r="E1625" s="18">
        <f>'Raw Data'!M1625/'Raw Data'!L1625*100</f>
        <v/>
      </c>
      <c r="F1625" s="14">
        <f>IF(E1625&gt;15,"Wet Year",IF(E1625&lt;-15,"Dry Year","Normal Year"))</f>
        <v/>
      </c>
      <c r="G1625" s="16">
        <f>'Raw Data'!I1625</f>
        <v/>
      </c>
      <c r="H1625" s="14">
        <f>IF(G1625&lt;15,"Low Variability",IF(G1625&lt;=35,"Moderate Variability","High Variability"))</f>
        <v/>
      </c>
      <c r="I1625" s="18">
        <f>'Raw Data'!O1625</f>
        <v/>
      </c>
      <c r="J1625" s="14">
        <f>IF(I1625=0,"No Flood",IF(I1625&lt;=0.5,"Low",IF(I1625&lt;=2,"Moderate","High")))</f>
        <v/>
      </c>
    </row>
    <row r="1626" ht="15" customHeight="1" s="12">
      <c r="A1626" s="14">
        <f>'Raw Data'!A1626</f>
        <v/>
      </c>
      <c r="B1626" s="14">
        <f>'Raw Data'!B1626</f>
        <v/>
      </c>
      <c r="C1626" s="14">
        <f>'Raw Data'!C1626</f>
        <v/>
      </c>
      <c r="D1626" s="15">
        <f>'Raw Data'!M1626</f>
        <v/>
      </c>
      <c r="E1626" s="18">
        <f>'Raw Data'!M1626/'Raw Data'!L1626*100</f>
        <v/>
      </c>
      <c r="F1626" s="14">
        <f>IF(E1626&gt;15,"Wet Year",IF(E1626&lt;-15,"Dry Year","Normal Year"))</f>
        <v/>
      </c>
      <c r="G1626" s="16">
        <f>'Raw Data'!I1626</f>
        <v/>
      </c>
      <c r="H1626" s="14">
        <f>IF(G1626&lt;15,"Low Variability",IF(G1626&lt;=35,"Moderate Variability","High Variability"))</f>
        <v/>
      </c>
      <c r="I1626" s="18">
        <f>'Raw Data'!O1626</f>
        <v/>
      </c>
      <c r="J1626" s="14">
        <f>IF(I1626=0,"No Flood",IF(I1626&lt;=0.5,"Low",IF(I1626&lt;=2,"Moderate","High")))</f>
        <v/>
      </c>
    </row>
    <row r="1627" ht="15" customHeight="1" s="12">
      <c r="A1627" s="14">
        <f>'Raw Data'!A1627</f>
        <v/>
      </c>
      <c r="B1627" s="14">
        <f>'Raw Data'!B1627</f>
        <v/>
      </c>
      <c r="C1627" s="14">
        <f>'Raw Data'!C1627</f>
        <v/>
      </c>
      <c r="D1627" s="15">
        <f>'Raw Data'!M1627</f>
        <v/>
      </c>
      <c r="E1627" s="18">
        <f>'Raw Data'!M1627/'Raw Data'!L1627*100</f>
        <v/>
      </c>
      <c r="F1627" s="14">
        <f>IF(E1627&gt;15,"Wet Year",IF(E1627&lt;-15,"Dry Year","Normal Year"))</f>
        <v/>
      </c>
      <c r="G1627" s="16">
        <f>'Raw Data'!I1627</f>
        <v/>
      </c>
      <c r="H1627" s="14">
        <f>IF(G1627&lt;15,"Low Variability",IF(G1627&lt;=35,"Moderate Variability","High Variability"))</f>
        <v/>
      </c>
      <c r="I1627" s="18">
        <f>'Raw Data'!O1627</f>
        <v/>
      </c>
      <c r="J1627" s="14">
        <f>IF(I1627=0,"No Flood",IF(I1627&lt;=0.5,"Low",IF(I1627&lt;=2,"Moderate","High")))</f>
        <v/>
      </c>
    </row>
    <row r="1628" ht="15" customHeight="1" s="12">
      <c r="A1628" s="14">
        <f>'Raw Data'!A1628</f>
        <v/>
      </c>
      <c r="B1628" s="14">
        <f>'Raw Data'!B1628</f>
        <v/>
      </c>
      <c r="C1628" s="14">
        <f>'Raw Data'!C1628</f>
        <v/>
      </c>
      <c r="D1628" s="15">
        <f>'Raw Data'!M1628</f>
        <v/>
      </c>
      <c r="E1628" s="18">
        <f>'Raw Data'!M1628/'Raw Data'!L1628*100</f>
        <v/>
      </c>
      <c r="F1628" s="14">
        <f>IF(E1628&gt;15,"Wet Year",IF(E1628&lt;-15,"Dry Year","Normal Year"))</f>
        <v/>
      </c>
      <c r="G1628" s="16">
        <f>'Raw Data'!I1628</f>
        <v/>
      </c>
      <c r="H1628" s="14">
        <f>IF(G1628&lt;15,"Low Variability",IF(G1628&lt;=35,"Moderate Variability","High Variability"))</f>
        <v/>
      </c>
      <c r="I1628" s="18">
        <f>'Raw Data'!O1628</f>
        <v/>
      </c>
      <c r="J1628" s="14">
        <f>IF(I1628=0,"No Flood",IF(I1628&lt;=0.5,"Low",IF(I1628&lt;=2,"Moderate","High")))</f>
        <v/>
      </c>
    </row>
    <row r="1629" ht="15" customHeight="1" s="12">
      <c r="A1629" s="14">
        <f>'Raw Data'!A1629</f>
        <v/>
      </c>
      <c r="B1629" s="14">
        <f>'Raw Data'!B1629</f>
        <v/>
      </c>
      <c r="C1629" s="14">
        <f>'Raw Data'!C1629</f>
        <v/>
      </c>
      <c r="D1629" s="15">
        <f>'Raw Data'!M1629</f>
        <v/>
      </c>
      <c r="E1629" s="18">
        <f>'Raw Data'!M1629/'Raw Data'!L1629*100</f>
        <v/>
      </c>
      <c r="F1629" s="14">
        <f>IF(E1629&gt;15,"Wet Year",IF(E1629&lt;-15,"Dry Year","Normal Year"))</f>
        <v/>
      </c>
      <c r="G1629" s="16">
        <f>'Raw Data'!I1629</f>
        <v/>
      </c>
      <c r="H1629" s="14">
        <f>IF(G1629&lt;15,"Low Variability",IF(G1629&lt;=35,"Moderate Variability","High Variability"))</f>
        <v/>
      </c>
      <c r="I1629" s="18">
        <f>'Raw Data'!O1629</f>
        <v/>
      </c>
      <c r="J1629" s="14">
        <f>IF(I1629=0,"No Flood",IF(I1629&lt;=0.5,"Low",IF(I1629&lt;=2,"Moderate","High")))</f>
        <v/>
      </c>
    </row>
    <row r="1630" ht="15" customHeight="1" s="12">
      <c r="A1630" s="14">
        <f>'Raw Data'!A1630</f>
        <v/>
      </c>
      <c r="B1630" s="14">
        <f>'Raw Data'!B1630</f>
        <v/>
      </c>
      <c r="C1630" s="14">
        <f>'Raw Data'!C1630</f>
        <v/>
      </c>
      <c r="D1630" s="15">
        <f>'Raw Data'!M1630</f>
        <v/>
      </c>
      <c r="E1630" s="18">
        <f>'Raw Data'!M1630/'Raw Data'!L1630*100</f>
        <v/>
      </c>
      <c r="F1630" s="14">
        <f>IF(E1630&gt;15,"Wet Year",IF(E1630&lt;-15,"Dry Year","Normal Year"))</f>
        <v/>
      </c>
      <c r="G1630" s="16">
        <f>'Raw Data'!I1630</f>
        <v/>
      </c>
      <c r="H1630" s="14">
        <f>IF(G1630&lt;15,"Low Variability",IF(G1630&lt;=35,"Moderate Variability","High Variability"))</f>
        <v/>
      </c>
      <c r="I1630" s="18">
        <f>'Raw Data'!O1630</f>
        <v/>
      </c>
      <c r="J1630" s="14">
        <f>IF(I1630=0,"No Flood",IF(I1630&lt;=0.5,"Low",IF(I1630&lt;=2,"Moderate","High")))</f>
        <v/>
      </c>
    </row>
    <row r="1631" ht="15" customHeight="1" s="12">
      <c r="A1631" s="14">
        <f>'Raw Data'!A1631</f>
        <v/>
      </c>
      <c r="B1631" s="14">
        <f>'Raw Data'!B1631</f>
        <v/>
      </c>
      <c r="C1631" s="14">
        <f>'Raw Data'!C1631</f>
        <v/>
      </c>
      <c r="D1631" s="15">
        <f>'Raw Data'!M1631</f>
        <v/>
      </c>
      <c r="E1631" s="18">
        <f>'Raw Data'!M1631/'Raw Data'!L1631*100</f>
        <v/>
      </c>
      <c r="F1631" s="14">
        <f>IF(E1631&gt;15,"Wet Year",IF(E1631&lt;-15,"Dry Year","Normal Year"))</f>
        <v/>
      </c>
      <c r="G1631" s="16">
        <f>'Raw Data'!I1631</f>
        <v/>
      </c>
      <c r="H1631" s="14">
        <f>IF(G1631&lt;15,"Low Variability",IF(G1631&lt;=35,"Moderate Variability","High Variability"))</f>
        <v/>
      </c>
      <c r="I1631" s="18">
        <f>'Raw Data'!O1631</f>
        <v/>
      </c>
      <c r="J1631" s="14">
        <f>IF(I1631=0,"No Flood",IF(I1631&lt;=0.5,"Low",IF(I1631&lt;=2,"Moderate","High")))</f>
        <v/>
      </c>
    </row>
    <row r="1632" ht="15" customHeight="1" s="12">
      <c r="A1632" s="14">
        <f>'Raw Data'!A1632</f>
        <v/>
      </c>
      <c r="B1632" s="14">
        <f>'Raw Data'!B1632</f>
        <v/>
      </c>
      <c r="C1632" s="14">
        <f>'Raw Data'!C1632</f>
        <v/>
      </c>
      <c r="D1632" s="15">
        <f>'Raw Data'!M1632</f>
        <v/>
      </c>
      <c r="E1632" s="18">
        <f>'Raw Data'!M1632/'Raw Data'!L1632*100</f>
        <v/>
      </c>
      <c r="F1632" s="14">
        <f>IF(E1632&gt;15,"Wet Year",IF(E1632&lt;-15,"Dry Year","Normal Year"))</f>
        <v/>
      </c>
      <c r="G1632" s="16">
        <f>'Raw Data'!I1632</f>
        <v/>
      </c>
      <c r="H1632" s="14">
        <f>IF(G1632&lt;15,"Low Variability",IF(G1632&lt;=35,"Moderate Variability","High Variability"))</f>
        <v/>
      </c>
      <c r="I1632" s="18">
        <f>'Raw Data'!O1632</f>
        <v/>
      </c>
      <c r="J1632" s="14">
        <f>IF(I1632=0,"No Flood",IF(I1632&lt;=0.5,"Low",IF(I1632&lt;=2,"Moderate","High")))</f>
        <v/>
      </c>
    </row>
    <row r="1633" ht="15" customHeight="1" s="12">
      <c r="A1633" s="14">
        <f>'Raw Data'!A1633</f>
        <v/>
      </c>
      <c r="B1633" s="14">
        <f>'Raw Data'!B1633</f>
        <v/>
      </c>
      <c r="C1633" s="14">
        <f>'Raw Data'!C1633</f>
        <v/>
      </c>
      <c r="D1633" s="15">
        <f>'Raw Data'!M1633</f>
        <v/>
      </c>
      <c r="E1633" s="18">
        <f>'Raw Data'!M1633/'Raw Data'!L1633*100</f>
        <v/>
      </c>
      <c r="F1633" s="14">
        <f>IF(E1633&gt;15,"Wet Year",IF(E1633&lt;-15,"Dry Year","Normal Year"))</f>
        <v/>
      </c>
      <c r="G1633" s="16">
        <f>'Raw Data'!I1633</f>
        <v/>
      </c>
      <c r="H1633" s="14">
        <f>IF(G1633&lt;15,"Low Variability",IF(G1633&lt;=35,"Moderate Variability","High Variability"))</f>
        <v/>
      </c>
      <c r="I1633" s="18">
        <f>'Raw Data'!O1633</f>
        <v/>
      </c>
      <c r="J1633" s="14">
        <f>IF(I1633=0,"No Flood",IF(I1633&lt;=0.5,"Low",IF(I1633&lt;=2,"Moderate","High")))</f>
        <v/>
      </c>
    </row>
    <row r="1634" ht="15" customHeight="1" s="12">
      <c r="A1634" s="14">
        <f>'Raw Data'!A1634</f>
        <v/>
      </c>
      <c r="B1634" s="14">
        <f>'Raw Data'!B1634</f>
        <v/>
      </c>
      <c r="C1634" s="14">
        <f>'Raw Data'!C1634</f>
        <v/>
      </c>
      <c r="D1634" s="15">
        <f>'Raw Data'!M1634</f>
        <v/>
      </c>
      <c r="E1634" s="18">
        <f>'Raw Data'!M1634/'Raw Data'!L1634*100</f>
        <v/>
      </c>
      <c r="F1634" s="14">
        <f>IF(E1634&gt;15,"Wet Year",IF(E1634&lt;-15,"Dry Year","Normal Year"))</f>
        <v/>
      </c>
      <c r="G1634" s="16">
        <f>'Raw Data'!I1634</f>
        <v/>
      </c>
      <c r="H1634" s="14">
        <f>IF(G1634&lt;15,"Low Variability",IF(G1634&lt;=35,"Moderate Variability","High Variability"))</f>
        <v/>
      </c>
      <c r="I1634" s="18">
        <f>'Raw Data'!O1634</f>
        <v/>
      </c>
      <c r="J1634" s="14">
        <f>IF(I1634=0,"No Flood",IF(I1634&lt;=0.5,"Low",IF(I1634&lt;=2,"Moderate","High")))</f>
        <v/>
      </c>
    </row>
    <row r="1635" ht="15" customHeight="1" s="12">
      <c r="A1635" s="14">
        <f>'Raw Data'!A1635</f>
        <v/>
      </c>
      <c r="B1635" s="14">
        <f>'Raw Data'!B1635</f>
        <v/>
      </c>
      <c r="C1635" s="14">
        <f>'Raw Data'!C1635</f>
        <v/>
      </c>
      <c r="D1635" s="15">
        <f>'Raw Data'!M1635</f>
        <v/>
      </c>
      <c r="E1635" s="18">
        <f>'Raw Data'!M1635/'Raw Data'!L1635*100</f>
        <v/>
      </c>
      <c r="F1635" s="14">
        <f>IF(E1635&gt;15,"Wet Year",IF(E1635&lt;-15,"Dry Year","Normal Year"))</f>
        <v/>
      </c>
      <c r="G1635" s="16">
        <f>'Raw Data'!I1635</f>
        <v/>
      </c>
      <c r="H1635" s="14">
        <f>IF(G1635&lt;15,"Low Variability",IF(G1635&lt;=35,"Moderate Variability","High Variability"))</f>
        <v/>
      </c>
      <c r="I1635" s="18">
        <f>'Raw Data'!O1635</f>
        <v/>
      </c>
      <c r="J1635" s="14">
        <f>IF(I1635=0,"No Flood",IF(I1635&lt;=0.5,"Low",IF(I1635&lt;=2,"Moderate","High")))</f>
        <v/>
      </c>
    </row>
    <row r="1636" ht="15" customHeight="1" s="12">
      <c r="A1636" s="14">
        <f>'Raw Data'!A1636</f>
        <v/>
      </c>
      <c r="B1636" s="14">
        <f>'Raw Data'!B1636</f>
        <v/>
      </c>
      <c r="C1636" s="14">
        <f>'Raw Data'!C1636</f>
        <v/>
      </c>
      <c r="D1636" s="15">
        <f>'Raw Data'!M1636</f>
        <v/>
      </c>
      <c r="E1636" s="18">
        <f>'Raw Data'!M1636/'Raw Data'!L1636*100</f>
        <v/>
      </c>
      <c r="F1636" s="14">
        <f>IF(E1636&gt;15,"Wet Year",IF(E1636&lt;-15,"Dry Year","Normal Year"))</f>
        <v/>
      </c>
      <c r="G1636" s="16">
        <f>'Raw Data'!I1636</f>
        <v/>
      </c>
      <c r="H1636" s="14">
        <f>IF(G1636&lt;15,"Low Variability",IF(G1636&lt;=35,"Moderate Variability","High Variability"))</f>
        <v/>
      </c>
      <c r="I1636" s="18">
        <f>'Raw Data'!O1636</f>
        <v/>
      </c>
      <c r="J1636" s="14">
        <f>IF(I1636=0,"No Flood",IF(I1636&lt;=0.5,"Low",IF(I1636&lt;=2,"Moderate","High")))</f>
        <v/>
      </c>
    </row>
    <row r="1637" ht="15" customHeight="1" s="12">
      <c r="A1637" s="14">
        <f>'Raw Data'!A1637</f>
        <v/>
      </c>
      <c r="B1637" s="14">
        <f>'Raw Data'!B1637</f>
        <v/>
      </c>
      <c r="C1637" s="14">
        <f>'Raw Data'!C1637</f>
        <v/>
      </c>
      <c r="D1637" s="15">
        <f>'Raw Data'!M1637</f>
        <v/>
      </c>
      <c r="E1637" s="18">
        <f>'Raw Data'!M1637/'Raw Data'!L1637*100</f>
        <v/>
      </c>
      <c r="F1637" s="14">
        <f>IF(E1637&gt;15,"Wet Year",IF(E1637&lt;-15,"Dry Year","Normal Year"))</f>
        <v/>
      </c>
      <c r="G1637" s="16">
        <f>'Raw Data'!I1637</f>
        <v/>
      </c>
      <c r="H1637" s="14">
        <f>IF(G1637&lt;15,"Low Variability",IF(G1637&lt;=35,"Moderate Variability","High Variability"))</f>
        <v/>
      </c>
      <c r="I1637" s="18">
        <f>'Raw Data'!O1637</f>
        <v/>
      </c>
      <c r="J1637" s="14">
        <f>IF(I1637=0,"No Flood",IF(I1637&lt;=0.5,"Low",IF(I1637&lt;=2,"Moderate","High")))</f>
        <v/>
      </c>
    </row>
    <row r="1638" ht="15" customHeight="1" s="12">
      <c r="A1638" s="14">
        <f>'Raw Data'!A1638</f>
        <v/>
      </c>
      <c r="B1638" s="14">
        <f>'Raw Data'!B1638</f>
        <v/>
      </c>
      <c r="C1638" s="14">
        <f>'Raw Data'!C1638</f>
        <v/>
      </c>
      <c r="D1638" s="15">
        <f>'Raw Data'!M1638</f>
        <v/>
      </c>
      <c r="E1638" s="18">
        <f>'Raw Data'!M1638/'Raw Data'!L1638*100</f>
        <v/>
      </c>
      <c r="F1638" s="14">
        <f>IF(E1638&gt;15,"Wet Year",IF(E1638&lt;-15,"Dry Year","Normal Year"))</f>
        <v/>
      </c>
      <c r="G1638" s="16">
        <f>'Raw Data'!I1638</f>
        <v/>
      </c>
      <c r="H1638" s="14">
        <f>IF(G1638&lt;15,"Low Variability",IF(G1638&lt;=35,"Moderate Variability","High Variability"))</f>
        <v/>
      </c>
      <c r="I1638" s="18">
        <f>'Raw Data'!O1638</f>
        <v/>
      </c>
      <c r="J1638" s="14">
        <f>IF(I1638=0,"No Flood",IF(I1638&lt;=0.5,"Low",IF(I1638&lt;=2,"Moderate","High")))</f>
        <v/>
      </c>
    </row>
    <row r="1639" ht="15" customHeight="1" s="12">
      <c r="A1639" s="14">
        <f>'Raw Data'!A1639</f>
        <v/>
      </c>
      <c r="B1639" s="14">
        <f>'Raw Data'!B1639</f>
        <v/>
      </c>
      <c r="C1639" s="14">
        <f>'Raw Data'!C1639</f>
        <v/>
      </c>
      <c r="D1639" s="15">
        <f>'Raw Data'!M1639</f>
        <v/>
      </c>
      <c r="E1639" s="18">
        <f>'Raw Data'!M1639/'Raw Data'!L1639*100</f>
        <v/>
      </c>
      <c r="F1639" s="14">
        <f>IF(E1639&gt;15,"Wet Year",IF(E1639&lt;-15,"Dry Year","Normal Year"))</f>
        <v/>
      </c>
      <c r="G1639" s="16">
        <f>'Raw Data'!I1639</f>
        <v/>
      </c>
      <c r="H1639" s="14">
        <f>IF(G1639&lt;15,"Low Variability",IF(G1639&lt;=35,"Moderate Variability","High Variability"))</f>
        <v/>
      </c>
      <c r="I1639" s="18">
        <f>'Raw Data'!O1639</f>
        <v/>
      </c>
      <c r="J1639" s="14">
        <f>IF(I1639=0,"No Flood",IF(I1639&lt;=0.5,"Low",IF(I1639&lt;=2,"Moderate","High")))</f>
        <v/>
      </c>
    </row>
    <row r="1640" ht="15" customHeight="1" s="12">
      <c r="A1640" s="14">
        <f>'Raw Data'!A1640</f>
        <v/>
      </c>
      <c r="B1640" s="14">
        <f>'Raw Data'!B1640</f>
        <v/>
      </c>
      <c r="C1640" s="14">
        <f>'Raw Data'!C1640</f>
        <v/>
      </c>
      <c r="D1640" s="15">
        <f>'Raw Data'!M1640</f>
        <v/>
      </c>
      <c r="E1640" s="18">
        <f>'Raw Data'!M1640/'Raw Data'!L1640*100</f>
        <v/>
      </c>
      <c r="F1640" s="14">
        <f>IF(E1640&gt;15,"Wet Year",IF(E1640&lt;-15,"Dry Year","Normal Year"))</f>
        <v/>
      </c>
      <c r="G1640" s="16">
        <f>'Raw Data'!I1640</f>
        <v/>
      </c>
      <c r="H1640" s="14">
        <f>IF(G1640&lt;15,"Low Variability",IF(G1640&lt;=35,"Moderate Variability","High Variability"))</f>
        <v/>
      </c>
      <c r="I1640" s="18">
        <f>'Raw Data'!O1640</f>
        <v/>
      </c>
      <c r="J1640" s="14">
        <f>IF(I1640=0,"No Flood",IF(I1640&lt;=0.5,"Low",IF(I1640&lt;=2,"Moderate","High")))</f>
        <v/>
      </c>
    </row>
    <row r="1641" ht="15" customHeight="1" s="12">
      <c r="A1641" s="14">
        <f>'Raw Data'!A1641</f>
        <v/>
      </c>
      <c r="B1641" s="14">
        <f>'Raw Data'!B1641</f>
        <v/>
      </c>
      <c r="C1641" s="14">
        <f>'Raw Data'!C1641</f>
        <v/>
      </c>
      <c r="D1641" s="15">
        <f>'Raw Data'!M1641</f>
        <v/>
      </c>
      <c r="E1641" s="18">
        <f>'Raw Data'!M1641/'Raw Data'!L1641*100</f>
        <v/>
      </c>
      <c r="F1641" s="14">
        <f>IF(E1641&gt;15,"Wet Year",IF(E1641&lt;-15,"Dry Year","Normal Year"))</f>
        <v/>
      </c>
      <c r="G1641" s="16">
        <f>'Raw Data'!I1641</f>
        <v/>
      </c>
      <c r="H1641" s="14">
        <f>IF(G1641&lt;15,"Low Variability",IF(G1641&lt;=35,"Moderate Variability","High Variability"))</f>
        <v/>
      </c>
      <c r="I1641" s="18">
        <f>'Raw Data'!O1641</f>
        <v/>
      </c>
      <c r="J1641" s="14">
        <f>IF(I1641=0,"No Flood",IF(I1641&lt;=0.5,"Low",IF(I1641&lt;=2,"Moderate","High")))</f>
        <v/>
      </c>
    </row>
    <row r="1642" ht="15" customHeight="1" s="12">
      <c r="A1642" s="14">
        <f>'Raw Data'!A1642</f>
        <v/>
      </c>
      <c r="B1642" s="14">
        <f>'Raw Data'!B1642</f>
        <v/>
      </c>
      <c r="C1642" s="14">
        <f>'Raw Data'!C1642</f>
        <v/>
      </c>
      <c r="D1642" s="15">
        <f>'Raw Data'!M1642</f>
        <v/>
      </c>
      <c r="E1642" s="18">
        <f>'Raw Data'!M1642/'Raw Data'!L1642*100</f>
        <v/>
      </c>
      <c r="F1642" s="14">
        <f>IF(E1642&gt;15,"Wet Year",IF(E1642&lt;-15,"Dry Year","Normal Year"))</f>
        <v/>
      </c>
      <c r="G1642" s="16">
        <f>'Raw Data'!I1642</f>
        <v/>
      </c>
      <c r="H1642" s="14">
        <f>IF(G1642&lt;15,"Low Variability",IF(G1642&lt;=35,"Moderate Variability","High Variability"))</f>
        <v/>
      </c>
      <c r="I1642" s="18">
        <f>'Raw Data'!O1642</f>
        <v/>
      </c>
      <c r="J1642" s="14">
        <f>IF(I1642=0,"No Flood",IF(I1642&lt;=0.5,"Low",IF(I1642&lt;=2,"Moderate","High")))</f>
        <v/>
      </c>
    </row>
    <row r="1643" ht="15" customHeight="1" s="12">
      <c r="A1643" s="14">
        <f>'Raw Data'!A1643</f>
        <v/>
      </c>
      <c r="B1643" s="14">
        <f>'Raw Data'!B1643</f>
        <v/>
      </c>
      <c r="C1643" s="14">
        <f>'Raw Data'!C1643</f>
        <v/>
      </c>
      <c r="D1643" s="15">
        <f>'Raw Data'!M1643</f>
        <v/>
      </c>
      <c r="E1643" s="18">
        <f>'Raw Data'!M1643/'Raw Data'!L1643*100</f>
        <v/>
      </c>
      <c r="F1643" s="14">
        <f>IF(E1643&gt;15,"Wet Year",IF(E1643&lt;-15,"Dry Year","Normal Year"))</f>
        <v/>
      </c>
      <c r="G1643" s="16">
        <f>'Raw Data'!I1643</f>
        <v/>
      </c>
      <c r="H1643" s="14">
        <f>IF(G1643&lt;15,"Low Variability",IF(G1643&lt;=35,"Moderate Variability","High Variability"))</f>
        <v/>
      </c>
      <c r="I1643" s="18">
        <f>'Raw Data'!O1643</f>
        <v/>
      </c>
      <c r="J1643" s="14">
        <f>IF(I1643=0,"No Flood",IF(I1643&lt;=0.5,"Low",IF(I1643&lt;=2,"Moderate","High")))</f>
        <v/>
      </c>
    </row>
    <row r="1644" ht="15" customHeight="1" s="12">
      <c r="A1644" s="14">
        <f>'Raw Data'!A1644</f>
        <v/>
      </c>
      <c r="B1644" s="14">
        <f>'Raw Data'!B1644</f>
        <v/>
      </c>
      <c r="C1644" s="14">
        <f>'Raw Data'!C1644</f>
        <v/>
      </c>
      <c r="D1644" s="15">
        <f>'Raw Data'!M1644</f>
        <v/>
      </c>
      <c r="E1644" s="18">
        <f>'Raw Data'!M1644/'Raw Data'!L1644*100</f>
        <v/>
      </c>
      <c r="F1644" s="14">
        <f>IF(E1644&gt;15,"Wet Year",IF(E1644&lt;-15,"Dry Year","Normal Year"))</f>
        <v/>
      </c>
      <c r="G1644" s="16">
        <f>'Raw Data'!I1644</f>
        <v/>
      </c>
      <c r="H1644" s="14">
        <f>IF(G1644&lt;15,"Low Variability",IF(G1644&lt;=35,"Moderate Variability","High Variability"))</f>
        <v/>
      </c>
      <c r="I1644" s="18">
        <f>'Raw Data'!O1644</f>
        <v/>
      </c>
      <c r="J1644" s="14">
        <f>IF(I1644=0,"No Flood",IF(I1644&lt;=0.5,"Low",IF(I1644&lt;=2,"Moderate","High")))</f>
        <v/>
      </c>
    </row>
    <row r="1645" ht="15" customHeight="1" s="12">
      <c r="A1645" s="14">
        <f>'Raw Data'!A1645</f>
        <v/>
      </c>
      <c r="B1645" s="14">
        <f>'Raw Data'!B1645</f>
        <v/>
      </c>
      <c r="C1645" s="14">
        <f>'Raw Data'!C1645</f>
        <v/>
      </c>
      <c r="D1645" s="15">
        <f>'Raw Data'!M1645</f>
        <v/>
      </c>
      <c r="E1645" s="18">
        <f>'Raw Data'!M1645/'Raw Data'!L1645*100</f>
        <v/>
      </c>
      <c r="F1645" s="14">
        <f>IF(E1645&gt;15,"Wet Year",IF(E1645&lt;-15,"Dry Year","Normal Year"))</f>
        <v/>
      </c>
      <c r="G1645" s="16">
        <f>'Raw Data'!I1645</f>
        <v/>
      </c>
      <c r="H1645" s="14">
        <f>IF(G1645&lt;15,"Low Variability",IF(G1645&lt;=35,"Moderate Variability","High Variability"))</f>
        <v/>
      </c>
      <c r="I1645" s="18">
        <f>'Raw Data'!O1645</f>
        <v/>
      </c>
      <c r="J1645" s="14">
        <f>IF(I1645=0,"No Flood",IF(I1645&lt;=0.5,"Low",IF(I1645&lt;=2,"Moderate","High")))</f>
        <v/>
      </c>
    </row>
    <row r="1646" ht="15" customHeight="1" s="12">
      <c r="A1646" s="14">
        <f>'Raw Data'!A1646</f>
        <v/>
      </c>
      <c r="B1646" s="14">
        <f>'Raw Data'!B1646</f>
        <v/>
      </c>
      <c r="C1646" s="14">
        <f>'Raw Data'!C1646</f>
        <v/>
      </c>
      <c r="D1646" s="15">
        <f>'Raw Data'!M1646</f>
        <v/>
      </c>
      <c r="E1646" s="18">
        <f>'Raw Data'!M1646/'Raw Data'!L1646*100</f>
        <v/>
      </c>
      <c r="F1646" s="14">
        <f>IF(E1646&gt;15,"Wet Year",IF(E1646&lt;-15,"Dry Year","Normal Year"))</f>
        <v/>
      </c>
      <c r="G1646" s="16">
        <f>'Raw Data'!I1646</f>
        <v/>
      </c>
      <c r="H1646" s="14">
        <f>IF(G1646&lt;15,"Low Variability",IF(G1646&lt;=35,"Moderate Variability","High Variability"))</f>
        <v/>
      </c>
      <c r="I1646" s="18">
        <f>'Raw Data'!O1646</f>
        <v/>
      </c>
      <c r="J1646" s="14">
        <f>IF(I1646=0,"No Flood",IF(I1646&lt;=0.5,"Low",IF(I1646&lt;=2,"Moderate","High")))</f>
        <v/>
      </c>
    </row>
    <row r="1647" ht="15" customHeight="1" s="12">
      <c r="A1647" s="14">
        <f>'Raw Data'!A1647</f>
        <v/>
      </c>
      <c r="B1647" s="14">
        <f>'Raw Data'!B1647</f>
        <v/>
      </c>
      <c r="C1647" s="14">
        <f>'Raw Data'!C1647</f>
        <v/>
      </c>
      <c r="D1647" s="15">
        <f>'Raw Data'!M1647</f>
        <v/>
      </c>
      <c r="E1647" s="18">
        <f>'Raw Data'!M1647/'Raw Data'!L1647*100</f>
        <v/>
      </c>
      <c r="F1647" s="14">
        <f>IF(E1647&gt;15,"Wet Year",IF(E1647&lt;-15,"Dry Year","Normal Year"))</f>
        <v/>
      </c>
      <c r="G1647" s="16">
        <f>'Raw Data'!I1647</f>
        <v/>
      </c>
      <c r="H1647" s="14">
        <f>IF(G1647&lt;15,"Low Variability",IF(G1647&lt;=35,"Moderate Variability","High Variability"))</f>
        <v/>
      </c>
      <c r="I1647" s="18">
        <f>'Raw Data'!O1647</f>
        <v/>
      </c>
      <c r="J1647" s="14">
        <f>IF(I1647=0,"No Flood",IF(I1647&lt;=0.5,"Low",IF(I1647&lt;=2,"Moderate","High")))</f>
        <v/>
      </c>
    </row>
    <row r="1648" ht="15" customHeight="1" s="12">
      <c r="A1648" s="14">
        <f>'Raw Data'!A1648</f>
        <v/>
      </c>
      <c r="B1648" s="14">
        <f>'Raw Data'!B1648</f>
        <v/>
      </c>
      <c r="C1648" s="14">
        <f>'Raw Data'!C1648</f>
        <v/>
      </c>
      <c r="D1648" s="15">
        <f>'Raw Data'!M1648</f>
        <v/>
      </c>
      <c r="E1648" s="18">
        <f>'Raw Data'!M1648/'Raw Data'!L1648*100</f>
        <v/>
      </c>
      <c r="F1648" s="14">
        <f>IF(E1648&gt;15,"Wet Year",IF(E1648&lt;-15,"Dry Year","Normal Year"))</f>
        <v/>
      </c>
      <c r="G1648" s="16">
        <f>'Raw Data'!I1648</f>
        <v/>
      </c>
      <c r="H1648" s="14">
        <f>IF(G1648&lt;15,"Low Variability",IF(G1648&lt;=35,"Moderate Variability","High Variability"))</f>
        <v/>
      </c>
      <c r="I1648" s="18">
        <f>'Raw Data'!O1648</f>
        <v/>
      </c>
      <c r="J1648" s="14">
        <f>IF(I1648=0,"No Flood",IF(I1648&lt;=0.5,"Low",IF(I1648&lt;=2,"Moderate","High")))</f>
        <v/>
      </c>
    </row>
    <row r="1649" ht="15" customHeight="1" s="12">
      <c r="A1649" s="14">
        <f>'Raw Data'!A1649</f>
        <v/>
      </c>
      <c r="B1649" s="14">
        <f>'Raw Data'!B1649</f>
        <v/>
      </c>
      <c r="C1649" s="14">
        <f>'Raw Data'!C1649</f>
        <v/>
      </c>
      <c r="D1649" s="15">
        <f>'Raw Data'!M1649</f>
        <v/>
      </c>
      <c r="E1649" s="18">
        <f>'Raw Data'!M1649/'Raw Data'!L1649*100</f>
        <v/>
      </c>
      <c r="F1649" s="14">
        <f>IF(E1649&gt;15,"Wet Year",IF(E1649&lt;-15,"Dry Year","Normal Year"))</f>
        <v/>
      </c>
      <c r="G1649" s="16">
        <f>'Raw Data'!I1649</f>
        <v/>
      </c>
      <c r="H1649" s="14">
        <f>IF(G1649&lt;15,"Low Variability",IF(G1649&lt;=35,"Moderate Variability","High Variability"))</f>
        <v/>
      </c>
      <c r="I1649" s="18">
        <f>'Raw Data'!O1649</f>
        <v/>
      </c>
      <c r="J1649" s="14">
        <f>IF(I1649=0,"No Flood",IF(I1649&lt;=0.5,"Low",IF(I1649&lt;=2,"Moderate","High")))</f>
        <v/>
      </c>
    </row>
    <row r="1650" ht="15" customHeight="1" s="12">
      <c r="A1650" s="14">
        <f>'Raw Data'!A1650</f>
        <v/>
      </c>
      <c r="B1650" s="14">
        <f>'Raw Data'!B1650</f>
        <v/>
      </c>
      <c r="C1650" s="14">
        <f>'Raw Data'!C1650</f>
        <v/>
      </c>
      <c r="D1650" s="15">
        <f>'Raw Data'!M1650</f>
        <v/>
      </c>
      <c r="E1650" s="18">
        <f>'Raw Data'!M1650/'Raw Data'!L1650*100</f>
        <v/>
      </c>
      <c r="F1650" s="14">
        <f>IF(E1650&gt;15,"Wet Year",IF(E1650&lt;-15,"Dry Year","Normal Year"))</f>
        <v/>
      </c>
      <c r="G1650" s="16">
        <f>'Raw Data'!I1650</f>
        <v/>
      </c>
      <c r="H1650" s="14">
        <f>IF(G1650&lt;15,"Low Variability",IF(G1650&lt;=35,"Moderate Variability","High Variability"))</f>
        <v/>
      </c>
      <c r="I1650" s="18">
        <f>'Raw Data'!O1650</f>
        <v/>
      </c>
      <c r="J1650" s="14">
        <f>IF(I1650=0,"No Flood",IF(I1650&lt;=0.5,"Low",IF(I1650&lt;=2,"Moderate","High")))</f>
        <v/>
      </c>
    </row>
    <row r="1651" ht="15" customHeight="1" s="12">
      <c r="A1651" s="14">
        <f>'Raw Data'!A1651</f>
        <v/>
      </c>
      <c r="B1651" s="14">
        <f>'Raw Data'!B1651</f>
        <v/>
      </c>
      <c r="C1651" s="14">
        <f>'Raw Data'!C1651</f>
        <v/>
      </c>
      <c r="D1651" s="15">
        <f>'Raw Data'!M1651</f>
        <v/>
      </c>
      <c r="E1651" s="18">
        <f>'Raw Data'!M1651/'Raw Data'!L1651*100</f>
        <v/>
      </c>
      <c r="F1651" s="14">
        <f>IF(E1651&gt;15,"Wet Year",IF(E1651&lt;-15,"Dry Year","Normal Year"))</f>
        <v/>
      </c>
      <c r="G1651" s="16">
        <f>'Raw Data'!I1651</f>
        <v/>
      </c>
      <c r="H1651" s="14">
        <f>IF(G1651&lt;15,"Low Variability",IF(G1651&lt;=35,"Moderate Variability","High Variability"))</f>
        <v/>
      </c>
      <c r="I1651" s="18">
        <f>'Raw Data'!O1651</f>
        <v/>
      </c>
      <c r="J1651" s="14">
        <f>IF(I1651=0,"No Flood",IF(I1651&lt;=0.5,"Low",IF(I1651&lt;=2,"Moderate","High")))</f>
        <v/>
      </c>
    </row>
    <row r="1652" ht="15" customHeight="1" s="12">
      <c r="A1652" s="14">
        <f>'Raw Data'!A1652</f>
        <v/>
      </c>
      <c r="B1652" s="14">
        <f>'Raw Data'!B1652</f>
        <v/>
      </c>
      <c r="C1652" s="14">
        <f>'Raw Data'!C1652</f>
        <v/>
      </c>
      <c r="D1652" s="15">
        <f>'Raw Data'!M1652</f>
        <v/>
      </c>
      <c r="E1652" s="18">
        <f>'Raw Data'!M1652/'Raw Data'!L1652*100</f>
        <v/>
      </c>
      <c r="F1652" s="14">
        <f>IF(E1652&gt;15,"Wet Year",IF(E1652&lt;-15,"Dry Year","Normal Year"))</f>
        <v/>
      </c>
      <c r="G1652" s="16">
        <f>'Raw Data'!I1652</f>
        <v/>
      </c>
      <c r="H1652" s="14">
        <f>IF(G1652&lt;15,"Low Variability",IF(G1652&lt;=35,"Moderate Variability","High Variability"))</f>
        <v/>
      </c>
      <c r="I1652" s="18">
        <f>'Raw Data'!O1652</f>
        <v/>
      </c>
      <c r="J1652" s="14">
        <f>IF(I1652=0,"No Flood",IF(I1652&lt;=0.5,"Low",IF(I1652&lt;=2,"Moderate","High")))</f>
        <v/>
      </c>
    </row>
    <row r="1653" ht="15" customHeight="1" s="12">
      <c r="A1653" s="14">
        <f>'Raw Data'!A1653</f>
        <v/>
      </c>
      <c r="B1653" s="14">
        <f>'Raw Data'!B1653</f>
        <v/>
      </c>
      <c r="C1653" s="14">
        <f>'Raw Data'!C1653</f>
        <v/>
      </c>
      <c r="D1653" s="15">
        <f>'Raw Data'!M1653</f>
        <v/>
      </c>
      <c r="E1653" s="18">
        <f>'Raw Data'!M1653/'Raw Data'!L1653*100</f>
        <v/>
      </c>
      <c r="F1653" s="14">
        <f>IF(E1653&gt;15,"Wet Year",IF(E1653&lt;-15,"Dry Year","Normal Year"))</f>
        <v/>
      </c>
      <c r="G1653" s="16">
        <f>'Raw Data'!I1653</f>
        <v/>
      </c>
      <c r="H1653" s="14">
        <f>IF(G1653&lt;15,"Low Variability",IF(G1653&lt;=35,"Moderate Variability","High Variability"))</f>
        <v/>
      </c>
      <c r="I1653" s="18">
        <f>'Raw Data'!O1653</f>
        <v/>
      </c>
      <c r="J1653" s="14">
        <f>IF(I1653=0,"No Flood",IF(I1653&lt;=0.5,"Low",IF(I1653&lt;=2,"Moderate","High")))</f>
        <v/>
      </c>
    </row>
    <row r="1654" ht="15" customHeight="1" s="12">
      <c r="A1654" s="14">
        <f>'Raw Data'!A1654</f>
        <v/>
      </c>
      <c r="B1654" s="14">
        <f>'Raw Data'!B1654</f>
        <v/>
      </c>
      <c r="C1654" s="14">
        <f>'Raw Data'!C1654</f>
        <v/>
      </c>
      <c r="D1654" s="15">
        <f>'Raw Data'!M1654</f>
        <v/>
      </c>
      <c r="E1654" s="18">
        <f>'Raw Data'!M1654/'Raw Data'!L1654*100</f>
        <v/>
      </c>
      <c r="F1654" s="14">
        <f>IF(E1654&gt;15,"Wet Year",IF(E1654&lt;-15,"Dry Year","Normal Year"))</f>
        <v/>
      </c>
      <c r="G1654" s="16">
        <f>'Raw Data'!I1654</f>
        <v/>
      </c>
      <c r="H1654" s="14">
        <f>IF(G1654&lt;15,"Low Variability",IF(G1654&lt;=35,"Moderate Variability","High Variability"))</f>
        <v/>
      </c>
      <c r="I1654" s="18">
        <f>'Raw Data'!O1654</f>
        <v/>
      </c>
      <c r="J1654" s="14">
        <f>IF(I1654=0,"No Flood",IF(I1654&lt;=0.5,"Low",IF(I1654&lt;=2,"Moderate","High")))</f>
        <v/>
      </c>
    </row>
    <row r="1655" ht="15" customHeight="1" s="12">
      <c r="A1655" s="14">
        <f>'Raw Data'!A1655</f>
        <v/>
      </c>
      <c r="B1655" s="14">
        <f>'Raw Data'!B1655</f>
        <v/>
      </c>
      <c r="C1655" s="14">
        <f>'Raw Data'!C1655</f>
        <v/>
      </c>
      <c r="D1655" s="15">
        <f>'Raw Data'!M1655</f>
        <v/>
      </c>
      <c r="E1655" s="18">
        <f>'Raw Data'!M1655/'Raw Data'!L1655*100</f>
        <v/>
      </c>
      <c r="F1655" s="14">
        <f>IF(E1655&gt;15,"Wet Year",IF(E1655&lt;-15,"Dry Year","Normal Year"))</f>
        <v/>
      </c>
      <c r="G1655" s="16">
        <f>'Raw Data'!I1655</f>
        <v/>
      </c>
      <c r="H1655" s="14">
        <f>IF(G1655&lt;15,"Low Variability",IF(G1655&lt;=35,"Moderate Variability","High Variability"))</f>
        <v/>
      </c>
      <c r="I1655" s="18">
        <f>'Raw Data'!O1655</f>
        <v/>
      </c>
      <c r="J1655" s="14">
        <f>IF(I1655=0,"No Flood",IF(I1655&lt;=0.5,"Low",IF(I1655&lt;=2,"Moderate","High")))</f>
        <v/>
      </c>
    </row>
    <row r="1656" ht="15" customHeight="1" s="12">
      <c r="A1656" s="14">
        <f>'Raw Data'!A1656</f>
        <v/>
      </c>
      <c r="B1656" s="14">
        <f>'Raw Data'!B1656</f>
        <v/>
      </c>
      <c r="C1656" s="14">
        <f>'Raw Data'!C1656</f>
        <v/>
      </c>
      <c r="D1656" s="15">
        <f>'Raw Data'!M1656</f>
        <v/>
      </c>
      <c r="E1656" s="18">
        <f>'Raw Data'!M1656/'Raw Data'!L1656*100</f>
        <v/>
      </c>
      <c r="F1656" s="14">
        <f>IF(E1656&gt;15,"Wet Year",IF(E1656&lt;-15,"Dry Year","Normal Year"))</f>
        <v/>
      </c>
      <c r="G1656" s="16">
        <f>'Raw Data'!I1656</f>
        <v/>
      </c>
      <c r="H1656" s="14">
        <f>IF(G1656&lt;15,"Low Variability",IF(G1656&lt;=35,"Moderate Variability","High Variability"))</f>
        <v/>
      </c>
      <c r="I1656" s="18">
        <f>'Raw Data'!O1656</f>
        <v/>
      </c>
      <c r="J1656" s="14">
        <f>IF(I1656=0,"No Flood",IF(I1656&lt;=0.5,"Low",IF(I1656&lt;=2,"Moderate","High")))</f>
        <v/>
      </c>
    </row>
    <row r="1657" ht="15" customHeight="1" s="12">
      <c r="A1657" s="14">
        <f>'Raw Data'!A1657</f>
        <v/>
      </c>
      <c r="B1657" s="14">
        <f>'Raw Data'!B1657</f>
        <v/>
      </c>
      <c r="C1657" s="14">
        <f>'Raw Data'!C1657</f>
        <v/>
      </c>
      <c r="D1657" s="15">
        <f>'Raw Data'!M1657</f>
        <v/>
      </c>
      <c r="E1657" s="18">
        <f>'Raw Data'!M1657/'Raw Data'!L1657*100</f>
        <v/>
      </c>
      <c r="F1657" s="14">
        <f>IF(E1657&gt;15,"Wet Year",IF(E1657&lt;-15,"Dry Year","Normal Year"))</f>
        <v/>
      </c>
      <c r="G1657" s="16">
        <f>'Raw Data'!I1657</f>
        <v/>
      </c>
      <c r="H1657" s="14">
        <f>IF(G1657&lt;15,"Low Variability",IF(G1657&lt;=35,"Moderate Variability","High Variability"))</f>
        <v/>
      </c>
      <c r="I1657" s="18">
        <f>'Raw Data'!O1657</f>
        <v/>
      </c>
      <c r="J1657" s="14">
        <f>IF(I1657=0,"No Flood",IF(I1657&lt;=0.5,"Low",IF(I1657&lt;=2,"Moderate","High")))</f>
        <v/>
      </c>
    </row>
    <row r="1658" ht="15" customHeight="1" s="12">
      <c r="A1658" s="14">
        <f>'Raw Data'!A1658</f>
        <v/>
      </c>
      <c r="B1658" s="14">
        <f>'Raw Data'!B1658</f>
        <v/>
      </c>
      <c r="C1658" s="14">
        <f>'Raw Data'!C1658</f>
        <v/>
      </c>
      <c r="D1658" s="15">
        <f>'Raw Data'!M1658</f>
        <v/>
      </c>
      <c r="E1658" s="18">
        <f>'Raw Data'!M1658/'Raw Data'!L1658*100</f>
        <v/>
      </c>
      <c r="F1658" s="14">
        <f>IF(E1658&gt;15,"Wet Year",IF(E1658&lt;-15,"Dry Year","Normal Year"))</f>
        <v/>
      </c>
      <c r="G1658" s="16">
        <f>'Raw Data'!I1658</f>
        <v/>
      </c>
      <c r="H1658" s="14">
        <f>IF(G1658&lt;15,"Low Variability",IF(G1658&lt;=35,"Moderate Variability","High Variability"))</f>
        <v/>
      </c>
      <c r="I1658" s="18">
        <f>'Raw Data'!O1658</f>
        <v/>
      </c>
      <c r="J1658" s="14">
        <f>IF(I1658=0,"No Flood",IF(I1658&lt;=0.5,"Low",IF(I1658&lt;=2,"Moderate","High")))</f>
        <v/>
      </c>
    </row>
    <row r="1659" ht="15" customHeight="1" s="12">
      <c r="A1659" s="14">
        <f>'Raw Data'!A1659</f>
        <v/>
      </c>
      <c r="B1659" s="14">
        <f>'Raw Data'!B1659</f>
        <v/>
      </c>
      <c r="C1659" s="14">
        <f>'Raw Data'!C1659</f>
        <v/>
      </c>
      <c r="D1659" s="15">
        <f>'Raw Data'!M1659</f>
        <v/>
      </c>
      <c r="E1659" s="18">
        <f>'Raw Data'!M1659/'Raw Data'!L1659*100</f>
        <v/>
      </c>
      <c r="F1659" s="14">
        <f>IF(E1659&gt;15,"Wet Year",IF(E1659&lt;-15,"Dry Year","Normal Year"))</f>
        <v/>
      </c>
      <c r="G1659" s="16">
        <f>'Raw Data'!I1659</f>
        <v/>
      </c>
      <c r="H1659" s="14">
        <f>IF(G1659&lt;15,"Low Variability",IF(G1659&lt;=35,"Moderate Variability","High Variability"))</f>
        <v/>
      </c>
      <c r="I1659" s="18">
        <f>'Raw Data'!O1659</f>
        <v/>
      </c>
      <c r="J1659" s="14">
        <f>IF(I1659=0,"No Flood",IF(I1659&lt;=0.5,"Low",IF(I1659&lt;=2,"Moderate","High")))</f>
        <v/>
      </c>
    </row>
    <row r="1660" ht="15" customHeight="1" s="12">
      <c r="A1660" s="14">
        <f>'Raw Data'!A1660</f>
        <v/>
      </c>
      <c r="B1660" s="14">
        <f>'Raw Data'!B1660</f>
        <v/>
      </c>
      <c r="C1660" s="14">
        <f>'Raw Data'!C1660</f>
        <v/>
      </c>
      <c r="D1660" s="15">
        <f>'Raw Data'!M1660</f>
        <v/>
      </c>
      <c r="E1660" s="18">
        <f>'Raw Data'!M1660/'Raw Data'!L1660*100</f>
        <v/>
      </c>
      <c r="F1660" s="14">
        <f>IF(E1660&gt;15,"Wet Year",IF(E1660&lt;-15,"Dry Year","Normal Year"))</f>
        <v/>
      </c>
      <c r="G1660" s="16">
        <f>'Raw Data'!I1660</f>
        <v/>
      </c>
      <c r="H1660" s="14">
        <f>IF(G1660&lt;15,"Low Variability",IF(G1660&lt;=35,"Moderate Variability","High Variability"))</f>
        <v/>
      </c>
      <c r="I1660" s="18">
        <f>'Raw Data'!O1660</f>
        <v/>
      </c>
      <c r="J1660" s="14">
        <f>IF(I1660=0,"No Flood",IF(I1660&lt;=0.5,"Low",IF(I1660&lt;=2,"Moderate","High")))</f>
        <v/>
      </c>
    </row>
    <row r="1661" ht="15" customHeight="1" s="12">
      <c r="A1661" s="14">
        <f>'Raw Data'!A1661</f>
        <v/>
      </c>
      <c r="B1661" s="14">
        <f>'Raw Data'!B1661</f>
        <v/>
      </c>
      <c r="C1661" s="14">
        <f>'Raw Data'!C1661</f>
        <v/>
      </c>
      <c r="D1661" s="15">
        <f>'Raw Data'!M1661</f>
        <v/>
      </c>
      <c r="E1661" s="18">
        <f>'Raw Data'!M1661/'Raw Data'!L1661*100</f>
        <v/>
      </c>
      <c r="F1661" s="14">
        <f>IF(E1661&gt;15,"Wet Year",IF(E1661&lt;-15,"Dry Year","Normal Year"))</f>
        <v/>
      </c>
      <c r="G1661" s="16">
        <f>'Raw Data'!I1661</f>
        <v/>
      </c>
      <c r="H1661" s="14">
        <f>IF(G1661&lt;15,"Low Variability",IF(G1661&lt;=35,"Moderate Variability","High Variability"))</f>
        <v/>
      </c>
      <c r="I1661" s="18">
        <f>'Raw Data'!O1661</f>
        <v/>
      </c>
      <c r="J1661" s="14">
        <f>IF(I1661=0,"No Flood",IF(I1661&lt;=0.5,"Low",IF(I1661&lt;=2,"Moderate","High")))</f>
        <v/>
      </c>
    </row>
    <row r="1662" ht="15" customHeight="1" s="12">
      <c r="A1662" s="14">
        <f>'Raw Data'!A1662</f>
        <v/>
      </c>
      <c r="B1662" s="14">
        <f>'Raw Data'!B1662</f>
        <v/>
      </c>
      <c r="C1662" s="14">
        <f>'Raw Data'!C1662</f>
        <v/>
      </c>
      <c r="D1662" s="15">
        <f>'Raw Data'!M1662</f>
        <v/>
      </c>
      <c r="E1662" s="18">
        <f>'Raw Data'!M1662/'Raw Data'!L1662*100</f>
        <v/>
      </c>
      <c r="F1662" s="14">
        <f>IF(E1662&gt;15,"Wet Year",IF(E1662&lt;-15,"Dry Year","Normal Year"))</f>
        <v/>
      </c>
      <c r="G1662" s="16">
        <f>'Raw Data'!I1662</f>
        <v/>
      </c>
      <c r="H1662" s="14">
        <f>IF(G1662&lt;15,"Low Variability",IF(G1662&lt;=35,"Moderate Variability","High Variability"))</f>
        <v/>
      </c>
      <c r="I1662" s="18">
        <f>'Raw Data'!O1662</f>
        <v/>
      </c>
      <c r="J1662" s="14">
        <f>IF(I1662=0,"No Flood",IF(I1662&lt;=0.5,"Low",IF(I1662&lt;=2,"Moderate","High")))</f>
        <v/>
      </c>
    </row>
    <row r="1663" ht="15" customHeight="1" s="12">
      <c r="A1663" s="14">
        <f>'Raw Data'!A1663</f>
        <v/>
      </c>
      <c r="B1663" s="14">
        <f>'Raw Data'!B1663</f>
        <v/>
      </c>
      <c r="C1663" s="14">
        <f>'Raw Data'!C1663</f>
        <v/>
      </c>
      <c r="D1663" s="15">
        <f>'Raw Data'!M1663</f>
        <v/>
      </c>
      <c r="E1663" s="18">
        <f>'Raw Data'!M1663/'Raw Data'!L1663*100</f>
        <v/>
      </c>
      <c r="F1663" s="14">
        <f>IF(E1663&gt;15,"Wet Year",IF(E1663&lt;-15,"Dry Year","Normal Year"))</f>
        <v/>
      </c>
      <c r="G1663" s="16">
        <f>'Raw Data'!I1663</f>
        <v/>
      </c>
      <c r="H1663" s="14">
        <f>IF(G1663&lt;15,"Low Variability",IF(G1663&lt;=35,"Moderate Variability","High Variability"))</f>
        <v/>
      </c>
      <c r="I1663" s="18">
        <f>'Raw Data'!O1663</f>
        <v/>
      </c>
      <c r="J1663" s="14">
        <f>IF(I1663=0,"No Flood",IF(I1663&lt;=0.5,"Low",IF(I1663&lt;=2,"Moderate","High")))</f>
        <v/>
      </c>
    </row>
    <row r="1664" ht="15" customHeight="1" s="12">
      <c r="A1664" s="14">
        <f>'Raw Data'!A1664</f>
        <v/>
      </c>
      <c r="B1664" s="14">
        <f>'Raw Data'!B1664</f>
        <v/>
      </c>
      <c r="C1664" s="14">
        <f>'Raw Data'!C1664</f>
        <v/>
      </c>
      <c r="D1664" s="15">
        <f>'Raw Data'!M1664</f>
        <v/>
      </c>
      <c r="E1664" s="18">
        <f>'Raw Data'!M1664/'Raw Data'!L1664*100</f>
        <v/>
      </c>
      <c r="F1664" s="14">
        <f>IF(E1664&gt;15,"Wet Year",IF(E1664&lt;-15,"Dry Year","Normal Year"))</f>
        <v/>
      </c>
      <c r="G1664" s="16">
        <f>'Raw Data'!I1664</f>
        <v/>
      </c>
      <c r="H1664" s="14">
        <f>IF(G1664&lt;15,"Low Variability",IF(G1664&lt;=35,"Moderate Variability","High Variability"))</f>
        <v/>
      </c>
      <c r="I1664" s="18">
        <f>'Raw Data'!O1664</f>
        <v/>
      </c>
      <c r="J1664" s="14">
        <f>IF(I1664=0,"No Flood",IF(I1664&lt;=0.5,"Low",IF(I1664&lt;=2,"Moderate","High")))</f>
        <v/>
      </c>
    </row>
    <row r="1665" ht="15" customHeight="1" s="12">
      <c r="A1665" s="14">
        <f>'Raw Data'!A1665</f>
        <v/>
      </c>
      <c r="B1665" s="14">
        <f>'Raw Data'!B1665</f>
        <v/>
      </c>
      <c r="C1665" s="14">
        <f>'Raw Data'!C1665</f>
        <v/>
      </c>
      <c r="D1665" s="15">
        <f>'Raw Data'!M1665</f>
        <v/>
      </c>
      <c r="E1665" s="18">
        <f>'Raw Data'!M1665/'Raw Data'!L1665*100</f>
        <v/>
      </c>
      <c r="F1665" s="14">
        <f>IF(E1665&gt;15,"Wet Year",IF(E1665&lt;-15,"Dry Year","Normal Year"))</f>
        <v/>
      </c>
      <c r="G1665" s="16">
        <f>'Raw Data'!I1665</f>
        <v/>
      </c>
      <c r="H1665" s="14">
        <f>IF(G1665&lt;15,"Low Variability",IF(G1665&lt;=35,"Moderate Variability","High Variability"))</f>
        <v/>
      </c>
      <c r="I1665" s="18">
        <f>'Raw Data'!O1665</f>
        <v/>
      </c>
      <c r="J1665" s="14">
        <f>IF(I1665=0,"No Flood",IF(I1665&lt;=0.5,"Low",IF(I1665&lt;=2,"Moderate","High")))</f>
        <v/>
      </c>
    </row>
    <row r="1666" ht="15" customHeight="1" s="12">
      <c r="A1666" s="14">
        <f>'Raw Data'!A1666</f>
        <v/>
      </c>
      <c r="B1666" s="14">
        <f>'Raw Data'!B1666</f>
        <v/>
      </c>
      <c r="C1666" s="14">
        <f>'Raw Data'!C1666</f>
        <v/>
      </c>
      <c r="D1666" s="15">
        <f>'Raw Data'!M1666</f>
        <v/>
      </c>
      <c r="E1666" s="18">
        <f>'Raw Data'!M1666/'Raw Data'!L1666*100</f>
        <v/>
      </c>
      <c r="F1666" s="14">
        <f>IF(E1666&gt;15,"Wet Year",IF(E1666&lt;-15,"Dry Year","Normal Year"))</f>
        <v/>
      </c>
      <c r="G1666" s="16">
        <f>'Raw Data'!I1666</f>
        <v/>
      </c>
      <c r="H1666" s="14">
        <f>IF(G1666&lt;15,"Low Variability",IF(G1666&lt;=35,"Moderate Variability","High Variability"))</f>
        <v/>
      </c>
      <c r="I1666" s="18">
        <f>'Raw Data'!O1666</f>
        <v/>
      </c>
      <c r="J1666" s="14">
        <f>IF(I1666=0,"No Flood",IF(I1666&lt;=0.5,"Low",IF(I1666&lt;=2,"Moderate","High")))</f>
        <v/>
      </c>
    </row>
    <row r="1667" ht="15" customHeight="1" s="12">
      <c r="A1667" s="14">
        <f>'Raw Data'!A1667</f>
        <v/>
      </c>
      <c r="B1667" s="14">
        <f>'Raw Data'!B1667</f>
        <v/>
      </c>
      <c r="C1667" s="14">
        <f>'Raw Data'!C1667</f>
        <v/>
      </c>
      <c r="D1667" s="15">
        <f>'Raw Data'!M1667</f>
        <v/>
      </c>
      <c r="E1667" s="18">
        <f>'Raw Data'!M1667/'Raw Data'!L1667*100</f>
        <v/>
      </c>
      <c r="F1667" s="14">
        <f>IF(E1667&gt;15,"Wet Year",IF(E1667&lt;-15,"Dry Year","Normal Year"))</f>
        <v/>
      </c>
      <c r="G1667" s="16">
        <f>'Raw Data'!I1667</f>
        <v/>
      </c>
      <c r="H1667" s="14">
        <f>IF(G1667&lt;15,"Low Variability",IF(G1667&lt;=35,"Moderate Variability","High Variability"))</f>
        <v/>
      </c>
      <c r="I1667" s="18">
        <f>'Raw Data'!O1667</f>
        <v/>
      </c>
      <c r="J1667" s="14">
        <f>IF(I1667=0,"No Flood",IF(I1667&lt;=0.5,"Low",IF(I1667&lt;=2,"Moderate","High")))</f>
        <v/>
      </c>
    </row>
    <row r="1668" ht="15" customHeight="1" s="12">
      <c r="A1668" s="14">
        <f>'Raw Data'!A1668</f>
        <v/>
      </c>
      <c r="B1668" s="14">
        <f>'Raw Data'!B1668</f>
        <v/>
      </c>
      <c r="C1668" s="14">
        <f>'Raw Data'!C1668</f>
        <v/>
      </c>
      <c r="D1668" s="15">
        <f>'Raw Data'!M1668</f>
        <v/>
      </c>
      <c r="E1668" s="18">
        <f>'Raw Data'!M1668/'Raw Data'!L1668*100</f>
        <v/>
      </c>
      <c r="F1668" s="14">
        <f>IF(E1668&gt;15,"Wet Year",IF(E1668&lt;-15,"Dry Year","Normal Year"))</f>
        <v/>
      </c>
      <c r="G1668" s="16">
        <f>'Raw Data'!I1668</f>
        <v/>
      </c>
      <c r="H1668" s="14">
        <f>IF(G1668&lt;15,"Low Variability",IF(G1668&lt;=35,"Moderate Variability","High Variability"))</f>
        <v/>
      </c>
      <c r="I1668" s="18">
        <f>'Raw Data'!O1668</f>
        <v/>
      </c>
      <c r="J1668" s="14">
        <f>IF(I1668=0,"No Flood",IF(I1668&lt;=0.5,"Low",IF(I1668&lt;=2,"Moderate","High")))</f>
        <v/>
      </c>
    </row>
    <row r="1669" ht="15" customHeight="1" s="12">
      <c r="A1669" s="14">
        <f>'Raw Data'!A1669</f>
        <v/>
      </c>
      <c r="B1669" s="14">
        <f>'Raw Data'!B1669</f>
        <v/>
      </c>
      <c r="C1669" s="14">
        <f>'Raw Data'!C1669</f>
        <v/>
      </c>
      <c r="D1669" s="15">
        <f>'Raw Data'!M1669</f>
        <v/>
      </c>
      <c r="E1669" s="18">
        <f>'Raw Data'!M1669/'Raw Data'!L1669*100</f>
        <v/>
      </c>
      <c r="F1669" s="14">
        <f>IF(E1669&gt;15,"Wet Year",IF(E1669&lt;-15,"Dry Year","Normal Year"))</f>
        <v/>
      </c>
      <c r="G1669" s="16">
        <f>'Raw Data'!I1669</f>
        <v/>
      </c>
      <c r="H1669" s="14">
        <f>IF(G1669&lt;15,"Low Variability",IF(G1669&lt;=35,"Moderate Variability","High Variability"))</f>
        <v/>
      </c>
      <c r="I1669" s="18">
        <f>'Raw Data'!O1669</f>
        <v/>
      </c>
      <c r="J1669" s="14">
        <f>IF(I1669=0,"No Flood",IF(I1669&lt;=0.5,"Low",IF(I1669&lt;=2,"Moderate","High")))</f>
        <v/>
      </c>
    </row>
    <row r="1670" ht="15" customHeight="1" s="12">
      <c r="A1670" s="14">
        <f>'Raw Data'!A1670</f>
        <v/>
      </c>
      <c r="B1670" s="14">
        <f>'Raw Data'!B1670</f>
        <v/>
      </c>
      <c r="C1670" s="14">
        <f>'Raw Data'!C1670</f>
        <v/>
      </c>
      <c r="D1670" s="15">
        <f>'Raw Data'!M1670</f>
        <v/>
      </c>
      <c r="E1670" s="18">
        <f>'Raw Data'!M1670/'Raw Data'!L1670*100</f>
        <v/>
      </c>
      <c r="F1670" s="14">
        <f>IF(E1670&gt;15,"Wet Year",IF(E1670&lt;-15,"Dry Year","Normal Year"))</f>
        <v/>
      </c>
      <c r="G1670" s="16">
        <f>'Raw Data'!I1670</f>
        <v/>
      </c>
      <c r="H1670" s="14">
        <f>IF(G1670&lt;15,"Low Variability",IF(G1670&lt;=35,"Moderate Variability","High Variability"))</f>
        <v/>
      </c>
      <c r="I1670" s="18">
        <f>'Raw Data'!O1670</f>
        <v/>
      </c>
      <c r="J1670" s="14">
        <f>IF(I1670=0,"No Flood",IF(I1670&lt;=0.5,"Low",IF(I1670&lt;=2,"Moderate","High")))</f>
        <v/>
      </c>
    </row>
    <row r="1671" ht="15" customHeight="1" s="12">
      <c r="A1671" s="14">
        <f>'Raw Data'!A1671</f>
        <v/>
      </c>
      <c r="B1671" s="14">
        <f>'Raw Data'!B1671</f>
        <v/>
      </c>
      <c r="C1671" s="14">
        <f>'Raw Data'!C1671</f>
        <v/>
      </c>
      <c r="D1671" s="15">
        <f>'Raw Data'!M1671</f>
        <v/>
      </c>
      <c r="E1671" s="18">
        <f>'Raw Data'!M1671/'Raw Data'!L1671*100</f>
        <v/>
      </c>
      <c r="F1671" s="14">
        <f>IF(E1671&gt;15,"Wet Year",IF(E1671&lt;-15,"Dry Year","Normal Year"))</f>
        <v/>
      </c>
      <c r="G1671" s="16">
        <f>'Raw Data'!I1671</f>
        <v/>
      </c>
      <c r="H1671" s="14">
        <f>IF(G1671&lt;15,"Low Variability",IF(G1671&lt;=35,"Moderate Variability","High Variability"))</f>
        <v/>
      </c>
      <c r="I1671" s="18">
        <f>'Raw Data'!O1671</f>
        <v/>
      </c>
      <c r="J1671" s="14">
        <f>IF(I1671=0,"No Flood",IF(I1671&lt;=0.5,"Low",IF(I1671&lt;=2,"Moderate","High")))</f>
        <v/>
      </c>
    </row>
    <row r="1672" ht="15" customHeight="1" s="12">
      <c r="A1672" s="14">
        <f>'Raw Data'!A1672</f>
        <v/>
      </c>
      <c r="B1672" s="14">
        <f>'Raw Data'!B1672</f>
        <v/>
      </c>
      <c r="C1672" s="14">
        <f>'Raw Data'!C1672</f>
        <v/>
      </c>
      <c r="D1672" s="15">
        <f>'Raw Data'!M1672</f>
        <v/>
      </c>
      <c r="E1672" s="18">
        <f>'Raw Data'!M1672/'Raw Data'!L1672*100</f>
        <v/>
      </c>
      <c r="F1672" s="14">
        <f>IF(E1672&gt;15,"Wet Year",IF(E1672&lt;-15,"Dry Year","Normal Year"))</f>
        <v/>
      </c>
      <c r="G1672" s="16">
        <f>'Raw Data'!I1672</f>
        <v/>
      </c>
      <c r="H1672" s="14">
        <f>IF(G1672&lt;15,"Low Variability",IF(G1672&lt;=35,"Moderate Variability","High Variability"))</f>
        <v/>
      </c>
      <c r="I1672" s="18">
        <f>'Raw Data'!O1672</f>
        <v/>
      </c>
      <c r="J1672" s="14">
        <f>IF(I1672=0,"No Flood",IF(I1672&lt;=0.5,"Low",IF(I1672&lt;=2,"Moderate","High")))</f>
        <v/>
      </c>
    </row>
    <row r="1673" ht="15" customHeight="1" s="12">
      <c r="A1673" s="14">
        <f>'Raw Data'!A1673</f>
        <v/>
      </c>
      <c r="B1673" s="14">
        <f>'Raw Data'!B1673</f>
        <v/>
      </c>
      <c r="C1673" s="14">
        <f>'Raw Data'!C1673</f>
        <v/>
      </c>
      <c r="D1673" s="15">
        <f>'Raw Data'!M1673</f>
        <v/>
      </c>
      <c r="E1673" s="18">
        <f>'Raw Data'!M1673/'Raw Data'!L1673*100</f>
        <v/>
      </c>
      <c r="F1673" s="14">
        <f>IF(E1673&gt;15,"Wet Year",IF(E1673&lt;-15,"Dry Year","Normal Year"))</f>
        <v/>
      </c>
      <c r="G1673" s="16">
        <f>'Raw Data'!I1673</f>
        <v/>
      </c>
      <c r="H1673" s="14">
        <f>IF(G1673&lt;15,"Low Variability",IF(G1673&lt;=35,"Moderate Variability","High Variability"))</f>
        <v/>
      </c>
      <c r="I1673" s="18">
        <f>'Raw Data'!O1673</f>
        <v/>
      </c>
      <c r="J1673" s="14">
        <f>IF(I1673=0,"No Flood",IF(I1673&lt;=0.5,"Low",IF(I1673&lt;=2,"Moderate","High")))</f>
        <v/>
      </c>
    </row>
    <row r="1674" ht="15" customHeight="1" s="12">
      <c r="A1674" s="14">
        <f>'Raw Data'!A1674</f>
        <v/>
      </c>
      <c r="B1674" s="14">
        <f>'Raw Data'!B1674</f>
        <v/>
      </c>
      <c r="C1674" s="14">
        <f>'Raw Data'!C1674</f>
        <v/>
      </c>
      <c r="D1674" s="15">
        <f>'Raw Data'!M1674</f>
        <v/>
      </c>
      <c r="E1674" s="18">
        <f>'Raw Data'!M1674/'Raw Data'!L1674*100</f>
        <v/>
      </c>
      <c r="F1674" s="14">
        <f>IF(E1674&gt;15,"Wet Year",IF(E1674&lt;-15,"Dry Year","Normal Year"))</f>
        <v/>
      </c>
      <c r="G1674" s="16">
        <f>'Raw Data'!I1674</f>
        <v/>
      </c>
      <c r="H1674" s="14">
        <f>IF(G1674&lt;15,"Low Variability",IF(G1674&lt;=35,"Moderate Variability","High Variability"))</f>
        <v/>
      </c>
      <c r="I1674" s="18">
        <f>'Raw Data'!O1674</f>
        <v/>
      </c>
      <c r="J1674" s="14">
        <f>IF(I1674=0,"No Flood",IF(I1674&lt;=0.5,"Low",IF(I1674&lt;=2,"Moderate","High")))</f>
        <v/>
      </c>
    </row>
    <row r="1675" ht="15" customHeight="1" s="12">
      <c r="A1675" s="14">
        <f>'Raw Data'!A1675</f>
        <v/>
      </c>
      <c r="B1675" s="14">
        <f>'Raw Data'!B1675</f>
        <v/>
      </c>
      <c r="C1675" s="14">
        <f>'Raw Data'!C1675</f>
        <v/>
      </c>
      <c r="D1675" s="15">
        <f>'Raw Data'!M1675</f>
        <v/>
      </c>
      <c r="E1675" s="18">
        <f>'Raw Data'!M1675/'Raw Data'!L1675*100</f>
        <v/>
      </c>
      <c r="F1675" s="14">
        <f>IF(E1675&gt;15,"Wet Year",IF(E1675&lt;-15,"Dry Year","Normal Year"))</f>
        <v/>
      </c>
      <c r="G1675" s="16">
        <f>'Raw Data'!I1675</f>
        <v/>
      </c>
      <c r="H1675" s="14">
        <f>IF(G1675&lt;15,"Low Variability",IF(G1675&lt;=35,"Moderate Variability","High Variability"))</f>
        <v/>
      </c>
      <c r="I1675" s="18">
        <f>'Raw Data'!O1675</f>
        <v/>
      </c>
      <c r="J1675" s="14">
        <f>IF(I1675=0,"No Flood",IF(I1675&lt;=0.5,"Low",IF(I1675&lt;=2,"Moderate","High")))</f>
        <v/>
      </c>
    </row>
    <row r="1676" ht="15" customHeight="1" s="12">
      <c r="A1676" s="14">
        <f>'Raw Data'!A1676</f>
        <v/>
      </c>
      <c r="B1676" s="14">
        <f>'Raw Data'!B1676</f>
        <v/>
      </c>
      <c r="C1676" s="14">
        <f>'Raw Data'!C1676</f>
        <v/>
      </c>
      <c r="D1676" s="15">
        <f>'Raw Data'!M1676</f>
        <v/>
      </c>
      <c r="E1676" s="18">
        <f>'Raw Data'!M1676/'Raw Data'!L1676*100</f>
        <v/>
      </c>
      <c r="F1676" s="14">
        <f>IF(E1676&gt;15,"Wet Year",IF(E1676&lt;-15,"Dry Year","Normal Year"))</f>
        <v/>
      </c>
      <c r="G1676" s="16">
        <f>'Raw Data'!I1676</f>
        <v/>
      </c>
      <c r="H1676" s="14">
        <f>IF(G1676&lt;15,"Low Variability",IF(G1676&lt;=35,"Moderate Variability","High Variability"))</f>
        <v/>
      </c>
      <c r="I1676" s="18">
        <f>'Raw Data'!O1676</f>
        <v/>
      </c>
      <c r="J1676" s="14">
        <f>IF(I1676=0,"No Flood",IF(I1676&lt;=0.5,"Low",IF(I1676&lt;=2,"Moderate","High")))</f>
        <v/>
      </c>
    </row>
    <row r="1677" ht="15" customHeight="1" s="12">
      <c r="A1677" s="14">
        <f>'Raw Data'!A1677</f>
        <v/>
      </c>
      <c r="B1677" s="14">
        <f>'Raw Data'!B1677</f>
        <v/>
      </c>
      <c r="C1677" s="14">
        <f>'Raw Data'!C1677</f>
        <v/>
      </c>
      <c r="D1677" s="15">
        <f>'Raw Data'!M1677</f>
        <v/>
      </c>
      <c r="E1677" s="18">
        <f>'Raw Data'!M1677/'Raw Data'!L1677*100</f>
        <v/>
      </c>
      <c r="F1677" s="14">
        <f>IF(E1677&gt;15,"Wet Year",IF(E1677&lt;-15,"Dry Year","Normal Year"))</f>
        <v/>
      </c>
      <c r="G1677" s="16">
        <f>'Raw Data'!I1677</f>
        <v/>
      </c>
      <c r="H1677" s="14">
        <f>IF(G1677&lt;15,"Low Variability",IF(G1677&lt;=35,"Moderate Variability","High Variability"))</f>
        <v/>
      </c>
      <c r="I1677" s="18">
        <f>'Raw Data'!O1677</f>
        <v/>
      </c>
      <c r="J1677" s="14">
        <f>IF(I1677=0,"No Flood",IF(I1677&lt;=0.5,"Low",IF(I1677&lt;=2,"Moderate","High")))</f>
        <v/>
      </c>
    </row>
    <row r="1678" ht="15" customHeight="1" s="12">
      <c r="A1678" s="14">
        <f>'Raw Data'!A1678</f>
        <v/>
      </c>
      <c r="B1678" s="14">
        <f>'Raw Data'!B1678</f>
        <v/>
      </c>
      <c r="C1678" s="14">
        <f>'Raw Data'!C1678</f>
        <v/>
      </c>
      <c r="D1678" s="15">
        <f>'Raw Data'!M1678</f>
        <v/>
      </c>
      <c r="E1678" s="18">
        <f>'Raw Data'!M1678/'Raw Data'!L1678*100</f>
        <v/>
      </c>
      <c r="F1678" s="14">
        <f>IF(E1678&gt;15,"Wet Year",IF(E1678&lt;-15,"Dry Year","Normal Year"))</f>
        <v/>
      </c>
      <c r="G1678" s="16">
        <f>'Raw Data'!I1678</f>
        <v/>
      </c>
      <c r="H1678" s="14">
        <f>IF(G1678&lt;15,"Low Variability",IF(G1678&lt;=35,"Moderate Variability","High Variability"))</f>
        <v/>
      </c>
      <c r="I1678" s="18">
        <f>'Raw Data'!O1678</f>
        <v/>
      </c>
      <c r="J1678" s="14">
        <f>IF(I1678=0,"No Flood",IF(I1678&lt;=0.5,"Low",IF(I1678&lt;=2,"Moderate","High")))</f>
        <v/>
      </c>
    </row>
    <row r="1679" ht="15" customHeight="1" s="12">
      <c r="A1679" s="14">
        <f>'Raw Data'!A1679</f>
        <v/>
      </c>
      <c r="B1679" s="14">
        <f>'Raw Data'!B1679</f>
        <v/>
      </c>
      <c r="C1679" s="14">
        <f>'Raw Data'!C1679</f>
        <v/>
      </c>
      <c r="D1679" s="15">
        <f>'Raw Data'!M1679</f>
        <v/>
      </c>
      <c r="E1679" s="18">
        <f>'Raw Data'!M1679/'Raw Data'!L1679*100</f>
        <v/>
      </c>
      <c r="F1679" s="14">
        <f>IF(E1679&gt;15,"Wet Year",IF(E1679&lt;-15,"Dry Year","Normal Year"))</f>
        <v/>
      </c>
      <c r="G1679" s="16">
        <f>'Raw Data'!I1679</f>
        <v/>
      </c>
      <c r="H1679" s="14">
        <f>IF(G1679&lt;15,"Low Variability",IF(G1679&lt;=35,"Moderate Variability","High Variability"))</f>
        <v/>
      </c>
      <c r="I1679" s="18">
        <f>'Raw Data'!O1679</f>
        <v/>
      </c>
      <c r="J1679" s="14">
        <f>IF(I1679=0,"No Flood",IF(I1679&lt;=0.5,"Low",IF(I1679&lt;=2,"Moderate","High")))</f>
        <v/>
      </c>
    </row>
    <row r="1680" ht="15" customHeight="1" s="12">
      <c r="A1680" s="14">
        <f>'Raw Data'!A1680</f>
        <v/>
      </c>
      <c r="B1680" s="14">
        <f>'Raw Data'!B1680</f>
        <v/>
      </c>
      <c r="C1680" s="14">
        <f>'Raw Data'!C1680</f>
        <v/>
      </c>
      <c r="D1680" s="15">
        <f>'Raw Data'!M1680</f>
        <v/>
      </c>
      <c r="E1680" s="18">
        <f>'Raw Data'!M1680/'Raw Data'!L1680*100</f>
        <v/>
      </c>
      <c r="F1680" s="14">
        <f>IF(E1680&gt;15,"Wet Year",IF(E1680&lt;-15,"Dry Year","Normal Year"))</f>
        <v/>
      </c>
      <c r="G1680" s="16">
        <f>'Raw Data'!I1680</f>
        <v/>
      </c>
      <c r="H1680" s="14">
        <f>IF(G1680&lt;15,"Low Variability",IF(G1680&lt;=35,"Moderate Variability","High Variability"))</f>
        <v/>
      </c>
      <c r="I1680" s="18">
        <f>'Raw Data'!O1680</f>
        <v/>
      </c>
      <c r="J1680" s="14">
        <f>IF(I1680=0,"No Flood",IF(I1680&lt;=0.5,"Low",IF(I1680&lt;=2,"Moderate","High")))</f>
        <v/>
      </c>
    </row>
    <row r="1681" ht="15" customHeight="1" s="12">
      <c r="A1681" s="14">
        <f>'Raw Data'!A1681</f>
        <v/>
      </c>
      <c r="B1681" s="14">
        <f>'Raw Data'!B1681</f>
        <v/>
      </c>
      <c r="C1681" s="14">
        <f>'Raw Data'!C1681</f>
        <v/>
      </c>
      <c r="D1681" s="15">
        <f>'Raw Data'!M1681</f>
        <v/>
      </c>
      <c r="E1681" s="18">
        <f>'Raw Data'!M1681/'Raw Data'!L1681*100</f>
        <v/>
      </c>
      <c r="F1681" s="14">
        <f>IF(E1681&gt;15,"Wet Year",IF(E1681&lt;-15,"Dry Year","Normal Year"))</f>
        <v/>
      </c>
      <c r="G1681" s="16">
        <f>'Raw Data'!I1681</f>
        <v/>
      </c>
      <c r="H1681" s="14">
        <f>IF(G1681&lt;15,"Low Variability",IF(G1681&lt;=35,"Moderate Variability","High Variability"))</f>
        <v/>
      </c>
      <c r="I1681" s="18">
        <f>'Raw Data'!O1681</f>
        <v/>
      </c>
      <c r="J1681" s="14">
        <f>IF(I1681=0,"No Flood",IF(I1681&lt;=0.5,"Low",IF(I1681&lt;=2,"Moderate","High")))</f>
        <v/>
      </c>
    </row>
    <row r="1682" ht="15" customHeight="1" s="12">
      <c r="A1682" s="14">
        <f>'Raw Data'!A1682</f>
        <v/>
      </c>
      <c r="B1682" s="14">
        <f>'Raw Data'!B1682</f>
        <v/>
      </c>
      <c r="C1682" s="14">
        <f>'Raw Data'!C1682</f>
        <v/>
      </c>
      <c r="D1682" s="15">
        <f>'Raw Data'!M1682</f>
        <v/>
      </c>
      <c r="E1682" s="18">
        <f>'Raw Data'!M1682/'Raw Data'!L1682*100</f>
        <v/>
      </c>
      <c r="F1682" s="14">
        <f>IF(E1682&gt;15,"Wet Year",IF(E1682&lt;-15,"Dry Year","Normal Year"))</f>
        <v/>
      </c>
      <c r="G1682" s="16">
        <f>'Raw Data'!I1682</f>
        <v/>
      </c>
      <c r="H1682" s="14">
        <f>IF(G1682&lt;15,"Low Variability",IF(G1682&lt;=35,"Moderate Variability","High Variability"))</f>
        <v/>
      </c>
      <c r="I1682" s="18">
        <f>'Raw Data'!O1682</f>
        <v/>
      </c>
      <c r="J1682" s="14">
        <f>IF(I1682=0,"No Flood",IF(I1682&lt;=0.5,"Low",IF(I1682&lt;=2,"Moderate","High")))</f>
        <v/>
      </c>
    </row>
    <row r="1683" ht="15" customHeight="1" s="12">
      <c r="A1683" s="14">
        <f>'Raw Data'!A1683</f>
        <v/>
      </c>
      <c r="B1683" s="14">
        <f>'Raw Data'!B1683</f>
        <v/>
      </c>
      <c r="C1683" s="14">
        <f>'Raw Data'!C1683</f>
        <v/>
      </c>
      <c r="D1683" s="15">
        <f>'Raw Data'!M1683</f>
        <v/>
      </c>
      <c r="E1683" s="18">
        <f>'Raw Data'!M1683/'Raw Data'!L1683*100</f>
        <v/>
      </c>
      <c r="F1683" s="14">
        <f>IF(E1683&gt;15,"Wet Year",IF(E1683&lt;-15,"Dry Year","Normal Year"))</f>
        <v/>
      </c>
      <c r="G1683" s="16">
        <f>'Raw Data'!I1683</f>
        <v/>
      </c>
      <c r="H1683" s="14">
        <f>IF(G1683&lt;15,"Low Variability",IF(G1683&lt;=35,"Moderate Variability","High Variability"))</f>
        <v/>
      </c>
      <c r="I1683" s="18">
        <f>'Raw Data'!O1683</f>
        <v/>
      </c>
      <c r="J1683" s="14">
        <f>IF(I1683=0,"No Flood",IF(I1683&lt;=0.5,"Low",IF(I1683&lt;=2,"Moderate","High")))</f>
        <v/>
      </c>
    </row>
    <row r="1684" ht="15" customHeight="1" s="12">
      <c r="A1684" s="14">
        <f>'Raw Data'!A1684</f>
        <v/>
      </c>
      <c r="B1684" s="14">
        <f>'Raw Data'!B1684</f>
        <v/>
      </c>
      <c r="C1684" s="14">
        <f>'Raw Data'!C1684</f>
        <v/>
      </c>
      <c r="D1684" s="15">
        <f>'Raw Data'!M1684</f>
        <v/>
      </c>
      <c r="E1684" s="18">
        <f>'Raw Data'!M1684/'Raw Data'!L1684*100</f>
        <v/>
      </c>
      <c r="F1684" s="14">
        <f>IF(E1684&gt;15,"Wet Year",IF(E1684&lt;-15,"Dry Year","Normal Year"))</f>
        <v/>
      </c>
      <c r="G1684" s="16">
        <f>'Raw Data'!I1684</f>
        <v/>
      </c>
      <c r="H1684" s="14">
        <f>IF(G1684&lt;15,"Low Variability",IF(G1684&lt;=35,"Moderate Variability","High Variability"))</f>
        <v/>
      </c>
      <c r="I1684" s="18">
        <f>'Raw Data'!O1684</f>
        <v/>
      </c>
      <c r="J1684" s="14">
        <f>IF(I1684=0,"No Flood",IF(I1684&lt;=0.5,"Low",IF(I1684&lt;=2,"Moderate","High")))</f>
        <v/>
      </c>
    </row>
    <row r="1685" ht="15" customHeight="1" s="12">
      <c r="A1685" s="14">
        <f>'Raw Data'!A1685</f>
        <v/>
      </c>
      <c r="B1685" s="14">
        <f>'Raw Data'!B1685</f>
        <v/>
      </c>
      <c r="C1685" s="14">
        <f>'Raw Data'!C1685</f>
        <v/>
      </c>
      <c r="D1685" s="15">
        <f>'Raw Data'!M1685</f>
        <v/>
      </c>
      <c r="E1685" s="18">
        <f>'Raw Data'!M1685/'Raw Data'!L1685*100</f>
        <v/>
      </c>
      <c r="F1685" s="14">
        <f>IF(E1685&gt;15,"Wet Year",IF(E1685&lt;-15,"Dry Year","Normal Year"))</f>
        <v/>
      </c>
      <c r="G1685" s="16">
        <f>'Raw Data'!I1685</f>
        <v/>
      </c>
      <c r="H1685" s="14">
        <f>IF(G1685&lt;15,"Low Variability",IF(G1685&lt;=35,"Moderate Variability","High Variability"))</f>
        <v/>
      </c>
      <c r="I1685" s="18">
        <f>'Raw Data'!O1685</f>
        <v/>
      </c>
      <c r="J1685" s="14">
        <f>IF(I1685=0,"No Flood",IF(I1685&lt;=0.5,"Low",IF(I1685&lt;=2,"Moderate","High")))</f>
        <v/>
      </c>
    </row>
    <row r="1686" ht="15" customHeight="1" s="12">
      <c r="A1686" s="14">
        <f>'Raw Data'!A1686</f>
        <v/>
      </c>
      <c r="B1686" s="14">
        <f>'Raw Data'!B1686</f>
        <v/>
      </c>
      <c r="C1686" s="14">
        <f>'Raw Data'!C1686</f>
        <v/>
      </c>
      <c r="D1686" s="15">
        <f>'Raw Data'!M1686</f>
        <v/>
      </c>
      <c r="E1686" s="18">
        <f>'Raw Data'!M1686/'Raw Data'!L1686*100</f>
        <v/>
      </c>
      <c r="F1686" s="14">
        <f>IF(E1686&gt;15,"Wet Year",IF(E1686&lt;-15,"Dry Year","Normal Year"))</f>
        <v/>
      </c>
      <c r="G1686" s="16">
        <f>'Raw Data'!I1686</f>
        <v/>
      </c>
      <c r="H1686" s="14">
        <f>IF(G1686&lt;15,"Low Variability",IF(G1686&lt;=35,"Moderate Variability","High Variability"))</f>
        <v/>
      </c>
      <c r="I1686" s="18">
        <f>'Raw Data'!O1686</f>
        <v/>
      </c>
      <c r="J1686" s="14">
        <f>IF(I1686=0,"No Flood",IF(I1686&lt;=0.5,"Low",IF(I1686&lt;=2,"Moderate","High")))</f>
        <v/>
      </c>
    </row>
    <row r="1687" ht="15" customHeight="1" s="12">
      <c r="A1687" s="14">
        <f>'Raw Data'!A1687</f>
        <v/>
      </c>
      <c r="B1687" s="14">
        <f>'Raw Data'!B1687</f>
        <v/>
      </c>
      <c r="C1687" s="14">
        <f>'Raw Data'!C1687</f>
        <v/>
      </c>
      <c r="D1687" s="15">
        <f>'Raw Data'!M1687</f>
        <v/>
      </c>
      <c r="E1687" s="18">
        <f>'Raw Data'!M1687/'Raw Data'!L1687*100</f>
        <v/>
      </c>
      <c r="F1687" s="14">
        <f>IF(E1687&gt;15,"Wet Year",IF(E1687&lt;-15,"Dry Year","Normal Year"))</f>
        <v/>
      </c>
      <c r="G1687" s="16">
        <f>'Raw Data'!I1687</f>
        <v/>
      </c>
      <c r="H1687" s="14">
        <f>IF(G1687&lt;15,"Low Variability",IF(G1687&lt;=35,"Moderate Variability","High Variability"))</f>
        <v/>
      </c>
      <c r="I1687" s="18">
        <f>'Raw Data'!O1687</f>
        <v/>
      </c>
      <c r="J1687" s="14">
        <f>IF(I1687=0,"No Flood",IF(I1687&lt;=0.5,"Low",IF(I1687&lt;=2,"Moderate","High")))</f>
        <v/>
      </c>
    </row>
    <row r="1688" ht="15" customHeight="1" s="12">
      <c r="A1688" s="14">
        <f>'Raw Data'!A1688</f>
        <v/>
      </c>
      <c r="B1688" s="14">
        <f>'Raw Data'!B1688</f>
        <v/>
      </c>
      <c r="C1688" s="14">
        <f>'Raw Data'!C1688</f>
        <v/>
      </c>
      <c r="D1688" s="15">
        <f>'Raw Data'!M1688</f>
        <v/>
      </c>
      <c r="E1688" s="18">
        <f>'Raw Data'!M1688/'Raw Data'!L1688*100</f>
        <v/>
      </c>
      <c r="F1688" s="14">
        <f>IF(E1688&gt;15,"Wet Year",IF(E1688&lt;-15,"Dry Year","Normal Year"))</f>
        <v/>
      </c>
      <c r="G1688" s="16">
        <f>'Raw Data'!I1688</f>
        <v/>
      </c>
      <c r="H1688" s="14">
        <f>IF(G1688&lt;15,"Low Variability",IF(G1688&lt;=35,"Moderate Variability","High Variability"))</f>
        <v/>
      </c>
      <c r="I1688" s="18">
        <f>'Raw Data'!O1688</f>
        <v/>
      </c>
      <c r="J1688" s="14">
        <f>IF(I1688=0,"No Flood",IF(I1688&lt;=0.5,"Low",IF(I1688&lt;=2,"Moderate","High")))</f>
        <v/>
      </c>
    </row>
    <row r="1689" ht="15" customHeight="1" s="12">
      <c r="A1689" s="14">
        <f>'Raw Data'!A1689</f>
        <v/>
      </c>
      <c r="B1689" s="14">
        <f>'Raw Data'!B1689</f>
        <v/>
      </c>
      <c r="C1689" s="14">
        <f>'Raw Data'!C1689</f>
        <v/>
      </c>
      <c r="D1689" s="15">
        <f>'Raw Data'!M1689</f>
        <v/>
      </c>
      <c r="E1689" s="18">
        <f>'Raw Data'!M1689/'Raw Data'!L1689*100</f>
        <v/>
      </c>
      <c r="F1689" s="14">
        <f>IF(E1689&gt;15,"Wet Year",IF(E1689&lt;-15,"Dry Year","Normal Year"))</f>
        <v/>
      </c>
      <c r="G1689" s="16">
        <f>'Raw Data'!I1689</f>
        <v/>
      </c>
      <c r="H1689" s="14">
        <f>IF(G1689&lt;15,"Low Variability",IF(G1689&lt;=35,"Moderate Variability","High Variability"))</f>
        <v/>
      </c>
      <c r="I1689" s="18">
        <f>'Raw Data'!O1689</f>
        <v/>
      </c>
      <c r="J1689" s="14">
        <f>IF(I1689=0,"No Flood",IF(I1689&lt;=0.5,"Low",IF(I1689&lt;=2,"Moderate","High")))</f>
        <v/>
      </c>
    </row>
    <row r="1690" ht="15" customHeight="1" s="12">
      <c r="A1690" s="14">
        <f>'Raw Data'!A1690</f>
        <v/>
      </c>
      <c r="B1690" s="14">
        <f>'Raw Data'!B1690</f>
        <v/>
      </c>
      <c r="C1690" s="14">
        <f>'Raw Data'!C1690</f>
        <v/>
      </c>
      <c r="D1690" s="15">
        <f>'Raw Data'!M1690</f>
        <v/>
      </c>
      <c r="E1690" s="18">
        <f>'Raw Data'!M1690/'Raw Data'!L1690*100</f>
        <v/>
      </c>
      <c r="F1690" s="14">
        <f>IF(E1690&gt;15,"Wet Year",IF(E1690&lt;-15,"Dry Year","Normal Year"))</f>
        <v/>
      </c>
      <c r="G1690" s="16">
        <f>'Raw Data'!I1690</f>
        <v/>
      </c>
      <c r="H1690" s="14">
        <f>IF(G1690&lt;15,"Low Variability",IF(G1690&lt;=35,"Moderate Variability","High Variability"))</f>
        <v/>
      </c>
      <c r="I1690" s="18">
        <f>'Raw Data'!O1690</f>
        <v/>
      </c>
      <c r="J1690" s="14">
        <f>IF(I1690=0,"No Flood",IF(I1690&lt;=0.5,"Low",IF(I1690&lt;=2,"Moderate","High")))</f>
        <v/>
      </c>
    </row>
    <row r="1691" ht="15" customHeight="1" s="12">
      <c r="A1691" s="14">
        <f>'Raw Data'!A1691</f>
        <v/>
      </c>
      <c r="B1691" s="14">
        <f>'Raw Data'!B1691</f>
        <v/>
      </c>
      <c r="C1691" s="14">
        <f>'Raw Data'!C1691</f>
        <v/>
      </c>
      <c r="D1691" s="15">
        <f>'Raw Data'!M1691</f>
        <v/>
      </c>
      <c r="E1691" s="18">
        <f>'Raw Data'!M1691/'Raw Data'!L1691*100</f>
        <v/>
      </c>
      <c r="F1691" s="14">
        <f>IF(E1691&gt;15,"Wet Year",IF(E1691&lt;-15,"Dry Year","Normal Year"))</f>
        <v/>
      </c>
      <c r="G1691" s="16">
        <f>'Raw Data'!I1691</f>
        <v/>
      </c>
      <c r="H1691" s="14">
        <f>IF(G1691&lt;15,"Low Variability",IF(G1691&lt;=35,"Moderate Variability","High Variability"))</f>
        <v/>
      </c>
      <c r="I1691" s="18">
        <f>'Raw Data'!O1691</f>
        <v/>
      </c>
      <c r="J1691" s="14">
        <f>IF(I1691=0,"No Flood",IF(I1691&lt;=0.5,"Low",IF(I1691&lt;=2,"Moderate","High")))</f>
        <v/>
      </c>
    </row>
    <row r="1692" ht="15" customHeight="1" s="12">
      <c r="A1692" s="14">
        <f>'Raw Data'!A1692</f>
        <v/>
      </c>
      <c r="B1692" s="14">
        <f>'Raw Data'!B1692</f>
        <v/>
      </c>
      <c r="C1692" s="14">
        <f>'Raw Data'!C1692</f>
        <v/>
      </c>
      <c r="D1692" s="15">
        <f>'Raw Data'!M1692</f>
        <v/>
      </c>
      <c r="E1692" s="18">
        <f>'Raw Data'!M1692/'Raw Data'!L1692*100</f>
        <v/>
      </c>
      <c r="F1692" s="14">
        <f>IF(E1692&gt;15,"Wet Year",IF(E1692&lt;-15,"Dry Year","Normal Year"))</f>
        <v/>
      </c>
      <c r="G1692" s="16">
        <f>'Raw Data'!I1692</f>
        <v/>
      </c>
      <c r="H1692" s="14">
        <f>IF(G1692&lt;15,"Low Variability",IF(G1692&lt;=35,"Moderate Variability","High Variability"))</f>
        <v/>
      </c>
      <c r="I1692" s="18">
        <f>'Raw Data'!O1692</f>
        <v/>
      </c>
      <c r="J1692" s="14">
        <f>IF(I1692=0,"No Flood",IF(I1692&lt;=0.5,"Low",IF(I1692&lt;=2,"Moderate","High")))</f>
        <v/>
      </c>
    </row>
    <row r="1693" ht="15" customHeight="1" s="12">
      <c r="A1693" s="14">
        <f>'Raw Data'!A1693</f>
        <v/>
      </c>
      <c r="B1693" s="14">
        <f>'Raw Data'!B1693</f>
        <v/>
      </c>
      <c r="C1693" s="14">
        <f>'Raw Data'!C1693</f>
        <v/>
      </c>
      <c r="D1693" s="15">
        <f>'Raw Data'!M1693</f>
        <v/>
      </c>
      <c r="E1693" s="18">
        <f>'Raw Data'!M1693/'Raw Data'!L1693*100</f>
        <v/>
      </c>
      <c r="F1693" s="14">
        <f>IF(E1693&gt;15,"Wet Year",IF(E1693&lt;-15,"Dry Year","Normal Year"))</f>
        <v/>
      </c>
      <c r="G1693" s="16">
        <f>'Raw Data'!I1693</f>
        <v/>
      </c>
      <c r="H1693" s="14">
        <f>IF(G1693&lt;15,"Low Variability",IF(G1693&lt;=35,"Moderate Variability","High Variability"))</f>
        <v/>
      </c>
      <c r="I1693" s="18">
        <f>'Raw Data'!O1693</f>
        <v/>
      </c>
      <c r="J1693" s="14">
        <f>IF(I1693=0,"No Flood",IF(I1693&lt;=0.5,"Low",IF(I1693&lt;=2,"Moderate","High")))</f>
        <v/>
      </c>
    </row>
    <row r="1694" ht="15" customHeight="1" s="12">
      <c r="A1694" s="14">
        <f>'Raw Data'!A1694</f>
        <v/>
      </c>
      <c r="B1694" s="14">
        <f>'Raw Data'!B1694</f>
        <v/>
      </c>
      <c r="C1694" s="14">
        <f>'Raw Data'!C1694</f>
        <v/>
      </c>
      <c r="D1694" s="15">
        <f>'Raw Data'!M1694</f>
        <v/>
      </c>
      <c r="E1694" s="18">
        <f>'Raw Data'!M1694/'Raw Data'!L1694*100</f>
        <v/>
      </c>
      <c r="F1694" s="14">
        <f>IF(E1694&gt;15,"Wet Year",IF(E1694&lt;-15,"Dry Year","Normal Year"))</f>
        <v/>
      </c>
      <c r="G1694" s="16">
        <f>'Raw Data'!I1694</f>
        <v/>
      </c>
      <c r="H1694" s="14">
        <f>IF(G1694&lt;15,"Low Variability",IF(G1694&lt;=35,"Moderate Variability","High Variability"))</f>
        <v/>
      </c>
      <c r="I1694" s="18">
        <f>'Raw Data'!O1694</f>
        <v/>
      </c>
      <c r="J1694" s="14">
        <f>IF(I1694=0,"No Flood",IF(I1694&lt;=0.5,"Low",IF(I1694&lt;=2,"Moderate","High")))</f>
        <v/>
      </c>
    </row>
    <row r="1695" ht="15" customHeight="1" s="12">
      <c r="A1695" s="14">
        <f>'Raw Data'!A1695</f>
        <v/>
      </c>
      <c r="B1695" s="14">
        <f>'Raw Data'!B1695</f>
        <v/>
      </c>
      <c r="C1695" s="14">
        <f>'Raw Data'!C1695</f>
        <v/>
      </c>
      <c r="D1695" s="15">
        <f>'Raw Data'!M1695</f>
        <v/>
      </c>
      <c r="E1695" s="18">
        <f>'Raw Data'!M1695/'Raw Data'!L1695*100</f>
        <v/>
      </c>
      <c r="F1695" s="14">
        <f>IF(E1695&gt;15,"Wet Year",IF(E1695&lt;-15,"Dry Year","Normal Year"))</f>
        <v/>
      </c>
      <c r="G1695" s="16">
        <f>'Raw Data'!I1695</f>
        <v/>
      </c>
      <c r="H1695" s="14">
        <f>IF(G1695&lt;15,"Low Variability",IF(G1695&lt;=35,"Moderate Variability","High Variability"))</f>
        <v/>
      </c>
      <c r="I1695" s="18">
        <f>'Raw Data'!O1695</f>
        <v/>
      </c>
      <c r="J1695" s="14">
        <f>IF(I1695=0,"No Flood",IF(I1695&lt;=0.5,"Low",IF(I1695&lt;=2,"Moderate","High")))</f>
        <v/>
      </c>
    </row>
    <row r="1696" ht="15" customHeight="1" s="12">
      <c r="A1696" s="14">
        <f>'Raw Data'!A1696</f>
        <v/>
      </c>
      <c r="B1696" s="14">
        <f>'Raw Data'!B1696</f>
        <v/>
      </c>
      <c r="C1696" s="14">
        <f>'Raw Data'!C1696</f>
        <v/>
      </c>
      <c r="D1696" s="15">
        <f>'Raw Data'!M1696</f>
        <v/>
      </c>
      <c r="E1696" s="18">
        <f>'Raw Data'!M1696/'Raw Data'!L1696*100</f>
        <v/>
      </c>
      <c r="F1696" s="14">
        <f>IF(E1696&gt;15,"Wet Year",IF(E1696&lt;-15,"Dry Year","Normal Year"))</f>
        <v/>
      </c>
      <c r="G1696" s="16">
        <f>'Raw Data'!I1696</f>
        <v/>
      </c>
      <c r="H1696" s="14">
        <f>IF(G1696&lt;15,"Low Variability",IF(G1696&lt;=35,"Moderate Variability","High Variability"))</f>
        <v/>
      </c>
      <c r="I1696" s="18">
        <f>'Raw Data'!O1696</f>
        <v/>
      </c>
      <c r="J1696" s="14">
        <f>IF(I1696=0,"No Flood",IF(I1696&lt;=0.5,"Low",IF(I1696&lt;=2,"Moderate","High")))</f>
        <v/>
      </c>
    </row>
    <row r="1697" ht="15" customHeight="1" s="12">
      <c r="A1697" s="14">
        <f>'Raw Data'!A1697</f>
        <v/>
      </c>
      <c r="B1697" s="14">
        <f>'Raw Data'!B1697</f>
        <v/>
      </c>
      <c r="C1697" s="14">
        <f>'Raw Data'!C1697</f>
        <v/>
      </c>
      <c r="D1697" s="15">
        <f>'Raw Data'!M1697</f>
        <v/>
      </c>
      <c r="E1697" s="18">
        <f>'Raw Data'!M1697/'Raw Data'!L1697*100</f>
        <v/>
      </c>
      <c r="F1697" s="14">
        <f>IF(E1697&gt;15,"Wet Year",IF(E1697&lt;-15,"Dry Year","Normal Year"))</f>
        <v/>
      </c>
      <c r="G1697" s="16">
        <f>'Raw Data'!I1697</f>
        <v/>
      </c>
      <c r="H1697" s="14">
        <f>IF(G1697&lt;15,"Low Variability",IF(G1697&lt;=35,"Moderate Variability","High Variability"))</f>
        <v/>
      </c>
      <c r="I1697" s="18">
        <f>'Raw Data'!O1697</f>
        <v/>
      </c>
      <c r="J1697" s="14">
        <f>IF(I1697=0,"No Flood",IF(I1697&lt;=0.5,"Low",IF(I1697&lt;=2,"Moderate","High")))</f>
        <v/>
      </c>
    </row>
    <row r="1698" ht="15" customHeight="1" s="12">
      <c r="A1698" s="14">
        <f>'Raw Data'!A1698</f>
        <v/>
      </c>
      <c r="B1698" s="14">
        <f>'Raw Data'!B1698</f>
        <v/>
      </c>
      <c r="C1698" s="14">
        <f>'Raw Data'!C1698</f>
        <v/>
      </c>
      <c r="D1698" s="15">
        <f>'Raw Data'!M1698</f>
        <v/>
      </c>
      <c r="E1698" s="18">
        <f>'Raw Data'!M1698/'Raw Data'!L1698*100</f>
        <v/>
      </c>
      <c r="F1698" s="14">
        <f>IF(E1698&gt;15,"Wet Year",IF(E1698&lt;-15,"Dry Year","Normal Year"))</f>
        <v/>
      </c>
      <c r="G1698" s="16">
        <f>'Raw Data'!I1698</f>
        <v/>
      </c>
      <c r="H1698" s="14">
        <f>IF(G1698&lt;15,"Low Variability",IF(G1698&lt;=35,"Moderate Variability","High Variability"))</f>
        <v/>
      </c>
      <c r="I1698" s="18">
        <f>'Raw Data'!O1698</f>
        <v/>
      </c>
      <c r="J1698" s="14">
        <f>IF(I1698=0,"No Flood",IF(I1698&lt;=0.5,"Low",IF(I1698&lt;=2,"Moderate","High")))</f>
        <v/>
      </c>
    </row>
    <row r="1699" ht="15" customHeight="1" s="12">
      <c r="A1699" s="14">
        <f>'Raw Data'!A1699</f>
        <v/>
      </c>
      <c r="B1699" s="14">
        <f>'Raw Data'!B1699</f>
        <v/>
      </c>
      <c r="C1699" s="14">
        <f>'Raw Data'!C1699</f>
        <v/>
      </c>
      <c r="D1699" s="15">
        <f>'Raw Data'!M1699</f>
        <v/>
      </c>
      <c r="E1699" s="18">
        <f>'Raw Data'!M1699/'Raw Data'!L1699*100</f>
        <v/>
      </c>
      <c r="F1699" s="14">
        <f>IF(E1699&gt;15,"Wet Year",IF(E1699&lt;-15,"Dry Year","Normal Year"))</f>
        <v/>
      </c>
      <c r="G1699" s="16">
        <f>'Raw Data'!I1699</f>
        <v/>
      </c>
      <c r="H1699" s="14">
        <f>IF(G1699&lt;15,"Low Variability",IF(G1699&lt;=35,"Moderate Variability","High Variability"))</f>
        <v/>
      </c>
      <c r="I1699" s="18">
        <f>'Raw Data'!O1699</f>
        <v/>
      </c>
      <c r="J1699" s="14">
        <f>IF(I1699=0,"No Flood",IF(I1699&lt;=0.5,"Low",IF(I1699&lt;=2,"Moderate","High")))</f>
        <v/>
      </c>
    </row>
    <row r="1700" ht="15" customHeight="1" s="12">
      <c r="A1700" s="14">
        <f>'Raw Data'!A1700</f>
        <v/>
      </c>
      <c r="B1700" s="14">
        <f>'Raw Data'!B1700</f>
        <v/>
      </c>
      <c r="C1700" s="14">
        <f>'Raw Data'!C1700</f>
        <v/>
      </c>
      <c r="D1700" s="15">
        <f>'Raw Data'!M1700</f>
        <v/>
      </c>
      <c r="E1700" s="18">
        <f>'Raw Data'!M1700/'Raw Data'!L1700*100</f>
        <v/>
      </c>
      <c r="F1700" s="14">
        <f>IF(E1700&gt;15,"Wet Year",IF(E1700&lt;-15,"Dry Year","Normal Year"))</f>
        <v/>
      </c>
      <c r="G1700" s="16">
        <f>'Raw Data'!I1700</f>
        <v/>
      </c>
      <c r="H1700" s="14">
        <f>IF(G1700&lt;15,"Low Variability",IF(G1700&lt;=35,"Moderate Variability","High Variability"))</f>
        <v/>
      </c>
      <c r="I1700" s="18">
        <f>'Raw Data'!O1700</f>
        <v/>
      </c>
      <c r="J1700" s="14">
        <f>IF(I1700=0,"No Flood",IF(I1700&lt;=0.5,"Low",IF(I1700&lt;=2,"Moderate","High")))</f>
        <v/>
      </c>
    </row>
    <row r="1701" ht="15" customHeight="1" s="12">
      <c r="A1701" s="14">
        <f>'Raw Data'!A1701</f>
        <v/>
      </c>
      <c r="B1701" s="14">
        <f>'Raw Data'!B1701</f>
        <v/>
      </c>
      <c r="C1701" s="14">
        <f>'Raw Data'!C1701</f>
        <v/>
      </c>
      <c r="D1701" s="15">
        <f>'Raw Data'!M1701</f>
        <v/>
      </c>
      <c r="E1701" s="18">
        <f>'Raw Data'!M1701/'Raw Data'!L1701*100</f>
        <v/>
      </c>
      <c r="F1701" s="14">
        <f>IF(E1701&gt;15,"Wet Year",IF(E1701&lt;-15,"Dry Year","Normal Year"))</f>
        <v/>
      </c>
      <c r="G1701" s="16">
        <f>'Raw Data'!I1701</f>
        <v/>
      </c>
      <c r="H1701" s="14">
        <f>IF(G1701&lt;15,"Low Variability",IF(G1701&lt;=35,"Moderate Variability","High Variability"))</f>
        <v/>
      </c>
      <c r="I1701" s="18">
        <f>'Raw Data'!O1701</f>
        <v/>
      </c>
      <c r="J1701" s="14">
        <f>IF(I1701=0,"No Flood",IF(I1701&lt;=0.5,"Low",IF(I1701&lt;=2,"Moderate","High")))</f>
        <v/>
      </c>
    </row>
    <row r="1702" ht="15" customHeight="1" s="12">
      <c r="A1702" s="14">
        <f>'Raw Data'!A1702</f>
        <v/>
      </c>
      <c r="B1702" s="14">
        <f>'Raw Data'!B1702</f>
        <v/>
      </c>
      <c r="C1702" s="14">
        <f>'Raw Data'!C1702</f>
        <v/>
      </c>
      <c r="D1702" s="15">
        <f>'Raw Data'!M1702</f>
        <v/>
      </c>
      <c r="E1702" s="18">
        <f>'Raw Data'!M1702/'Raw Data'!L1702*100</f>
        <v/>
      </c>
      <c r="F1702" s="14">
        <f>IF(E1702&gt;15,"Wet Year",IF(E1702&lt;-15,"Dry Year","Normal Year"))</f>
        <v/>
      </c>
      <c r="G1702" s="16">
        <f>'Raw Data'!I1702</f>
        <v/>
      </c>
      <c r="H1702" s="14">
        <f>IF(G1702&lt;15,"Low Variability",IF(G1702&lt;=35,"Moderate Variability","High Variability"))</f>
        <v/>
      </c>
      <c r="I1702" s="18">
        <f>'Raw Data'!O1702</f>
        <v/>
      </c>
      <c r="J1702" s="14">
        <f>IF(I1702=0,"No Flood",IF(I1702&lt;=0.5,"Low",IF(I1702&lt;=2,"Moderate","High")))</f>
        <v/>
      </c>
    </row>
    <row r="1703" ht="15" customHeight="1" s="12">
      <c r="A1703" s="14">
        <f>'Raw Data'!A1703</f>
        <v/>
      </c>
      <c r="B1703" s="14">
        <f>'Raw Data'!B1703</f>
        <v/>
      </c>
      <c r="C1703" s="14">
        <f>'Raw Data'!C1703</f>
        <v/>
      </c>
      <c r="D1703" s="15">
        <f>'Raw Data'!M1703</f>
        <v/>
      </c>
      <c r="E1703" s="18">
        <f>'Raw Data'!M1703/'Raw Data'!L1703*100</f>
        <v/>
      </c>
      <c r="F1703" s="14">
        <f>IF(E1703&gt;15,"Wet Year",IF(E1703&lt;-15,"Dry Year","Normal Year"))</f>
        <v/>
      </c>
      <c r="G1703" s="16">
        <f>'Raw Data'!I1703</f>
        <v/>
      </c>
      <c r="H1703" s="14">
        <f>IF(G1703&lt;15,"Low Variability",IF(G1703&lt;=35,"Moderate Variability","High Variability"))</f>
        <v/>
      </c>
      <c r="I1703" s="18">
        <f>'Raw Data'!O1703</f>
        <v/>
      </c>
      <c r="J1703" s="14">
        <f>IF(I1703=0,"No Flood",IF(I1703&lt;=0.5,"Low",IF(I1703&lt;=2,"Moderate","High")))</f>
        <v/>
      </c>
    </row>
    <row r="1704" ht="15" customHeight="1" s="12">
      <c r="A1704" s="14">
        <f>'Raw Data'!A1704</f>
        <v/>
      </c>
      <c r="B1704" s="14">
        <f>'Raw Data'!B1704</f>
        <v/>
      </c>
      <c r="C1704" s="14">
        <f>'Raw Data'!C1704</f>
        <v/>
      </c>
      <c r="D1704" s="15">
        <f>'Raw Data'!M1704</f>
        <v/>
      </c>
      <c r="E1704" s="18">
        <f>'Raw Data'!M1704/'Raw Data'!L1704*100</f>
        <v/>
      </c>
      <c r="F1704" s="14">
        <f>IF(E1704&gt;15,"Wet Year",IF(E1704&lt;-15,"Dry Year","Normal Year"))</f>
        <v/>
      </c>
      <c r="G1704" s="16">
        <f>'Raw Data'!I1704</f>
        <v/>
      </c>
      <c r="H1704" s="14">
        <f>IF(G1704&lt;15,"Low Variability",IF(G1704&lt;=35,"Moderate Variability","High Variability"))</f>
        <v/>
      </c>
      <c r="I1704" s="18">
        <f>'Raw Data'!O1704</f>
        <v/>
      </c>
      <c r="J1704" s="14">
        <f>IF(I1704=0,"No Flood",IF(I1704&lt;=0.5,"Low",IF(I1704&lt;=2,"Moderate","High")))</f>
        <v/>
      </c>
    </row>
    <row r="1705" ht="15" customHeight="1" s="12">
      <c r="A1705" s="14">
        <f>'Raw Data'!A1705</f>
        <v/>
      </c>
      <c r="B1705" s="14">
        <f>'Raw Data'!B1705</f>
        <v/>
      </c>
      <c r="C1705" s="14">
        <f>'Raw Data'!C1705</f>
        <v/>
      </c>
      <c r="D1705" s="15">
        <f>'Raw Data'!M1705</f>
        <v/>
      </c>
      <c r="E1705" s="18">
        <f>'Raw Data'!M1705/'Raw Data'!L1705*100</f>
        <v/>
      </c>
      <c r="F1705" s="14">
        <f>IF(E1705&gt;15,"Wet Year",IF(E1705&lt;-15,"Dry Year","Normal Year"))</f>
        <v/>
      </c>
      <c r="G1705" s="16">
        <f>'Raw Data'!I1705</f>
        <v/>
      </c>
      <c r="H1705" s="14">
        <f>IF(G1705&lt;15,"Low Variability",IF(G1705&lt;=35,"Moderate Variability","High Variability"))</f>
        <v/>
      </c>
      <c r="I1705" s="18">
        <f>'Raw Data'!O1705</f>
        <v/>
      </c>
      <c r="J1705" s="14">
        <f>IF(I1705=0,"No Flood",IF(I1705&lt;=0.5,"Low",IF(I1705&lt;=2,"Moderate","High")))</f>
        <v/>
      </c>
    </row>
    <row r="1706" ht="15" customHeight="1" s="12">
      <c r="A1706" s="14">
        <f>'Raw Data'!A1706</f>
        <v/>
      </c>
      <c r="B1706" s="14">
        <f>'Raw Data'!B1706</f>
        <v/>
      </c>
      <c r="C1706" s="14">
        <f>'Raw Data'!C1706</f>
        <v/>
      </c>
      <c r="D1706" s="15">
        <f>'Raw Data'!M1706</f>
        <v/>
      </c>
      <c r="E1706" s="18">
        <f>'Raw Data'!M1706/'Raw Data'!L1706*100</f>
        <v/>
      </c>
      <c r="F1706" s="14">
        <f>IF(E1706&gt;15,"Wet Year",IF(E1706&lt;-15,"Dry Year","Normal Year"))</f>
        <v/>
      </c>
      <c r="G1706" s="16">
        <f>'Raw Data'!I1706</f>
        <v/>
      </c>
      <c r="H1706" s="14">
        <f>IF(G1706&lt;15,"Low Variability",IF(G1706&lt;=35,"Moderate Variability","High Variability"))</f>
        <v/>
      </c>
      <c r="I1706" s="18">
        <f>'Raw Data'!O1706</f>
        <v/>
      </c>
      <c r="J1706" s="14">
        <f>IF(I1706=0,"No Flood",IF(I1706&lt;=0.5,"Low",IF(I1706&lt;=2,"Moderate","High")))</f>
        <v/>
      </c>
    </row>
    <row r="1707" ht="15" customHeight="1" s="12">
      <c r="A1707" s="14">
        <f>'Raw Data'!A1707</f>
        <v/>
      </c>
      <c r="B1707" s="14">
        <f>'Raw Data'!B1707</f>
        <v/>
      </c>
      <c r="C1707" s="14">
        <f>'Raw Data'!C1707</f>
        <v/>
      </c>
      <c r="D1707" s="15">
        <f>'Raw Data'!M1707</f>
        <v/>
      </c>
      <c r="E1707" s="18">
        <f>'Raw Data'!M1707/'Raw Data'!L1707*100</f>
        <v/>
      </c>
      <c r="F1707" s="14">
        <f>IF(E1707&gt;15,"Wet Year",IF(E1707&lt;-15,"Dry Year","Normal Year"))</f>
        <v/>
      </c>
      <c r="G1707" s="16">
        <f>'Raw Data'!I1707</f>
        <v/>
      </c>
      <c r="H1707" s="14">
        <f>IF(G1707&lt;15,"Low Variability",IF(G1707&lt;=35,"Moderate Variability","High Variability"))</f>
        <v/>
      </c>
      <c r="I1707" s="18">
        <f>'Raw Data'!O1707</f>
        <v/>
      </c>
      <c r="J1707" s="14">
        <f>IF(I1707=0,"No Flood",IF(I1707&lt;=0.5,"Low",IF(I1707&lt;=2,"Moderate","High")))</f>
        <v/>
      </c>
    </row>
    <row r="1708" ht="15" customHeight="1" s="12">
      <c r="A1708" s="14">
        <f>'Raw Data'!A1708</f>
        <v/>
      </c>
      <c r="B1708" s="14">
        <f>'Raw Data'!B1708</f>
        <v/>
      </c>
      <c r="C1708" s="14">
        <f>'Raw Data'!C1708</f>
        <v/>
      </c>
      <c r="D1708" s="15">
        <f>'Raw Data'!M1708</f>
        <v/>
      </c>
      <c r="E1708" s="18">
        <f>'Raw Data'!M1708/'Raw Data'!L1708*100</f>
        <v/>
      </c>
      <c r="F1708" s="14">
        <f>IF(E1708&gt;15,"Wet Year",IF(E1708&lt;-15,"Dry Year","Normal Year"))</f>
        <v/>
      </c>
      <c r="G1708" s="16">
        <f>'Raw Data'!I1708</f>
        <v/>
      </c>
      <c r="H1708" s="14">
        <f>IF(G1708&lt;15,"Low Variability",IF(G1708&lt;=35,"Moderate Variability","High Variability"))</f>
        <v/>
      </c>
      <c r="I1708" s="18">
        <f>'Raw Data'!O1708</f>
        <v/>
      </c>
      <c r="J1708" s="14">
        <f>IF(I1708=0,"No Flood",IF(I1708&lt;=0.5,"Low",IF(I1708&lt;=2,"Moderate","High")))</f>
        <v/>
      </c>
    </row>
    <row r="1709" ht="15" customHeight="1" s="12">
      <c r="A1709" s="14">
        <f>'Raw Data'!A1709</f>
        <v/>
      </c>
      <c r="B1709" s="14">
        <f>'Raw Data'!B1709</f>
        <v/>
      </c>
      <c r="C1709" s="14">
        <f>'Raw Data'!C1709</f>
        <v/>
      </c>
      <c r="D1709" s="15">
        <f>'Raw Data'!M1709</f>
        <v/>
      </c>
      <c r="E1709" s="18">
        <f>'Raw Data'!M1709/'Raw Data'!L1709*100</f>
        <v/>
      </c>
      <c r="F1709" s="14">
        <f>IF(E1709&gt;15,"Wet Year",IF(E1709&lt;-15,"Dry Year","Normal Year"))</f>
        <v/>
      </c>
      <c r="G1709" s="16">
        <f>'Raw Data'!I1709</f>
        <v/>
      </c>
      <c r="H1709" s="14">
        <f>IF(G1709&lt;15,"Low Variability",IF(G1709&lt;=35,"Moderate Variability","High Variability"))</f>
        <v/>
      </c>
      <c r="I1709" s="18">
        <f>'Raw Data'!O1709</f>
        <v/>
      </c>
      <c r="J1709" s="14">
        <f>IF(I1709=0,"No Flood",IF(I1709&lt;=0.5,"Low",IF(I1709&lt;=2,"Moderate","High")))</f>
        <v/>
      </c>
    </row>
    <row r="1710" ht="15" customHeight="1" s="12">
      <c r="A1710" s="14">
        <f>'Raw Data'!A1710</f>
        <v/>
      </c>
      <c r="B1710" s="14">
        <f>'Raw Data'!B1710</f>
        <v/>
      </c>
      <c r="C1710" s="14">
        <f>'Raw Data'!C1710</f>
        <v/>
      </c>
      <c r="D1710" s="15">
        <f>'Raw Data'!M1710</f>
        <v/>
      </c>
      <c r="E1710" s="18">
        <f>'Raw Data'!M1710/'Raw Data'!L1710*100</f>
        <v/>
      </c>
      <c r="F1710" s="14">
        <f>IF(E1710&gt;15,"Wet Year",IF(E1710&lt;-15,"Dry Year","Normal Year"))</f>
        <v/>
      </c>
      <c r="G1710" s="16">
        <f>'Raw Data'!I1710</f>
        <v/>
      </c>
      <c r="H1710" s="14">
        <f>IF(G1710&lt;15,"Low Variability",IF(G1710&lt;=35,"Moderate Variability","High Variability"))</f>
        <v/>
      </c>
      <c r="I1710" s="18">
        <f>'Raw Data'!O1710</f>
        <v/>
      </c>
      <c r="J1710" s="14">
        <f>IF(I1710=0,"No Flood",IF(I1710&lt;=0.5,"Low",IF(I1710&lt;=2,"Moderate","High")))</f>
        <v/>
      </c>
    </row>
    <row r="1711" ht="15" customHeight="1" s="12">
      <c r="A1711" s="14">
        <f>'Raw Data'!A1711</f>
        <v/>
      </c>
      <c r="B1711" s="14">
        <f>'Raw Data'!B1711</f>
        <v/>
      </c>
      <c r="C1711" s="14">
        <f>'Raw Data'!C1711</f>
        <v/>
      </c>
      <c r="D1711" s="15">
        <f>'Raw Data'!M1711</f>
        <v/>
      </c>
      <c r="E1711" s="18">
        <f>'Raw Data'!M1711/'Raw Data'!L1711*100</f>
        <v/>
      </c>
      <c r="F1711" s="14">
        <f>IF(E1711&gt;15,"Wet Year",IF(E1711&lt;-15,"Dry Year","Normal Year"))</f>
        <v/>
      </c>
      <c r="G1711" s="16">
        <f>'Raw Data'!I1711</f>
        <v/>
      </c>
      <c r="H1711" s="14">
        <f>IF(G1711&lt;15,"Low Variability",IF(G1711&lt;=35,"Moderate Variability","High Variability"))</f>
        <v/>
      </c>
      <c r="I1711" s="18">
        <f>'Raw Data'!O1711</f>
        <v/>
      </c>
      <c r="J1711" s="14">
        <f>IF(I1711=0,"No Flood",IF(I1711&lt;=0.5,"Low",IF(I1711&lt;=2,"Moderate","High")))</f>
        <v/>
      </c>
    </row>
    <row r="1712" ht="15" customHeight="1" s="12">
      <c r="A1712" s="14">
        <f>'Raw Data'!A1712</f>
        <v/>
      </c>
      <c r="B1712" s="14">
        <f>'Raw Data'!B1712</f>
        <v/>
      </c>
      <c r="C1712" s="14">
        <f>'Raw Data'!C1712</f>
        <v/>
      </c>
      <c r="D1712" s="15">
        <f>'Raw Data'!M1712</f>
        <v/>
      </c>
      <c r="E1712" s="18">
        <f>'Raw Data'!M1712/'Raw Data'!L1712*100</f>
        <v/>
      </c>
      <c r="F1712" s="14">
        <f>IF(E1712&gt;15,"Wet Year",IF(E1712&lt;-15,"Dry Year","Normal Year"))</f>
        <v/>
      </c>
      <c r="G1712" s="16">
        <f>'Raw Data'!I1712</f>
        <v/>
      </c>
      <c r="H1712" s="14">
        <f>IF(G1712&lt;15,"Low Variability",IF(G1712&lt;=35,"Moderate Variability","High Variability"))</f>
        <v/>
      </c>
      <c r="I1712" s="18">
        <f>'Raw Data'!O1712</f>
        <v/>
      </c>
      <c r="J1712" s="14">
        <f>IF(I1712=0,"No Flood",IF(I1712&lt;=0.5,"Low",IF(I1712&lt;=2,"Moderate","High")))</f>
        <v/>
      </c>
    </row>
    <row r="1713" ht="15" customHeight="1" s="12">
      <c r="A1713" s="14">
        <f>'Raw Data'!A1713</f>
        <v/>
      </c>
      <c r="B1713" s="14">
        <f>'Raw Data'!B1713</f>
        <v/>
      </c>
      <c r="C1713" s="14">
        <f>'Raw Data'!C1713</f>
        <v/>
      </c>
      <c r="D1713" s="15">
        <f>'Raw Data'!M1713</f>
        <v/>
      </c>
      <c r="E1713" s="18">
        <f>'Raw Data'!M1713/'Raw Data'!L1713*100</f>
        <v/>
      </c>
      <c r="F1713" s="14">
        <f>IF(E1713&gt;15,"Wet Year",IF(E1713&lt;-15,"Dry Year","Normal Year"))</f>
        <v/>
      </c>
      <c r="G1713" s="16">
        <f>'Raw Data'!I1713</f>
        <v/>
      </c>
      <c r="H1713" s="14">
        <f>IF(G1713&lt;15,"Low Variability",IF(G1713&lt;=35,"Moderate Variability","High Variability"))</f>
        <v/>
      </c>
      <c r="I1713" s="18">
        <f>'Raw Data'!O1713</f>
        <v/>
      </c>
      <c r="J1713" s="14">
        <f>IF(I1713=0,"No Flood",IF(I1713&lt;=0.5,"Low",IF(I1713&lt;=2,"Moderate","High")))</f>
        <v/>
      </c>
    </row>
    <row r="1714" ht="15" customHeight="1" s="12">
      <c r="A1714" s="14">
        <f>'Raw Data'!A1714</f>
        <v/>
      </c>
      <c r="B1714" s="14">
        <f>'Raw Data'!B1714</f>
        <v/>
      </c>
      <c r="C1714" s="14">
        <f>'Raw Data'!C1714</f>
        <v/>
      </c>
      <c r="D1714" s="15">
        <f>'Raw Data'!M1714</f>
        <v/>
      </c>
      <c r="E1714" s="18">
        <f>'Raw Data'!M1714/'Raw Data'!L1714*100</f>
        <v/>
      </c>
      <c r="F1714" s="14">
        <f>IF(E1714&gt;15,"Wet Year",IF(E1714&lt;-15,"Dry Year","Normal Year"))</f>
        <v/>
      </c>
      <c r="G1714" s="16">
        <f>'Raw Data'!I1714</f>
        <v/>
      </c>
      <c r="H1714" s="14">
        <f>IF(G1714&lt;15,"Low Variability",IF(G1714&lt;=35,"Moderate Variability","High Variability"))</f>
        <v/>
      </c>
      <c r="I1714" s="18">
        <f>'Raw Data'!O1714</f>
        <v/>
      </c>
      <c r="J1714" s="14">
        <f>IF(I1714=0,"No Flood",IF(I1714&lt;=0.5,"Low",IF(I1714&lt;=2,"Moderate","High")))</f>
        <v/>
      </c>
    </row>
    <row r="1715" ht="15" customHeight="1" s="12">
      <c r="A1715" s="14">
        <f>'Raw Data'!A1715</f>
        <v/>
      </c>
      <c r="B1715" s="14">
        <f>'Raw Data'!B1715</f>
        <v/>
      </c>
      <c r="C1715" s="14">
        <f>'Raw Data'!C1715</f>
        <v/>
      </c>
      <c r="D1715" s="15">
        <f>'Raw Data'!M1715</f>
        <v/>
      </c>
      <c r="E1715" s="18">
        <f>'Raw Data'!M1715/'Raw Data'!L1715*100</f>
        <v/>
      </c>
      <c r="F1715" s="14">
        <f>IF(E1715&gt;15,"Wet Year",IF(E1715&lt;-15,"Dry Year","Normal Year"))</f>
        <v/>
      </c>
      <c r="G1715" s="16">
        <f>'Raw Data'!I1715</f>
        <v/>
      </c>
      <c r="H1715" s="14">
        <f>IF(G1715&lt;15,"Low Variability",IF(G1715&lt;=35,"Moderate Variability","High Variability"))</f>
        <v/>
      </c>
      <c r="I1715" s="18">
        <f>'Raw Data'!O1715</f>
        <v/>
      </c>
      <c r="J1715" s="14">
        <f>IF(I1715=0,"No Flood",IF(I1715&lt;=0.5,"Low",IF(I1715&lt;=2,"Moderate","High")))</f>
        <v/>
      </c>
    </row>
    <row r="1716" ht="15" customHeight="1" s="12">
      <c r="A1716" s="14">
        <f>'Raw Data'!A1716</f>
        <v/>
      </c>
      <c r="B1716" s="14">
        <f>'Raw Data'!B1716</f>
        <v/>
      </c>
      <c r="C1716" s="14">
        <f>'Raw Data'!C1716</f>
        <v/>
      </c>
      <c r="D1716" s="15">
        <f>'Raw Data'!M1716</f>
        <v/>
      </c>
      <c r="E1716" s="18">
        <f>'Raw Data'!M1716/'Raw Data'!L1716*100</f>
        <v/>
      </c>
      <c r="F1716" s="14">
        <f>IF(E1716&gt;15,"Wet Year",IF(E1716&lt;-15,"Dry Year","Normal Year"))</f>
        <v/>
      </c>
      <c r="G1716" s="16">
        <f>'Raw Data'!I1716</f>
        <v/>
      </c>
      <c r="H1716" s="14">
        <f>IF(G1716&lt;15,"Low Variability",IF(G1716&lt;=35,"Moderate Variability","High Variability"))</f>
        <v/>
      </c>
      <c r="I1716" s="18">
        <f>'Raw Data'!O1716</f>
        <v/>
      </c>
      <c r="J1716" s="14">
        <f>IF(I1716=0,"No Flood",IF(I1716&lt;=0.5,"Low",IF(I1716&lt;=2,"Moderate","High")))</f>
        <v/>
      </c>
    </row>
    <row r="1717" ht="15" customHeight="1" s="12">
      <c r="A1717" s="14">
        <f>'Raw Data'!A1717</f>
        <v/>
      </c>
      <c r="B1717" s="14">
        <f>'Raw Data'!B1717</f>
        <v/>
      </c>
      <c r="C1717" s="14">
        <f>'Raw Data'!C1717</f>
        <v/>
      </c>
      <c r="D1717" s="15">
        <f>'Raw Data'!M1717</f>
        <v/>
      </c>
      <c r="E1717" s="18">
        <f>'Raw Data'!M1717/'Raw Data'!L1717*100</f>
        <v/>
      </c>
      <c r="F1717" s="14">
        <f>IF(E1717&gt;15,"Wet Year",IF(E1717&lt;-15,"Dry Year","Normal Year"))</f>
        <v/>
      </c>
      <c r="G1717" s="16">
        <f>'Raw Data'!I1717</f>
        <v/>
      </c>
      <c r="H1717" s="14">
        <f>IF(G1717&lt;15,"Low Variability",IF(G1717&lt;=35,"Moderate Variability","High Variability"))</f>
        <v/>
      </c>
      <c r="I1717" s="18">
        <f>'Raw Data'!O1717</f>
        <v/>
      </c>
      <c r="J1717" s="14">
        <f>IF(I1717=0,"No Flood",IF(I1717&lt;=0.5,"Low",IF(I1717&lt;=2,"Moderate","High")))</f>
        <v/>
      </c>
    </row>
    <row r="1718" ht="15" customHeight="1" s="12">
      <c r="A1718" s="14">
        <f>'Raw Data'!A1718</f>
        <v/>
      </c>
      <c r="B1718" s="14">
        <f>'Raw Data'!B1718</f>
        <v/>
      </c>
      <c r="C1718" s="14">
        <f>'Raw Data'!C1718</f>
        <v/>
      </c>
      <c r="D1718" s="15">
        <f>'Raw Data'!M1718</f>
        <v/>
      </c>
      <c r="E1718" s="18">
        <f>'Raw Data'!M1718/'Raw Data'!L1718*100</f>
        <v/>
      </c>
      <c r="F1718" s="14">
        <f>IF(E1718&gt;15,"Wet Year",IF(E1718&lt;-15,"Dry Year","Normal Year"))</f>
        <v/>
      </c>
      <c r="G1718" s="16">
        <f>'Raw Data'!I1718</f>
        <v/>
      </c>
      <c r="H1718" s="14">
        <f>IF(G1718&lt;15,"Low Variability",IF(G1718&lt;=35,"Moderate Variability","High Variability"))</f>
        <v/>
      </c>
      <c r="I1718" s="18">
        <f>'Raw Data'!O1718</f>
        <v/>
      </c>
      <c r="J1718" s="14">
        <f>IF(I1718=0,"No Flood",IF(I1718&lt;=0.5,"Low",IF(I1718&lt;=2,"Moderate","High")))</f>
        <v/>
      </c>
    </row>
    <row r="1719" ht="15" customHeight="1" s="12">
      <c r="A1719" s="14">
        <f>'Raw Data'!A1719</f>
        <v/>
      </c>
      <c r="B1719" s="14">
        <f>'Raw Data'!B1719</f>
        <v/>
      </c>
      <c r="C1719" s="14">
        <f>'Raw Data'!C1719</f>
        <v/>
      </c>
      <c r="D1719" s="15">
        <f>'Raw Data'!M1719</f>
        <v/>
      </c>
      <c r="E1719" s="18">
        <f>'Raw Data'!M1719/'Raw Data'!L1719*100</f>
        <v/>
      </c>
      <c r="F1719" s="14">
        <f>IF(E1719&gt;15,"Wet Year",IF(E1719&lt;-15,"Dry Year","Normal Year"))</f>
        <v/>
      </c>
      <c r="G1719" s="16">
        <f>'Raw Data'!I1719</f>
        <v/>
      </c>
      <c r="H1719" s="14">
        <f>IF(G1719&lt;15,"Low Variability",IF(G1719&lt;=35,"Moderate Variability","High Variability"))</f>
        <v/>
      </c>
      <c r="I1719" s="18">
        <f>'Raw Data'!O1719</f>
        <v/>
      </c>
      <c r="J1719" s="14">
        <f>IF(I1719=0,"No Flood",IF(I1719&lt;=0.5,"Low",IF(I1719&lt;=2,"Moderate","High")))</f>
        <v/>
      </c>
    </row>
    <row r="1720" ht="15" customHeight="1" s="12">
      <c r="A1720" s="14">
        <f>'Raw Data'!A1720</f>
        <v/>
      </c>
      <c r="B1720" s="14">
        <f>'Raw Data'!B1720</f>
        <v/>
      </c>
      <c r="C1720" s="14">
        <f>'Raw Data'!C1720</f>
        <v/>
      </c>
      <c r="D1720" s="15">
        <f>'Raw Data'!M1720</f>
        <v/>
      </c>
      <c r="E1720" s="18">
        <f>'Raw Data'!M1720/'Raw Data'!L1720*100</f>
        <v/>
      </c>
      <c r="F1720" s="14">
        <f>IF(E1720&gt;15,"Wet Year",IF(E1720&lt;-15,"Dry Year","Normal Year"))</f>
        <v/>
      </c>
      <c r="G1720" s="16">
        <f>'Raw Data'!I1720</f>
        <v/>
      </c>
      <c r="H1720" s="14">
        <f>IF(G1720&lt;15,"Low Variability",IF(G1720&lt;=35,"Moderate Variability","High Variability"))</f>
        <v/>
      </c>
      <c r="I1720" s="18">
        <f>'Raw Data'!O1720</f>
        <v/>
      </c>
      <c r="J1720" s="14">
        <f>IF(I1720=0,"No Flood",IF(I1720&lt;=0.5,"Low",IF(I1720&lt;=2,"Moderate","High")))</f>
        <v/>
      </c>
    </row>
    <row r="1721" ht="15" customHeight="1" s="12">
      <c r="A1721" s="14">
        <f>'Raw Data'!A1721</f>
        <v/>
      </c>
      <c r="B1721" s="14">
        <f>'Raw Data'!B1721</f>
        <v/>
      </c>
      <c r="C1721" s="14">
        <f>'Raw Data'!C1721</f>
        <v/>
      </c>
      <c r="D1721" s="15">
        <f>'Raw Data'!M1721</f>
        <v/>
      </c>
      <c r="E1721" s="18">
        <f>'Raw Data'!M1721/'Raw Data'!L1721*100</f>
        <v/>
      </c>
      <c r="F1721" s="14">
        <f>IF(E1721&gt;15,"Wet Year",IF(E1721&lt;-15,"Dry Year","Normal Year"))</f>
        <v/>
      </c>
      <c r="G1721" s="16">
        <f>'Raw Data'!I1721</f>
        <v/>
      </c>
      <c r="H1721" s="14">
        <f>IF(G1721&lt;15,"Low Variability",IF(G1721&lt;=35,"Moderate Variability","High Variability"))</f>
        <v/>
      </c>
      <c r="I1721" s="18">
        <f>'Raw Data'!O1721</f>
        <v/>
      </c>
      <c r="J1721" s="14">
        <f>IF(I1721=0,"No Flood",IF(I1721&lt;=0.5,"Low",IF(I1721&lt;=2,"Moderate","High")))</f>
        <v/>
      </c>
    </row>
    <row r="1722" ht="15" customHeight="1" s="12">
      <c r="A1722" s="14">
        <f>'Raw Data'!A1722</f>
        <v/>
      </c>
      <c r="B1722" s="14">
        <f>'Raw Data'!B1722</f>
        <v/>
      </c>
      <c r="C1722" s="14">
        <f>'Raw Data'!C1722</f>
        <v/>
      </c>
      <c r="D1722" s="15">
        <f>'Raw Data'!M1722</f>
        <v/>
      </c>
      <c r="E1722" s="18">
        <f>'Raw Data'!M1722/'Raw Data'!L1722*100</f>
        <v/>
      </c>
      <c r="F1722" s="14">
        <f>IF(E1722&gt;15,"Wet Year",IF(E1722&lt;-15,"Dry Year","Normal Year"))</f>
        <v/>
      </c>
      <c r="G1722" s="16">
        <f>'Raw Data'!I1722</f>
        <v/>
      </c>
      <c r="H1722" s="14">
        <f>IF(G1722&lt;15,"Low Variability",IF(G1722&lt;=35,"Moderate Variability","High Variability"))</f>
        <v/>
      </c>
      <c r="I1722" s="18">
        <f>'Raw Data'!O1722</f>
        <v/>
      </c>
      <c r="J1722" s="14">
        <f>IF(I1722=0,"No Flood",IF(I1722&lt;=0.5,"Low",IF(I1722&lt;=2,"Moderate","High")))</f>
        <v/>
      </c>
    </row>
    <row r="1723" ht="15" customHeight="1" s="12">
      <c r="A1723" s="14">
        <f>'Raw Data'!A1723</f>
        <v/>
      </c>
      <c r="B1723" s="14">
        <f>'Raw Data'!B1723</f>
        <v/>
      </c>
      <c r="C1723" s="14">
        <f>'Raw Data'!C1723</f>
        <v/>
      </c>
      <c r="D1723" s="15">
        <f>'Raw Data'!M1723</f>
        <v/>
      </c>
      <c r="E1723" s="18">
        <f>'Raw Data'!M1723/'Raw Data'!L1723*100</f>
        <v/>
      </c>
      <c r="F1723" s="14">
        <f>IF(E1723&gt;15,"Wet Year",IF(E1723&lt;-15,"Dry Year","Normal Year"))</f>
        <v/>
      </c>
      <c r="G1723" s="16">
        <f>'Raw Data'!I1723</f>
        <v/>
      </c>
      <c r="H1723" s="14">
        <f>IF(G1723&lt;15,"Low Variability",IF(G1723&lt;=35,"Moderate Variability","High Variability"))</f>
        <v/>
      </c>
      <c r="I1723" s="18">
        <f>'Raw Data'!O1723</f>
        <v/>
      </c>
      <c r="J1723" s="14">
        <f>IF(I1723=0,"No Flood",IF(I1723&lt;=0.5,"Low",IF(I1723&lt;=2,"Moderate","High")))</f>
        <v/>
      </c>
    </row>
    <row r="1724" ht="15" customHeight="1" s="12">
      <c r="A1724" s="14">
        <f>'Raw Data'!A1724</f>
        <v/>
      </c>
      <c r="B1724" s="14">
        <f>'Raw Data'!B1724</f>
        <v/>
      </c>
      <c r="C1724" s="14">
        <f>'Raw Data'!C1724</f>
        <v/>
      </c>
      <c r="D1724" s="15">
        <f>'Raw Data'!M1724</f>
        <v/>
      </c>
      <c r="E1724" s="18">
        <f>'Raw Data'!M1724/'Raw Data'!L1724*100</f>
        <v/>
      </c>
      <c r="F1724" s="14">
        <f>IF(E1724&gt;15,"Wet Year",IF(E1724&lt;-15,"Dry Year","Normal Year"))</f>
        <v/>
      </c>
      <c r="G1724" s="16">
        <f>'Raw Data'!I1724</f>
        <v/>
      </c>
      <c r="H1724" s="14">
        <f>IF(G1724&lt;15,"Low Variability",IF(G1724&lt;=35,"Moderate Variability","High Variability"))</f>
        <v/>
      </c>
      <c r="I1724" s="18">
        <f>'Raw Data'!O1724</f>
        <v/>
      </c>
      <c r="J1724" s="14">
        <f>IF(I1724=0,"No Flood",IF(I1724&lt;=0.5,"Low",IF(I1724&lt;=2,"Moderate","High")))</f>
        <v/>
      </c>
    </row>
    <row r="1725" ht="15" customHeight="1" s="12">
      <c r="A1725" s="14">
        <f>'Raw Data'!A1725</f>
        <v/>
      </c>
      <c r="B1725" s="14">
        <f>'Raw Data'!B1725</f>
        <v/>
      </c>
      <c r="C1725" s="14">
        <f>'Raw Data'!C1725</f>
        <v/>
      </c>
      <c r="D1725" s="15">
        <f>'Raw Data'!M1725</f>
        <v/>
      </c>
      <c r="E1725" s="18">
        <f>'Raw Data'!M1725/'Raw Data'!L1725*100</f>
        <v/>
      </c>
      <c r="F1725" s="14">
        <f>IF(E1725&gt;15,"Wet Year",IF(E1725&lt;-15,"Dry Year","Normal Year"))</f>
        <v/>
      </c>
      <c r="G1725" s="16">
        <f>'Raw Data'!I1725</f>
        <v/>
      </c>
      <c r="H1725" s="14">
        <f>IF(G1725&lt;15,"Low Variability",IF(G1725&lt;=35,"Moderate Variability","High Variability"))</f>
        <v/>
      </c>
      <c r="I1725" s="18">
        <f>'Raw Data'!O1725</f>
        <v/>
      </c>
      <c r="J1725" s="14">
        <f>IF(I1725=0,"No Flood",IF(I1725&lt;=0.5,"Low",IF(I1725&lt;=2,"Moderate","High")))</f>
        <v/>
      </c>
    </row>
    <row r="1726" ht="15" customHeight="1" s="12">
      <c r="A1726" s="14">
        <f>'Raw Data'!A1726</f>
        <v/>
      </c>
      <c r="B1726" s="14">
        <f>'Raw Data'!B1726</f>
        <v/>
      </c>
      <c r="C1726" s="14">
        <f>'Raw Data'!C1726</f>
        <v/>
      </c>
      <c r="D1726" s="15">
        <f>'Raw Data'!M1726</f>
        <v/>
      </c>
      <c r="E1726" s="18">
        <f>'Raw Data'!M1726/'Raw Data'!L1726*100</f>
        <v/>
      </c>
      <c r="F1726" s="14">
        <f>IF(E1726&gt;15,"Wet Year",IF(E1726&lt;-15,"Dry Year","Normal Year"))</f>
        <v/>
      </c>
      <c r="G1726" s="16">
        <f>'Raw Data'!I1726</f>
        <v/>
      </c>
      <c r="H1726" s="14">
        <f>IF(G1726&lt;15,"Low Variability",IF(G1726&lt;=35,"Moderate Variability","High Variability"))</f>
        <v/>
      </c>
      <c r="I1726" s="18">
        <f>'Raw Data'!O1726</f>
        <v/>
      </c>
      <c r="J1726" s="14">
        <f>IF(I1726=0,"No Flood",IF(I1726&lt;=0.5,"Low",IF(I1726&lt;=2,"Moderate","High")))</f>
        <v/>
      </c>
    </row>
    <row r="1727" ht="15" customHeight="1" s="12">
      <c r="A1727" s="14">
        <f>'Raw Data'!A1727</f>
        <v/>
      </c>
      <c r="B1727" s="14">
        <f>'Raw Data'!B1727</f>
        <v/>
      </c>
      <c r="C1727" s="14">
        <f>'Raw Data'!C1727</f>
        <v/>
      </c>
      <c r="D1727" s="15">
        <f>'Raw Data'!M1727</f>
        <v/>
      </c>
      <c r="E1727" s="18">
        <f>'Raw Data'!M1727/'Raw Data'!L1727*100</f>
        <v/>
      </c>
      <c r="F1727" s="14">
        <f>IF(E1727&gt;15,"Wet Year",IF(E1727&lt;-15,"Dry Year","Normal Year"))</f>
        <v/>
      </c>
      <c r="G1727" s="16">
        <f>'Raw Data'!I1727</f>
        <v/>
      </c>
      <c r="H1727" s="14">
        <f>IF(G1727&lt;15,"Low Variability",IF(G1727&lt;=35,"Moderate Variability","High Variability"))</f>
        <v/>
      </c>
      <c r="I1727" s="18">
        <f>'Raw Data'!O1727</f>
        <v/>
      </c>
      <c r="J1727" s="14">
        <f>IF(I1727=0,"No Flood",IF(I1727&lt;=0.5,"Low",IF(I1727&lt;=2,"Moderate","High")))</f>
        <v/>
      </c>
    </row>
    <row r="1728" ht="15" customHeight="1" s="12">
      <c r="A1728" s="14">
        <f>'Raw Data'!A1728</f>
        <v/>
      </c>
      <c r="B1728" s="14">
        <f>'Raw Data'!B1728</f>
        <v/>
      </c>
      <c r="C1728" s="14">
        <f>'Raw Data'!C1728</f>
        <v/>
      </c>
      <c r="D1728" s="15">
        <f>'Raw Data'!M1728</f>
        <v/>
      </c>
      <c r="E1728" s="18">
        <f>'Raw Data'!M1728/'Raw Data'!L1728*100</f>
        <v/>
      </c>
      <c r="F1728" s="14">
        <f>IF(E1728&gt;15,"Wet Year",IF(E1728&lt;-15,"Dry Year","Normal Year"))</f>
        <v/>
      </c>
      <c r="G1728" s="16">
        <f>'Raw Data'!I1728</f>
        <v/>
      </c>
      <c r="H1728" s="14">
        <f>IF(G1728&lt;15,"Low Variability",IF(G1728&lt;=35,"Moderate Variability","High Variability"))</f>
        <v/>
      </c>
      <c r="I1728" s="18">
        <f>'Raw Data'!O1728</f>
        <v/>
      </c>
      <c r="J1728" s="14">
        <f>IF(I1728=0,"No Flood",IF(I1728&lt;=0.5,"Low",IF(I1728&lt;=2,"Moderate","High")))</f>
        <v/>
      </c>
    </row>
    <row r="1729" ht="15" customHeight="1" s="12">
      <c r="A1729" s="14">
        <f>'Raw Data'!A1729</f>
        <v/>
      </c>
      <c r="B1729" s="14">
        <f>'Raw Data'!B1729</f>
        <v/>
      </c>
      <c r="C1729" s="14">
        <f>'Raw Data'!C1729</f>
        <v/>
      </c>
      <c r="D1729" s="15">
        <f>'Raw Data'!M1729</f>
        <v/>
      </c>
      <c r="E1729" s="18">
        <f>'Raw Data'!M1729/'Raw Data'!L1729*100</f>
        <v/>
      </c>
      <c r="F1729" s="14">
        <f>IF(E1729&gt;15,"Wet Year",IF(E1729&lt;-15,"Dry Year","Normal Year"))</f>
        <v/>
      </c>
      <c r="G1729" s="16">
        <f>'Raw Data'!I1729</f>
        <v/>
      </c>
      <c r="H1729" s="14">
        <f>IF(G1729&lt;15,"Low Variability",IF(G1729&lt;=35,"Moderate Variability","High Variability"))</f>
        <v/>
      </c>
      <c r="I1729" s="18">
        <f>'Raw Data'!O1729</f>
        <v/>
      </c>
      <c r="J1729" s="14">
        <f>IF(I1729=0,"No Flood",IF(I1729&lt;=0.5,"Low",IF(I1729&lt;=2,"Moderate","High")))</f>
        <v/>
      </c>
    </row>
    <row r="1730" ht="15" customHeight="1" s="12">
      <c r="A1730" s="14">
        <f>'Raw Data'!A1730</f>
        <v/>
      </c>
      <c r="B1730" s="14">
        <f>'Raw Data'!B1730</f>
        <v/>
      </c>
      <c r="C1730" s="14">
        <f>'Raw Data'!C1730</f>
        <v/>
      </c>
      <c r="D1730" s="15">
        <f>'Raw Data'!M1730</f>
        <v/>
      </c>
      <c r="E1730" s="18">
        <f>'Raw Data'!M1730/'Raw Data'!L1730*100</f>
        <v/>
      </c>
      <c r="F1730" s="14">
        <f>IF(E1730&gt;15,"Wet Year",IF(E1730&lt;-15,"Dry Year","Normal Year"))</f>
        <v/>
      </c>
      <c r="G1730" s="16">
        <f>'Raw Data'!I1730</f>
        <v/>
      </c>
      <c r="H1730" s="14">
        <f>IF(G1730&lt;15,"Low Variability",IF(G1730&lt;=35,"Moderate Variability","High Variability"))</f>
        <v/>
      </c>
      <c r="I1730" s="18">
        <f>'Raw Data'!O1730</f>
        <v/>
      </c>
      <c r="J1730" s="14">
        <f>IF(I1730=0,"No Flood",IF(I1730&lt;=0.5,"Low",IF(I1730&lt;=2,"Moderate","High")))</f>
        <v/>
      </c>
    </row>
    <row r="1731" ht="15" customHeight="1" s="12">
      <c r="A1731" s="14">
        <f>'Raw Data'!A1731</f>
        <v/>
      </c>
      <c r="B1731" s="14">
        <f>'Raw Data'!B1731</f>
        <v/>
      </c>
      <c r="C1731" s="14">
        <f>'Raw Data'!C1731</f>
        <v/>
      </c>
      <c r="D1731" s="15">
        <f>'Raw Data'!M1731</f>
        <v/>
      </c>
      <c r="E1731" s="18">
        <f>'Raw Data'!M1731/'Raw Data'!L1731*100</f>
        <v/>
      </c>
      <c r="F1731" s="14">
        <f>IF(E1731&gt;15,"Wet Year",IF(E1731&lt;-15,"Dry Year","Normal Year"))</f>
        <v/>
      </c>
      <c r="G1731" s="16">
        <f>'Raw Data'!I1731</f>
        <v/>
      </c>
      <c r="H1731" s="14">
        <f>IF(G1731&lt;15,"Low Variability",IF(G1731&lt;=35,"Moderate Variability","High Variability"))</f>
        <v/>
      </c>
      <c r="I1731" s="18">
        <f>'Raw Data'!O1731</f>
        <v/>
      </c>
      <c r="J1731" s="14">
        <f>IF(I1731=0,"No Flood",IF(I1731&lt;=0.5,"Low",IF(I1731&lt;=2,"Moderate","High")))</f>
        <v/>
      </c>
    </row>
    <row r="1732" ht="15" customHeight="1" s="12">
      <c r="A1732" s="14">
        <f>'Raw Data'!A1732</f>
        <v/>
      </c>
      <c r="B1732" s="14">
        <f>'Raw Data'!B1732</f>
        <v/>
      </c>
      <c r="C1732" s="14">
        <f>'Raw Data'!C1732</f>
        <v/>
      </c>
      <c r="D1732" s="15">
        <f>'Raw Data'!M1732</f>
        <v/>
      </c>
      <c r="E1732" s="18">
        <f>'Raw Data'!M1732/'Raw Data'!L1732*100</f>
        <v/>
      </c>
      <c r="F1732" s="14">
        <f>IF(E1732&gt;15,"Wet Year",IF(E1732&lt;-15,"Dry Year","Normal Year"))</f>
        <v/>
      </c>
      <c r="G1732" s="16">
        <f>'Raw Data'!I1732</f>
        <v/>
      </c>
      <c r="H1732" s="14">
        <f>IF(G1732&lt;15,"Low Variability",IF(G1732&lt;=35,"Moderate Variability","High Variability"))</f>
        <v/>
      </c>
      <c r="I1732" s="18">
        <f>'Raw Data'!O1732</f>
        <v/>
      </c>
      <c r="J1732" s="14">
        <f>IF(I1732=0,"No Flood",IF(I1732&lt;=0.5,"Low",IF(I1732&lt;=2,"Moderate","High")))</f>
        <v/>
      </c>
    </row>
    <row r="1733" ht="15" customHeight="1" s="12">
      <c r="A1733" s="14">
        <f>'Raw Data'!A1733</f>
        <v/>
      </c>
      <c r="B1733" s="14">
        <f>'Raw Data'!B1733</f>
        <v/>
      </c>
      <c r="C1733" s="14">
        <f>'Raw Data'!C1733</f>
        <v/>
      </c>
      <c r="D1733" s="15">
        <f>'Raw Data'!M1733</f>
        <v/>
      </c>
      <c r="E1733" s="18">
        <f>'Raw Data'!M1733/'Raw Data'!L1733*100</f>
        <v/>
      </c>
      <c r="F1733" s="14">
        <f>IF(E1733&gt;15,"Wet Year",IF(E1733&lt;-15,"Dry Year","Normal Year"))</f>
        <v/>
      </c>
      <c r="G1733" s="16">
        <f>'Raw Data'!I1733</f>
        <v/>
      </c>
      <c r="H1733" s="14">
        <f>IF(G1733&lt;15,"Low Variability",IF(G1733&lt;=35,"Moderate Variability","High Variability"))</f>
        <v/>
      </c>
      <c r="I1733" s="18">
        <f>'Raw Data'!O1733</f>
        <v/>
      </c>
      <c r="J1733" s="14">
        <f>IF(I1733=0,"No Flood",IF(I1733&lt;=0.5,"Low",IF(I1733&lt;=2,"Moderate","High")))</f>
        <v/>
      </c>
    </row>
    <row r="1734" ht="15" customHeight="1" s="12">
      <c r="A1734" s="14">
        <f>'Raw Data'!A1734</f>
        <v/>
      </c>
      <c r="B1734" s="14">
        <f>'Raw Data'!B1734</f>
        <v/>
      </c>
      <c r="C1734" s="14">
        <f>'Raw Data'!C1734</f>
        <v/>
      </c>
      <c r="D1734" s="15">
        <f>'Raw Data'!M1734</f>
        <v/>
      </c>
      <c r="E1734" s="18">
        <f>'Raw Data'!M1734/'Raw Data'!L1734*100</f>
        <v/>
      </c>
      <c r="F1734" s="14">
        <f>IF(E1734&gt;15,"Wet Year",IF(E1734&lt;-15,"Dry Year","Normal Year"))</f>
        <v/>
      </c>
      <c r="G1734" s="16">
        <f>'Raw Data'!I1734</f>
        <v/>
      </c>
      <c r="H1734" s="14">
        <f>IF(G1734&lt;15,"Low Variability",IF(G1734&lt;=35,"Moderate Variability","High Variability"))</f>
        <v/>
      </c>
      <c r="I1734" s="18">
        <f>'Raw Data'!O1734</f>
        <v/>
      </c>
      <c r="J1734" s="14">
        <f>IF(I1734=0,"No Flood",IF(I1734&lt;=0.5,"Low",IF(I1734&lt;=2,"Moderate","High")))</f>
        <v/>
      </c>
    </row>
    <row r="1735" ht="15" customHeight="1" s="12">
      <c r="A1735" s="14">
        <f>'Raw Data'!A1735</f>
        <v/>
      </c>
      <c r="B1735" s="14">
        <f>'Raw Data'!B1735</f>
        <v/>
      </c>
      <c r="C1735" s="14">
        <f>'Raw Data'!C1735</f>
        <v/>
      </c>
      <c r="D1735" s="15">
        <f>'Raw Data'!M1735</f>
        <v/>
      </c>
      <c r="E1735" s="18">
        <f>'Raw Data'!M1735/'Raw Data'!L1735*100</f>
        <v/>
      </c>
      <c r="F1735" s="14">
        <f>IF(E1735&gt;15,"Wet Year",IF(E1735&lt;-15,"Dry Year","Normal Year"))</f>
        <v/>
      </c>
      <c r="G1735" s="16">
        <f>'Raw Data'!I1735</f>
        <v/>
      </c>
      <c r="H1735" s="14">
        <f>IF(G1735&lt;15,"Low Variability",IF(G1735&lt;=35,"Moderate Variability","High Variability"))</f>
        <v/>
      </c>
      <c r="I1735" s="18">
        <f>'Raw Data'!O1735</f>
        <v/>
      </c>
      <c r="J1735" s="14">
        <f>IF(I1735=0,"No Flood",IF(I1735&lt;=0.5,"Low",IF(I1735&lt;=2,"Moderate","High")))</f>
        <v/>
      </c>
    </row>
    <row r="1736" ht="15" customHeight="1" s="12">
      <c r="A1736" s="14">
        <f>'Raw Data'!A1736</f>
        <v/>
      </c>
      <c r="B1736" s="14">
        <f>'Raw Data'!B1736</f>
        <v/>
      </c>
      <c r="C1736" s="14">
        <f>'Raw Data'!C1736</f>
        <v/>
      </c>
      <c r="D1736" s="15">
        <f>'Raw Data'!M1736</f>
        <v/>
      </c>
      <c r="E1736" s="18">
        <f>'Raw Data'!M1736/'Raw Data'!L1736*100</f>
        <v/>
      </c>
      <c r="F1736" s="14">
        <f>IF(E1736&gt;15,"Wet Year",IF(E1736&lt;-15,"Dry Year","Normal Year"))</f>
        <v/>
      </c>
      <c r="G1736" s="16">
        <f>'Raw Data'!I1736</f>
        <v/>
      </c>
      <c r="H1736" s="14">
        <f>IF(G1736&lt;15,"Low Variability",IF(G1736&lt;=35,"Moderate Variability","High Variability"))</f>
        <v/>
      </c>
      <c r="I1736" s="18">
        <f>'Raw Data'!O1736</f>
        <v/>
      </c>
      <c r="J1736" s="14">
        <f>IF(I1736=0,"No Flood",IF(I1736&lt;=0.5,"Low",IF(I1736&lt;=2,"Moderate","High")))</f>
        <v/>
      </c>
    </row>
    <row r="1737" ht="15" customHeight="1" s="12">
      <c r="A1737" s="14">
        <f>'Raw Data'!A1737</f>
        <v/>
      </c>
      <c r="B1737" s="14">
        <f>'Raw Data'!B1737</f>
        <v/>
      </c>
      <c r="C1737" s="14">
        <f>'Raw Data'!C1737</f>
        <v/>
      </c>
      <c r="D1737" s="15">
        <f>'Raw Data'!M1737</f>
        <v/>
      </c>
      <c r="E1737" s="18">
        <f>'Raw Data'!M1737/'Raw Data'!L1737*100</f>
        <v/>
      </c>
      <c r="F1737" s="14">
        <f>IF(E1737&gt;15,"Wet Year",IF(E1737&lt;-15,"Dry Year","Normal Year"))</f>
        <v/>
      </c>
      <c r="G1737" s="16">
        <f>'Raw Data'!I1737</f>
        <v/>
      </c>
      <c r="H1737" s="14">
        <f>IF(G1737&lt;15,"Low Variability",IF(G1737&lt;=35,"Moderate Variability","High Variability"))</f>
        <v/>
      </c>
      <c r="I1737" s="18">
        <f>'Raw Data'!O1737</f>
        <v/>
      </c>
      <c r="J1737" s="14">
        <f>IF(I1737=0,"No Flood",IF(I1737&lt;=0.5,"Low",IF(I1737&lt;=2,"Moderate","High")))</f>
        <v/>
      </c>
    </row>
    <row r="1738" ht="15" customHeight="1" s="12">
      <c r="A1738" s="14">
        <f>'Raw Data'!A1738</f>
        <v/>
      </c>
      <c r="B1738" s="14">
        <f>'Raw Data'!B1738</f>
        <v/>
      </c>
      <c r="C1738" s="14">
        <f>'Raw Data'!C1738</f>
        <v/>
      </c>
      <c r="D1738" s="15">
        <f>'Raw Data'!M1738</f>
        <v/>
      </c>
      <c r="E1738" s="18">
        <f>'Raw Data'!M1738/'Raw Data'!L1738*100</f>
        <v/>
      </c>
      <c r="F1738" s="14">
        <f>IF(E1738&gt;15,"Wet Year",IF(E1738&lt;-15,"Dry Year","Normal Year"))</f>
        <v/>
      </c>
      <c r="G1738" s="16">
        <f>'Raw Data'!I1738</f>
        <v/>
      </c>
      <c r="H1738" s="14">
        <f>IF(G1738&lt;15,"Low Variability",IF(G1738&lt;=35,"Moderate Variability","High Variability"))</f>
        <v/>
      </c>
      <c r="I1738" s="18">
        <f>'Raw Data'!O1738</f>
        <v/>
      </c>
      <c r="J1738" s="14">
        <f>IF(I1738=0,"No Flood",IF(I1738&lt;=0.5,"Low",IF(I1738&lt;=2,"Moderate","High")))</f>
        <v/>
      </c>
    </row>
    <row r="1739" ht="15" customHeight="1" s="12">
      <c r="A1739" s="14">
        <f>'Raw Data'!A1739</f>
        <v/>
      </c>
      <c r="B1739" s="14">
        <f>'Raw Data'!B1739</f>
        <v/>
      </c>
      <c r="C1739" s="14">
        <f>'Raw Data'!C1739</f>
        <v/>
      </c>
      <c r="D1739" s="15">
        <f>'Raw Data'!M1739</f>
        <v/>
      </c>
      <c r="E1739" s="18">
        <f>'Raw Data'!M1739/'Raw Data'!L1739*100</f>
        <v/>
      </c>
      <c r="F1739" s="14">
        <f>IF(E1739&gt;15,"Wet Year",IF(E1739&lt;-15,"Dry Year","Normal Year"))</f>
        <v/>
      </c>
      <c r="G1739" s="16">
        <f>'Raw Data'!I1739</f>
        <v/>
      </c>
      <c r="H1739" s="14">
        <f>IF(G1739&lt;15,"Low Variability",IF(G1739&lt;=35,"Moderate Variability","High Variability"))</f>
        <v/>
      </c>
      <c r="I1739" s="18">
        <f>'Raw Data'!O1739</f>
        <v/>
      </c>
      <c r="J1739" s="14">
        <f>IF(I1739=0,"No Flood",IF(I1739&lt;=0.5,"Low",IF(I1739&lt;=2,"Moderate","High")))</f>
        <v/>
      </c>
    </row>
    <row r="1740" ht="15" customHeight="1" s="12">
      <c r="A1740" s="14">
        <f>'Raw Data'!A1740</f>
        <v/>
      </c>
      <c r="B1740" s="14">
        <f>'Raw Data'!B1740</f>
        <v/>
      </c>
      <c r="C1740" s="14">
        <f>'Raw Data'!C1740</f>
        <v/>
      </c>
      <c r="D1740" s="15">
        <f>'Raw Data'!M1740</f>
        <v/>
      </c>
      <c r="E1740" s="18">
        <f>'Raw Data'!M1740/'Raw Data'!L1740*100</f>
        <v/>
      </c>
      <c r="F1740" s="14">
        <f>IF(E1740&gt;15,"Wet Year",IF(E1740&lt;-15,"Dry Year","Normal Year"))</f>
        <v/>
      </c>
      <c r="G1740" s="16">
        <f>'Raw Data'!I1740</f>
        <v/>
      </c>
      <c r="H1740" s="14">
        <f>IF(G1740&lt;15,"Low Variability",IF(G1740&lt;=35,"Moderate Variability","High Variability"))</f>
        <v/>
      </c>
      <c r="I1740" s="18">
        <f>'Raw Data'!O1740</f>
        <v/>
      </c>
      <c r="J1740" s="14">
        <f>IF(I1740=0,"No Flood",IF(I1740&lt;=0.5,"Low",IF(I1740&lt;=2,"Moderate","High")))</f>
        <v/>
      </c>
    </row>
    <row r="1741" ht="15" customHeight="1" s="12">
      <c r="A1741" s="14">
        <f>'Raw Data'!A1741</f>
        <v/>
      </c>
      <c r="B1741" s="14">
        <f>'Raw Data'!B1741</f>
        <v/>
      </c>
      <c r="C1741" s="14">
        <f>'Raw Data'!C1741</f>
        <v/>
      </c>
      <c r="D1741" s="15">
        <f>'Raw Data'!M1741</f>
        <v/>
      </c>
      <c r="E1741" s="18">
        <f>'Raw Data'!M1741/'Raw Data'!L1741*100</f>
        <v/>
      </c>
      <c r="F1741" s="14">
        <f>IF(E1741&gt;15,"Wet Year",IF(E1741&lt;-15,"Dry Year","Normal Year"))</f>
        <v/>
      </c>
      <c r="G1741" s="16">
        <f>'Raw Data'!I1741</f>
        <v/>
      </c>
      <c r="H1741" s="14">
        <f>IF(G1741&lt;15,"Low Variability",IF(G1741&lt;=35,"Moderate Variability","High Variability"))</f>
        <v/>
      </c>
      <c r="I1741" s="18">
        <f>'Raw Data'!O1741</f>
        <v/>
      </c>
      <c r="J1741" s="14">
        <f>IF(I1741=0,"No Flood",IF(I1741&lt;=0.5,"Low",IF(I1741&lt;=2,"Moderate","High")))</f>
        <v/>
      </c>
    </row>
    <row r="1742" ht="15" customHeight="1" s="12">
      <c r="A1742" s="14">
        <f>'Raw Data'!A1742</f>
        <v/>
      </c>
      <c r="B1742" s="14">
        <f>'Raw Data'!B1742</f>
        <v/>
      </c>
      <c r="C1742" s="14">
        <f>'Raw Data'!C1742</f>
        <v/>
      </c>
      <c r="D1742" s="15">
        <f>'Raw Data'!M1742</f>
        <v/>
      </c>
      <c r="E1742" s="18">
        <f>'Raw Data'!M1742/'Raw Data'!L1742*100</f>
        <v/>
      </c>
      <c r="F1742" s="14">
        <f>IF(E1742&gt;15,"Wet Year",IF(E1742&lt;-15,"Dry Year","Normal Year"))</f>
        <v/>
      </c>
      <c r="G1742" s="16">
        <f>'Raw Data'!I1742</f>
        <v/>
      </c>
      <c r="H1742" s="14">
        <f>IF(G1742&lt;15,"Low Variability",IF(G1742&lt;=35,"Moderate Variability","High Variability"))</f>
        <v/>
      </c>
      <c r="I1742" s="18">
        <f>'Raw Data'!O1742</f>
        <v/>
      </c>
      <c r="J1742" s="14">
        <f>IF(I1742=0,"No Flood",IF(I1742&lt;=0.5,"Low",IF(I1742&lt;=2,"Moderate","High")))</f>
        <v/>
      </c>
    </row>
    <row r="1743" ht="15" customHeight="1" s="12">
      <c r="A1743" s="14">
        <f>'Raw Data'!A1743</f>
        <v/>
      </c>
      <c r="B1743" s="14">
        <f>'Raw Data'!B1743</f>
        <v/>
      </c>
      <c r="C1743" s="14">
        <f>'Raw Data'!C1743</f>
        <v/>
      </c>
      <c r="D1743" s="15">
        <f>'Raw Data'!M1743</f>
        <v/>
      </c>
      <c r="E1743" s="18">
        <f>'Raw Data'!M1743/'Raw Data'!L1743*100</f>
        <v/>
      </c>
      <c r="F1743" s="14">
        <f>IF(E1743&gt;15,"Wet Year",IF(E1743&lt;-15,"Dry Year","Normal Year"))</f>
        <v/>
      </c>
      <c r="G1743" s="16">
        <f>'Raw Data'!I1743</f>
        <v/>
      </c>
      <c r="H1743" s="14">
        <f>IF(G1743&lt;15,"Low Variability",IF(G1743&lt;=35,"Moderate Variability","High Variability"))</f>
        <v/>
      </c>
      <c r="I1743" s="18">
        <f>'Raw Data'!O1743</f>
        <v/>
      </c>
      <c r="J1743" s="14">
        <f>IF(I1743=0,"No Flood",IF(I1743&lt;=0.5,"Low",IF(I1743&lt;=2,"Moderate","High")))</f>
        <v/>
      </c>
    </row>
    <row r="1744" ht="15" customHeight="1" s="12">
      <c r="A1744" s="14">
        <f>'Raw Data'!A1744</f>
        <v/>
      </c>
      <c r="B1744" s="14">
        <f>'Raw Data'!B1744</f>
        <v/>
      </c>
      <c r="C1744" s="14">
        <f>'Raw Data'!C1744</f>
        <v/>
      </c>
      <c r="D1744" s="15">
        <f>'Raw Data'!M1744</f>
        <v/>
      </c>
      <c r="E1744" s="18">
        <f>'Raw Data'!M1744/'Raw Data'!L1744*100</f>
        <v/>
      </c>
      <c r="F1744" s="14">
        <f>IF(E1744&gt;15,"Wet Year",IF(E1744&lt;-15,"Dry Year","Normal Year"))</f>
        <v/>
      </c>
      <c r="G1744" s="16">
        <f>'Raw Data'!I1744</f>
        <v/>
      </c>
      <c r="H1744" s="14">
        <f>IF(G1744&lt;15,"Low Variability",IF(G1744&lt;=35,"Moderate Variability","High Variability"))</f>
        <v/>
      </c>
      <c r="I1744" s="18">
        <f>'Raw Data'!O1744</f>
        <v/>
      </c>
      <c r="J1744" s="14">
        <f>IF(I1744=0,"No Flood",IF(I1744&lt;=0.5,"Low",IF(I1744&lt;=2,"Moderate","High")))</f>
        <v/>
      </c>
    </row>
    <row r="1745" ht="15" customHeight="1" s="12">
      <c r="A1745" s="14">
        <f>'Raw Data'!A1745</f>
        <v/>
      </c>
      <c r="B1745" s="14">
        <f>'Raw Data'!B1745</f>
        <v/>
      </c>
      <c r="C1745" s="14">
        <f>'Raw Data'!C1745</f>
        <v/>
      </c>
      <c r="D1745" s="15">
        <f>'Raw Data'!M1745</f>
        <v/>
      </c>
      <c r="E1745" s="18">
        <f>'Raw Data'!M1745/'Raw Data'!L1745*100</f>
        <v/>
      </c>
      <c r="F1745" s="14">
        <f>IF(E1745&gt;15,"Wet Year",IF(E1745&lt;-15,"Dry Year","Normal Year"))</f>
        <v/>
      </c>
      <c r="G1745" s="16">
        <f>'Raw Data'!I1745</f>
        <v/>
      </c>
      <c r="H1745" s="14">
        <f>IF(G1745&lt;15,"Low Variability",IF(G1745&lt;=35,"Moderate Variability","High Variability"))</f>
        <v/>
      </c>
      <c r="I1745" s="18">
        <f>'Raw Data'!O1745</f>
        <v/>
      </c>
      <c r="J1745" s="14">
        <f>IF(I1745=0,"No Flood",IF(I1745&lt;=0.5,"Low",IF(I1745&lt;=2,"Moderate","High")))</f>
        <v/>
      </c>
    </row>
    <row r="1746" ht="15" customHeight="1" s="12">
      <c r="A1746" s="14">
        <f>'Raw Data'!A1746</f>
        <v/>
      </c>
      <c r="B1746" s="14">
        <f>'Raw Data'!B1746</f>
        <v/>
      </c>
      <c r="C1746" s="14">
        <f>'Raw Data'!C1746</f>
        <v/>
      </c>
      <c r="D1746" s="15">
        <f>'Raw Data'!M1746</f>
        <v/>
      </c>
      <c r="E1746" s="18">
        <f>'Raw Data'!M1746/'Raw Data'!L1746*100</f>
        <v/>
      </c>
      <c r="F1746" s="14">
        <f>IF(E1746&gt;15,"Wet Year",IF(E1746&lt;-15,"Dry Year","Normal Year"))</f>
        <v/>
      </c>
      <c r="G1746" s="16">
        <f>'Raw Data'!I1746</f>
        <v/>
      </c>
      <c r="H1746" s="14">
        <f>IF(G1746&lt;15,"Low Variability",IF(G1746&lt;=35,"Moderate Variability","High Variability"))</f>
        <v/>
      </c>
      <c r="I1746" s="18">
        <f>'Raw Data'!O1746</f>
        <v/>
      </c>
      <c r="J1746" s="14">
        <f>IF(I1746=0,"No Flood",IF(I1746&lt;=0.5,"Low",IF(I1746&lt;=2,"Moderate","High")))</f>
        <v/>
      </c>
    </row>
    <row r="1747" ht="15" customHeight="1" s="12">
      <c r="A1747" s="14">
        <f>'Raw Data'!A1747</f>
        <v/>
      </c>
      <c r="B1747" s="14">
        <f>'Raw Data'!B1747</f>
        <v/>
      </c>
      <c r="C1747" s="14">
        <f>'Raw Data'!C1747</f>
        <v/>
      </c>
      <c r="D1747" s="15">
        <f>'Raw Data'!M1747</f>
        <v/>
      </c>
      <c r="E1747" s="18">
        <f>'Raw Data'!M1747/'Raw Data'!L1747*100</f>
        <v/>
      </c>
      <c r="F1747" s="14">
        <f>IF(E1747&gt;15,"Wet Year",IF(E1747&lt;-15,"Dry Year","Normal Year"))</f>
        <v/>
      </c>
      <c r="G1747" s="16">
        <f>'Raw Data'!I1747</f>
        <v/>
      </c>
      <c r="H1747" s="14">
        <f>IF(G1747&lt;15,"Low Variability",IF(G1747&lt;=35,"Moderate Variability","High Variability"))</f>
        <v/>
      </c>
      <c r="I1747" s="18">
        <f>'Raw Data'!O1747</f>
        <v/>
      </c>
      <c r="J1747" s="14">
        <f>IF(I1747=0,"No Flood",IF(I1747&lt;=0.5,"Low",IF(I1747&lt;=2,"Moderate","High")))</f>
        <v/>
      </c>
    </row>
    <row r="1748" ht="15" customHeight="1" s="12">
      <c r="A1748" s="14">
        <f>'Raw Data'!A1748</f>
        <v/>
      </c>
      <c r="B1748" s="14">
        <f>'Raw Data'!B1748</f>
        <v/>
      </c>
      <c r="C1748" s="14">
        <f>'Raw Data'!C1748</f>
        <v/>
      </c>
      <c r="D1748" s="15">
        <f>'Raw Data'!M1748</f>
        <v/>
      </c>
      <c r="E1748" s="18">
        <f>'Raw Data'!M1748/'Raw Data'!L1748*100</f>
        <v/>
      </c>
      <c r="F1748" s="14">
        <f>IF(E1748&gt;15,"Wet Year",IF(E1748&lt;-15,"Dry Year","Normal Year"))</f>
        <v/>
      </c>
      <c r="G1748" s="16">
        <f>'Raw Data'!I1748</f>
        <v/>
      </c>
      <c r="H1748" s="14">
        <f>IF(G1748&lt;15,"Low Variability",IF(G1748&lt;=35,"Moderate Variability","High Variability"))</f>
        <v/>
      </c>
      <c r="I1748" s="18">
        <f>'Raw Data'!O1748</f>
        <v/>
      </c>
      <c r="J1748" s="14">
        <f>IF(I1748=0,"No Flood",IF(I1748&lt;=0.5,"Low",IF(I1748&lt;=2,"Moderate","High")))</f>
        <v/>
      </c>
    </row>
    <row r="1749" ht="15" customHeight="1" s="12">
      <c r="A1749" s="14">
        <f>'Raw Data'!A1749</f>
        <v/>
      </c>
      <c r="B1749" s="14">
        <f>'Raw Data'!B1749</f>
        <v/>
      </c>
      <c r="C1749" s="14">
        <f>'Raw Data'!C1749</f>
        <v/>
      </c>
      <c r="D1749" s="15">
        <f>'Raw Data'!M1749</f>
        <v/>
      </c>
      <c r="E1749" s="18">
        <f>'Raw Data'!M1749/'Raw Data'!L1749*100</f>
        <v/>
      </c>
      <c r="F1749" s="14">
        <f>IF(E1749&gt;15,"Wet Year",IF(E1749&lt;-15,"Dry Year","Normal Year"))</f>
        <v/>
      </c>
      <c r="G1749" s="16">
        <f>'Raw Data'!I1749</f>
        <v/>
      </c>
      <c r="H1749" s="14">
        <f>IF(G1749&lt;15,"Low Variability",IF(G1749&lt;=35,"Moderate Variability","High Variability"))</f>
        <v/>
      </c>
      <c r="I1749" s="18">
        <f>'Raw Data'!O1749</f>
        <v/>
      </c>
      <c r="J1749" s="14">
        <f>IF(I1749=0,"No Flood",IF(I1749&lt;=0.5,"Low",IF(I1749&lt;=2,"Moderate","High")))</f>
        <v/>
      </c>
    </row>
    <row r="1750" ht="15" customHeight="1" s="12">
      <c r="A1750" s="14">
        <f>'Raw Data'!A1750</f>
        <v/>
      </c>
      <c r="B1750" s="14">
        <f>'Raw Data'!B1750</f>
        <v/>
      </c>
      <c r="C1750" s="14">
        <f>'Raw Data'!C1750</f>
        <v/>
      </c>
      <c r="D1750" s="15">
        <f>'Raw Data'!M1750</f>
        <v/>
      </c>
      <c r="E1750" s="18">
        <f>'Raw Data'!M1750/'Raw Data'!L1750*100</f>
        <v/>
      </c>
      <c r="F1750" s="14">
        <f>IF(E1750&gt;15,"Wet Year",IF(E1750&lt;-15,"Dry Year","Normal Year"))</f>
        <v/>
      </c>
      <c r="G1750" s="16">
        <f>'Raw Data'!I1750</f>
        <v/>
      </c>
      <c r="H1750" s="14">
        <f>IF(G1750&lt;15,"Low Variability",IF(G1750&lt;=35,"Moderate Variability","High Variability"))</f>
        <v/>
      </c>
      <c r="I1750" s="18">
        <f>'Raw Data'!O1750</f>
        <v/>
      </c>
      <c r="J1750" s="14">
        <f>IF(I1750=0,"No Flood",IF(I1750&lt;=0.5,"Low",IF(I1750&lt;=2,"Moderate","High")))</f>
        <v/>
      </c>
    </row>
    <row r="1751" ht="15" customHeight="1" s="12">
      <c r="A1751" s="14">
        <f>'Raw Data'!A1751</f>
        <v/>
      </c>
      <c r="B1751" s="14">
        <f>'Raw Data'!B1751</f>
        <v/>
      </c>
      <c r="C1751" s="14">
        <f>'Raw Data'!C1751</f>
        <v/>
      </c>
      <c r="D1751" s="15">
        <f>'Raw Data'!M1751</f>
        <v/>
      </c>
      <c r="E1751" s="18">
        <f>'Raw Data'!M1751/'Raw Data'!L1751*100</f>
        <v/>
      </c>
      <c r="F1751" s="14">
        <f>IF(E1751&gt;15,"Wet Year",IF(E1751&lt;-15,"Dry Year","Normal Year"))</f>
        <v/>
      </c>
      <c r="G1751" s="16">
        <f>'Raw Data'!I1751</f>
        <v/>
      </c>
      <c r="H1751" s="14">
        <f>IF(G1751&lt;15,"Low Variability",IF(G1751&lt;=35,"Moderate Variability","High Variability"))</f>
        <v/>
      </c>
      <c r="I1751" s="18">
        <f>'Raw Data'!O1751</f>
        <v/>
      </c>
      <c r="J1751" s="14">
        <f>IF(I1751=0,"No Flood",IF(I1751&lt;=0.5,"Low",IF(I1751&lt;=2,"Moderate","High")))</f>
        <v/>
      </c>
    </row>
    <row r="1752" ht="15" customHeight="1" s="12">
      <c r="A1752" s="14">
        <f>'Raw Data'!A1752</f>
        <v/>
      </c>
      <c r="B1752" s="14">
        <f>'Raw Data'!B1752</f>
        <v/>
      </c>
      <c r="C1752" s="14">
        <f>'Raw Data'!C1752</f>
        <v/>
      </c>
      <c r="D1752" s="15">
        <f>'Raw Data'!M1752</f>
        <v/>
      </c>
      <c r="E1752" s="18">
        <f>'Raw Data'!M1752/'Raw Data'!L1752*100</f>
        <v/>
      </c>
      <c r="F1752" s="14">
        <f>IF(E1752&gt;15,"Wet Year",IF(E1752&lt;-15,"Dry Year","Normal Year"))</f>
        <v/>
      </c>
      <c r="G1752" s="16">
        <f>'Raw Data'!I1752</f>
        <v/>
      </c>
      <c r="H1752" s="14">
        <f>IF(G1752&lt;15,"Low Variability",IF(G1752&lt;=35,"Moderate Variability","High Variability"))</f>
        <v/>
      </c>
      <c r="I1752" s="18">
        <f>'Raw Data'!O1752</f>
        <v/>
      </c>
      <c r="J1752" s="14">
        <f>IF(I1752=0,"No Flood",IF(I1752&lt;=0.5,"Low",IF(I1752&lt;=2,"Moderate","High")))</f>
        <v/>
      </c>
    </row>
    <row r="1753" ht="15" customHeight="1" s="12">
      <c r="A1753" s="14">
        <f>'Raw Data'!A1753</f>
        <v/>
      </c>
      <c r="B1753" s="14">
        <f>'Raw Data'!B1753</f>
        <v/>
      </c>
      <c r="C1753" s="14">
        <f>'Raw Data'!C1753</f>
        <v/>
      </c>
      <c r="D1753" s="15">
        <f>'Raw Data'!M1753</f>
        <v/>
      </c>
      <c r="E1753" s="18">
        <f>'Raw Data'!M1753/'Raw Data'!L1753*100</f>
        <v/>
      </c>
      <c r="F1753" s="14">
        <f>IF(E1753&gt;15,"Wet Year",IF(E1753&lt;-15,"Dry Year","Normal Year"))</f>
        <v/>
      </c>
      <c r="G1753" s="16">
        <f>'Raw Data'!I1753</f>
        <v/>
      </c>
      <c r="H1753" s="14">
        <f>IF(G1753&lt;15,"Low Variability",IF(G1753&lt;=35,"Moderate Variability","High Variability"))</f>
        <v/>
      </c>
      <c r="I1753" s="18">
        <f>'Raw Data'!O1753</f>
        <v/>
      </c>
      <c r="J1753" s="14">
        <f>IF(I1753=0,"No Flood",IF(I1753&lt;=0.5,"Low",IF(I1753&lt;=2,"Moderate","High")))</f>
        <v/>
      </c>
    </row>
    <row r="1754" ht="15" customHeight="1" s="12">
      <c r="A1754" s="14">
        <f>'Raw Data'!A1754</f>
        <v/>
      </c>
      <c r="B1754" s="14">
        <f>'Raw Data'!B1754</f>
        <v/>
      </c>
      <c r="C1754" s="14">
        <f>'Raw Data'!C1754</f>
        <v/>
      </c>
      <c r="D1754" s="15">
        <f>'Raw Data'!M1754</f>
        <v/>
      </c>
      <c r="E1754" s="18">
        <f>'Raw Data'!M1754/'Raw Data'!L1754*100</f>
        <v/>
      </c>
      <c r="F1754" s="14">
        <f>IF(E1754&gt;15,"Wet Year",IF(E1754&lt;-15,"Dry Year","Normal Year"))</f>
        <v/>
      </c>
      <c r="G1754" s="16">
        <f>'Raw Data'!I1754</f>
        <v/>
      </c>
      <c r="H1754" s="14">
        <f>IF(G1754&lt;15,"Low Variability",IF(G1754&lt;=35,"Moderate Variability","High Variability"))</f>
        <v/>
      </c>
      <c r="I1754" s="18">
        <f>'Raw Data'!O1754</f>
        <v/>
      </c>
      <c r="J1754" s="14">
        <f>IF(I1754=0,"No Flood",IF(I1754&lt;=0.5,"Low",IF(I1754&lt;=2,"Moderate","High")))</f>
        <v/>
      </c>
    </row>
    <row r="1755" ht="15" customHeight="1" s="12">
      <c r="A1755" s="14">
        <f>'Raw Data'!A1755</f>
        <v/>
      </c>
      <c r="B1755" s="14">
        <f>'Raw Data'!B1755</f>
        <v/>
      </c>
      <c r="C1755" s="14">
        <f>'Raw Data'!C1755</f>
        <v/>
      </c>
      <c r="D1755" s="15">
        <f>'Raw Data'!M1755</f>
        <v/>
      </c>
      <c r="E1755" s="18">
        <f>'Raw Data'!M1755/'Raw Data'!L1755*100</f>
        <v/>
      </c>
      <c r="F1755" s="14">
        <f>IF(E1755&gt;15,"Wet Year",IF(E1755&lt;-15,"Dry Year","Normal Year"))</f>
        <v/>
      </c>
      <c r="G1755" s="16">
        <f>'Raw Data'!I1755</f>
        <v/>
      </c>
      <c r="H1755" s="14">
        <f>IF(G1755&lt;15,"Low Variability",IF(G1755&lt;=35,"Moderate Variability","High Variability"))</f>
        <v/>
      </c>
      <c r="I1755" s="18">
        <f>'Raw Data'!O1755</f>
        <v/>
      </c>
      <c r="J1755" s="14">
        <f>IF(I1755=0,"No Flood",IF(I1755&lt;=0.5,"Low",IF(I1755&lt;=2,"Moderate","High")))</f>
        <v/>
      </c>
    </row>
    <row r="1756" ht="15" customHeight="1" s="12">
      <c r="A1756" s="14">
        <f>'Raw Data'!A1756</f>
        <v/>
      </c>
      <c r="B1756" s="14">
        <f>'Raw Data'!B1756</f>
        <v/>
      </c>
      <c r="C1756" s="14">
        <f>'Raw Data'!C1756</f>
        <v/>
      </c>
      <c r="D1756" s="15">
        <f>'Raw Data'!M1756</f>
        <v/>
      </c>
      <c r="E1756" s="18">
        <f>'Raw Data'!M1756/'Raw Data'!L1756*100</f>
        <v/>
      </c>
      <c r="F1756" s="14">
        <f>IF(E1756&gt;15,"Wet Year",IF(E1756&lt;-15,"Dry Year","Normal Year"))</f>
        <v/>
      </c>
      <c r="G1756" s="16">
        <f>'Raw Data'!I1756</f>
        <v/>
      </c>
      <c r="H1756" s="14">
        <f>IF(G1756&lt;15,"Low Variability",IF(G1756&lt;=35,"Moderate Variability","High Variability"))</f>
        <v/>
      </c>
      <c r="I1756" s="18">
        <f>'Raw Data'!O1756</f>
        <v/>
      </c>
      <c r="J1756" s="14">
        <f>IF(I1756=0,"No Flood",IF(I1756&lt;=0.5,"Low",IF(I1756&lt;=2,"Moderate","High")))</f>
        <v/>
      </c>
    </row>
    <row r="1757" ht="15" customHeight="1" s="12">
      <c r="A1757" s="14">
        <f>'Raw Data'!A1757</f>
        <v/>
      </c>
      <c r="B1757" s="14">
        <f>'Raw Data'!B1757</f>
        <v/>
      </c>
      <c r="C1757" s="14">
        <f>'Raw Data'!C1757</f>
        <v/>
      </c>
      <c r="D1757" s="15">
        <f>'Raw Data'!M1757</f>
        <v/>
      </c>
      <c r="E1757" s="18">
        <f>'Raw Data'!M1757/'Raw Data'!L1757*100</f>
        <v/>
      </c>
      <c r="F1757" s="14">
        <f>IF(E1757&gt;15,"Wet Year",IF(E1757&lt;-15,"Dry Year","Normal Year"))</f>
        <v/>
      </c>
      <c r="G1757" s="16">
        <f>'Raw Data'!I1757</f>
        <v/>
      </c>
      <c r="H1757" s="14">
        <f>IF(G1757&lt;15,"Low Variability",IF(G1757&lt;=35,"Moderate Variability","High Variability"))</f>
        <v/>
      </c>
      <c r="I1757" s="18">
        <f>'Raw Data'!O1757</f>
        <v/>
      </c>
      <c r="J1757" s="14">
        <f>IF(I1757=0,"No Flood",IF(I1757&lt;=0.5,"Low",IF(I1757&lt;=2,"Moderate","High")))</f>
        <v/>
      </c>
    </row>
    <row r="1758" ht="15" customHeight="1" s="12">
      <c r="A1758" s="14">
        <f>'Raw Data'!A1758</f>
        <v/>
      </c>
      <c r="B1758" s="14">
        <f>'Raw Data'!B1758</f>
        <v/>
      </c>
      <c r="C1758" s="14">
        <f>'Raw Data'!C1758</f>
        <v/>
      </c>
      <c r="D1758" s="15">
        <f>'Raw Data'!M1758</f>
        <v/>
      </c>
      <c r="E1758" s="18">
        <f>'Raw Data'!M1758/'Raw Data'!L1758*100</f>
        <v/>
      </c>
      <c r="F1758" s="14">
        <f>IF(E1758&gt;15,"Wet Year",IF(E1758&lt;-15,"Dry Year","Normal Year"))</f>
        <v/>
      </c>
      <c r="G1758" s="16">
        <f>'Raw Data'!I1758</f>
        <v/>
      </c>
      <c r="H1758" s="14">
        <f>IF(G1758&lt;15,"Low Variability",IF(G1758&lt;=35,"Moderate Variability","High Variability"))</f>
        <v/>
      </c>
      <c r="I1758" s="18">
        <f>'Raw Data'!O1758</f>
        <v/>
      </c>
      <c r="J1758" s="14">
        <f>IF(I1758=0,"No Flood",IF(I1758&lt;=0.5,"Low",IF(I1758&lt;=2,"Moderate","High")))</f>
        <v/>
      </c>
    </row>
    <row r="1759" ht="15" customHeight="1" s="12">
      <c r="A1759" s="14">
        <f>'Raw Data'!A1759</f>
        <v/>
      </c>
      <c r="B1759" s="14">
        <f>'Raw Data'!B1759</f>
        <v/>
      </c>
      <c r="C1759" s="14">
        <f>'Raw Data'!C1759</f>
        <v/>
      </c>
      <c r="D1759" s="15">
        <f>'Raw Data'!M1759</f>
        <v/>
      </c>
      <c r="E1759" s="18">
        <f>'Raw Data'!M1759/'Raw Data'!L1759*100</f>
        <v/>
      </c>
      <c r="F1759" s="14">
        <f>IF(E1759&gt;15,"Wet Year",IF(E1759&lt;-15,"Dry Year","Normal Year"))</f>
        <v/>
      </c>
      <c r="G1759" s="16">
        <f>'Raw Data'!I1759</f>
        <v/>
      </c>
      <c r="H1759" s="14">
        <f>IF(G1759&lt;15,"Low Variability",IF(G1759&lt;=35,"Moderate Variability","High Variability"))</f>
        <v/>
      </c>
      <c r="I1759" s="18">
        <f>'Raw Data'!O1759</f>
        <v/>
      </c>
      <c r="J1759" s="14">
        <f>IF(I1759=0,"No Flood",IF(I1759&lt;=0.5,"Low",IF(I1759&lt;=2,"Moderate","High")))</f>
        <v/>
      </c>
    </row>
    <row r="1760" ht="15" customHeight="1" s="12">
      <c r="A1760" s="14">
        <f>'Raw Data'!A1760</f>
        <v/>
      </c>
      <c r="B1760" s="14">
        <f>'Raw Data'!B1760</f>
        <v/>
      </c>
      <c r="C1760" s="14">
        <f>'Raw Data'!C1760</f>
        <v/>
      </c>
      <c r="D1760" s="15">
        <f>'Raw Data'!M1760</f>
        <v/>
      </c>
      <c r="E1760" s="18">
        <f>'Raw Data'!M1760/'Raw Data'!L1760*100</f>
        <v/>
      </c>
      <c r="F1760" s="14">
        <f>IF(E1760&gt;15,"Wet Year",IF(E1760&lt;-15,"Dry Year","Normal Year"))</f>
        <v/>
      </c>
      <c r="G1760" s="16">
        <f>'Raw Data'!I1760</f>
        <v/>
      </c>
      <c r="H1760" s="14">
        <f>IF(G1760&lt;15,"Low Variability",IF(G1760&lt;=35,"Moderate Variability","High Variability"))</f>
        <v/>
      </c>
      <c r="I1760" s="18">
        <f>'Raw Data'!O1760</f>
        <v/>
      </c>
      <c r="J1760" s="14">
        <f>IF(I1760=0,"No Flood",IF(I1760&lt;=0.5,"Low",IF(I1760&lt;=2,"Moderate","High")))</f>
        <v/>
      </c>
    </row>
    <row r="1761" ht="15" customHeight="1" s="12">
      <c r="A1761" s="14">
        <f>'Raw Data'!A1761</f>
        <v/>
      </c>
      <c r="B1761" s="14">
        <f>'Raw Data'!B1761</f>
        <v/>
      </c>
      <c r="C1761" s="14">
        <f>'Raw Data'!C1761</f>
        <v/>
      </c>
      <c r="D1761" s="15">
        <f>'Raw Data'!M1761</f>
        <v/>
      </c>
      <c r="E1761" s="18">
        <f>'Raw Data'!M1761/'Raw Data'!L1761*100</f>
        <v/>
      </c>
      <c r="F1761" s="14">
        <f>IF(E1761&gt;15,"Wet Year",IF(E1761&lt;-15,"Dry Year","Normal Year"))</f>
        <v/>
      </c>
      <c r="G1761" s="16">
        <f>'Raw Data'!I1761</f>
        <v/>
      </c>
      <c r="H1761" s="14">
        <f>IF(G1761&lt;15,"Low Variability",IF(G1761&lt;=35,"Moderate Variability","High Variability"))</f>
        <v/>
      </c>
      <c r="I1761" s="18">
        <f>'Raw Data'!O1761</f>
        <v/>
      </c>
      <c r="J1761" s="14">
        <f>IF(I1761=0,"No Flood",IF(I1761&lt;=0.5,"Low",IF(I1761&lt;=2,"Moderate","High")))</f>
        <v/>
      </c>
    </row>
  </sheetData>
  <autoFilter ref="A1:J176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1" min="1" max="1"/>
    <col width="18" customWidth="1" style="11" min="2" max="2"/>
    <col width="24" customWidth="1" style="11" min="3" max="3"/>
    <col width="20" customWidth="1" style="11" min="4" max="4"/>
    <col width="62" customWidth="1" style="11" min="5" max="5"/>
  </cols>
  <sheetData>
    <row r="1" ht="23.85" customHeight="1" s="12">
      <c r="A1" s="13" t="inlineStr">
        <is>
          <t>District</t>
        </is>
      </c>
      <c r="B1" s="13" t="inlineStr">
        <is>
          <t>Province</t>
        </is>
      </c>
      <c r="C1" s="13" t="inlineStr">
        <is>
          <t>Rainfall-Flood Correlation (r)</t>
        </is>
      </c>
      <c r="D1" s="13" t="inlineStr">
        <is>
          <t>Relationship Strength</t>
        </is>
      </c>
      <c r="E1" s="13" t="inlineStr">
        <is>
          <t>Interpretation Note</t>
        </is>
      </c>
    </row>
    <row r="2" ht="30" customHeight="1" s="12">
      <c r="A2" s="19" t="inlineStr">
        <is>
          <t>Abbottabad</t>
        </is>
      </c>
      <c r="B2" s="19" t="inlineStr">
        <is>
          <t>Khyber Pakhtunkhwa</t>
        </is>
      </c>
      <c r="C2" s="20" t="n">
        <v>-0.3105</v>
      </c>
      <c r="D2" s="19" t="inlineStr">
        <is>
          <t>Moderate Negative</t>
        </is>
      </c>
      <c r="E2" s="24" t="inlineStr">
        <is>
          <t>Negative correlation — flooding driven by upstream/glacial factors, not local rainfall</t>
        </is>
      </c>
    </row>
    <row r="3" ht="15" customHeight="1" s="12">
      <c r="A3" s="14" t="inlineStr">
        <is>
          <t>Astore</t>
        </is>
      </c>
      <c r="B3" s="14" t="inlineStr">
        <is>
          <t>Gilgit Baltistan</t>
        </is>
      </c>
      <c r="C3" s="21" t="n">
        <v>-0.0989</v>
      </c>
      <c r="D3" s="14" t="inlineStr">
        <is>
          <t>Weak / No Relationship</t>
        </is>
      </c>
      <c r="E3" s="14" t="n"/>
    </row>
    <row r="4" ht="15" customHeight="1" s="12">
      <c r="A4" s="14" t="inlineStr">
        <is>
          <t>Attock</t>
        </is>
      </c>
      <c r="B4" s="14" t="inlineStr">
        <is>
          <t>Punjab</t>
        </is>
      </c>
      <c r="C4" s="21" t="n">
        <v>0.3242</v>
      </c>
      <c r="D4" s="14" t="inlineStr">
        <is>
          <t>Moderate Positive</t>
        </is>
      </c>
      <c r="E4" s="14" t="n"/>
    </row>
    <row r="5" ht="15" customHeight="1" s="12">
      <c r="A5" s="14" t="inlineStr">
        <is>
          <t>Awaran</t>
        </is>
      </c>
      <c r="B5" s="14" t="inlineStr">
        <is>
          <t>Balochistan</t>
        </is>
      </c>
      <c r="C5" s="21" t="n">
        <v>0.7974</v>
      </c>
      <c r="D5" s="14" t="inlineStr">
        <is>
          <t>Strong Positive</t>
        </is>
      </c>
      <c r="E5" s="14" t="n"/>
    </row>
    <row r="6" ht="15" customHeight="1" s="12">
      <c r="A6" s="14" t="inlineStr">
        <is>
          <t>Badin</t>
        </is>
      </c>
      <c r="B6" s="14" t="inlineStr">
        <is>
          <t>Sindh</t>
        </is>
      </c>
      <c r="C6" s="21" t="n">
        <v>0.3618</v>
      </c>
      <c r="D6" s="14" t="inlineStr">
        <is>
          <t>Moderate Positive</t>
        </is>
      </c>
      <c r="E6" s="14" t="n"/>
    </row>
    <row r="7" ht="15" customHeight="1" s="12">
      <c r="A7" s="14" t="inlineStr">
        <is>
          <t>Bagh</t>
        </is>
      </c>
      <c r="B7" s="14" t="inlineStr">
        <is>
          <t>Azad Kashmir</t>
        </is>
      </c>
      <c r="C7" s="21" t="n">
        <v>-0.1426</v>
      </c>
      <c r="D7" s="14" t="inlineStr">
        <is>
          <t>Weak / No Relationship</t>
        </is>
      </c>
      <c r="E7" s="14" t="n"/>
    </row>
    <row r="8" ht="15" customHeight="1" s="12">
      <c r="A8" s="14" t="inlineStr">
        <is>
          <t>Bahawalnagar</t>
        </is>
      </c>
      <c r="B8" s="14" t="inlineStr">
        <is>
          <t>Punjab</t>
        </is>
      </c>
      <c r="C8" s="21" t="n">
        <v>0.695</v>
      </c>
      <c r="D8" s="14" t="inlineStr">
        <is>
          <t>Strong Positive</t>
        </is>
      </c>
      <c r="E8" s="14" t="n"/>
    </row>
    <row r="9" ht="15" customHeight="1" s="12">
      <c r="A9" s="14" t="inlineStr">
        <is>
          <t>Bahawalpur</t>
        </is>
      </c>
      <c r="B9" s="14" t="inlineStr">
        <is>
          <t>Punjab</t>
        </is>
      </c>
      <c r="C9" s="21" t="n">
        <v>0.6025</v>
      </c>
      <c r="D9" s="14" t="inlineStr">
        <is>
          <t>Strong Positive</t>
        </is>
      </c>
      <c r="E9" s="14" t="n"/>
    </row>
    <row r="10" ht="15" customHeight="1" s="12">
      <c r="A10" s="14" t="inlineStr">
        <is>
          <t>Bajaur</t>
        </is>
      </c>
      <c r="B10" s="14" t="inlineStr">
        <is>
          <t>Khyber Pakhtunkhwa</t>
        </is>
      </c>
      <c r="C10" s="21" t="n">
        <v>-0.0683</v>
      </c>
      <c r="D10" s="14" t="inlineStr">
        <is>
          <t>Weak / No Relationship</t>
        </is>
      </c>
      <c r="E10" s="14" t="n"/>
    </row>
    <row r="11" ht="15" customHeight="1" s="12">
      <c r="A11" s="14" t="inlineStr">
        <is>
          <t>Bannu</t>
        </is>
      </c>
      <c r="B11" s="14" t="inlineStr">
        <is>
          <t>Khyber Pakhtunkhwa</t>
        </is>
      </c>
      <c r="C11" s="21" t="n">
        <v>0.4316</v>
      </c>
      <c r="D11" s="14" t="inlineStr">
        <is>
          <t>Moderate Positive</t>
        </is>
      </c>
      <c r="E11" s="14" t="n"/>
    </row>
    <row r="12" ht="15" customHeight="1" s="12">
      <c r="A12" s="14" t="inlineStr">
        <is>
          <t>Barkhan</t>
        </is>
      </c>
      <c r="B12" s="14" t="inlineStr">
        <is>
          <t>Balochistan</t>
        </is>
      </c>
      <c r="C12" s="21" t="n">
        <v>0.4485</v>
      </c>
      <c r="D12" s="14" t="inlineStr">
        <is>
          <t>Moderate Positive</t>
        </is>
      </c>
      <c r="E12" s="14" t="n"/>
    </row>
    <row r="13" ht="15" customHeight="1" s="12">
      <c r="A13" s="14" t="inlineStr">
        <is>
          <t>Batagram</t>
        </is>
      </c>
      <c r="B13" s="14" t="inlineStr">
        <is>
          <t>Khyber Pakhtunkhwa</t>
        </is>
      </c>
      <c r="C13" s="21" t="n">
        <v>0.1008</v>
      </c>
      <c r="D13" s="14" t="inlineStr">
        <is>
          <t>Weak / No Relationship</t>
        </is>
      </c>
      <c r="E13" s="14" t="n"/>
    </row>
    <row r="14" ht="15" customHeight="1" s="12">
      <c r="A14" s="14" t="inlineStr">
        <is>
          <t>Bhakkar</t>
        </is>
      </c>
      <c r="B14" s="14" t="inlineStr">
        <is>
          <t>Punjab</t>
        </is>
      </c>
      <c r="C14" s="21" t="n">
        <v>-0.016</v>
      </c>
      <c r="D14" s="14" t="inlineStr">
        <is>
          <t>Weak / No Relationship</t>
        </is>
      </c>
      <c r="E14" s="14" t="n"/>
    </row>
    <row r="15" ht="15" customHeight="1" s="12">
      <c r="A15" s="14" t="inlineStr">
        <is>
          <t>Bhimber</t>
        </is>
      </c>
      <c r="B15" s="14" t="inlineStr">
        <is>
          <t>Azad Kashmir</t>
        </is>
      </c>
      <c r="C15" s="21" t="n">
        <v>-0.0056</v>
      </c>
      <c r="D15" s="14" t="inlineStr">
        <is>
          <t>Weak / No Relationship</t>
        </is>
      </c>
      <c r="E15" s="14" t="n"/>
    </row>
    <row r="16" ht="15" customHeight="1" s="12">
      <c r="A16" s="14" t="inlineStr">
        <is>
          <t>Buner</t>
        </is>
      </c>
      <c r="B16" s="14" t="inlineStr">
        <is>
          <t>Khyber Pakhtunkhwa</t>
        </is>
      </c>
      <c r="C16" s="21" t="n">
        <v>0.264</v>
      </c>
      <c r="D16" s="14" t="inlineStr">
        <is>
          <t>Moderate Positive</t>
        </is>
      </c>
      <c r="E16" s="14" t="n"/>
    </row>
    <row r="17" ht="30" customHeight="1" s="12">
      <c r="A17" s="14" t="inlineStr">
        <is>
          <t>Central Karachi</t>
        </is>
      </c>
      <c r="B17" s="14" t="inlineStr">
        <is>
          <t>Sindh</t>
        </is>
      </c>
      <c r="C17" s="21" t="n">
        <v>-0.2145</v>
      </c>
      <c r="D17" s="14" t="inlineStr">
        <is>
          <t>Moderate Negative</t>
        </is>
      </c>
      <c r="E17" s="23" t="inlineStr">
        <is>
          <t>Correlation not meaningful — flood detection near-zero every year, unlike other Karachi districts</t>
        </is>
      </c>
    </row>
    <row r="18" ht="15" customHeight="1" s="12">
      <c r="A18" s="14" t="inlineStr">
        <is>
          <t>Chagai</t>
        </is>
      </c>
      <c r="B18" s="14" t="inlineStr">
        <is>
          <t>Balochistan</t>
        </is>
      </c>
      <c r="C18" s="21" t="n">
        <v>0.0963</v>
      </c>
      <c r="D18" s="14" t="inlineStr">
        <is>
          <t>Weak / No Relationship</t>
        </is>
      </c>
      <c r="E18" s="14" t="n"/>
    </row>
    <row r="19" ht="30" customHeight="1" s="12">
      <c r="A19" s="19" t="inlineStr">
        <is>
          <t>Chakwal</t>
        </is>
      </c>
      <c r="B19" s="19" t="inlineStr">
        <is>
          <t>Punjab</t>
        </is>
      </c>
      <c r="C19" s="20" t="n">
        <v>-0.2643</v>
      </c>
      <c r="D19" s="19" t="inlineStr">
        <is>
          <t>Moderate Negative</t>
        </is>
      </c>
      <c r="E19" s="24" t="inlineStr">
        <is>
          <t>Negative correlation — flooding driven by upstream/glacial factors, not local rainfall</t>
        </is>
      </c>
    </row>
    <row r="20" ht="15" customHeight="1" s="12">
      <c r="A20" s="14" t="inlineStr">
        <is>
          <t>Chaman</t>
        </is>
      </c>
      <c r="B20" s="14" t="inlineStr">
        <is>
          <t>Balochistan</t>
        </is>
      </c>
      <c r="C20" s="21" t="n">
        <v>0.9419999999999999</v>
      </c>
      <c r="D20" s="14" t="inlineStr">
        <is>
          <t>Strong Positive</t>
        </is>
      </c>
      <c r="E20" s="14" t="n"/>
    </row>
    <row r="21" ht="15" customHeight="1" s="12">
      <c r="A21" s="14" t="inlineStr">
        <is>
          <t>Charsadda</t>
        </is>
      </c>
      <c r="B21" s="14" t="inlineStr">
        <is>
          <t>Khyber Pakhtunkhwa</t>
        </is>
      </c>
      <c r="C21" s="21" t="n">
        <v>0.0325</v>
      </c>
      <c r="D21" s="14" t="inlineStr">
        <is>
          <t>Weak / No Relationship</t>
        </is>
      </c>
      <c r="E21" s="14" t="n"/>
    </row>
    <row r="22" ht="15" customHeight="1" s="12">
      <c r="A22" s="14" t="inlineStr">
        <is>
          <t>Chiniot</t>
        </is>
      </c>
      <c r="B22" s="14" t="inlineStr">
        <is>
          <t>Punjab</t>
        </is>
      </c>
      <c r="C22" s="21" t="n">
        <v>0.6504</v>
      </c>
      <c r="D22" s="14" t="inlineStr">
        <is>
          <t>Strong Positive</t>
        </is>
      </c>
      <c r="E22" s="14" t="n"/>
    </row>
    <row r="23" ht="15" customHeight="1" s="12">
      <c r="A23" s="14" t="inlineStr">
        <is>
          <t>Chitral Lower</t>
        </is>
      </c>
      <c r="B23" s="14" t="inlineStr">
        <is>
          <t>Khyber Pakhtunkhwa</t>
        </is>
      </c>
      <c r="C23" s="21" t="n">
        <v>0.6102</v>
      </c>
      <c r="D23" s="14" t="inlineStr">
        <is>
          <t>Strong Positive</t>
        </is>
      </c>
      <c r="E23" s="14" t="n"/>
    </row>
    <row r="24" ht="15" customHeight="1" s="12">
      <c r="A24" s="14" t="inlineStr">
        <is>
          <t>Chitral Upper</t>
        </is>
      </c>
      <c r="B24" s="14" t="inlineStr">
        <is>
          <t>Khyber Pakhtunkhwa</t>
        </is>
      </c>
      <c r="C24" s="21" t="n">
        <v>0.6794</v>
      </c>
      <c r="D24" s="14" t="inlineStr">
        <is>
          <t>Strong Positive</t>
        </is>
      </c>
      <c r="E24" s="14" t="n"/>
    </row>
    <row r="25" ht="15" customHeight="1" s="12">
      <c r="A25" s="14" t="inlineStr">
        <is>
          <t>D. I. Khan</t>
        </is>
      </c>
      <c r="B25" s="14" t="inlineStr">
        <is>
          <t>Khyber Pakhtunkhwa</t>
        </is>
      </c>
      <c r="C25" s="21" t="n">
        <v>0.5717</v>
      </c>
      <c r="D25" s="14" t="inlineStr">
        <is>
          <t>Strong Positive</t>
        </is>
      </c>
      <c r="E25" s="14" t="n"/>
    </row>
    <row r="26" ht="15" customHeight="1" s="12">
      <c r="A26" s="14" t="inlineStr">
        <is>
          <t>Dadu</t>
        </is>
      </c>
      <c r="B26" s="14" t="inlineStr">
        <is>
          <t>Sindh</t>
        </is>
      </c>
      <c r="C26" s="21" t="n">
        <v>0.8081</v>
      </c>
      <c r="D26" s="14" t="inlineStr">
        <is>
          <t>Strong Positive</t>
        </is>
      </c>
      <c r="E26" s="14" t="n"/>
    </row>
    <row r="27" ht="15" customHeight="1" s="12">
      <c r="A27" s="14" t="inlineStr">
        <is>
          <t>Darel</t>
        </is>
      </c>
      <c r="B27" s="14" t="inlineStr">
        <is>
          <t>Gilgit Baltistan</t>
        </is>
      </c>
      <c r="C27" s="21" t="n">
        <v>0.3755</v>
      </c>
      <c r="D27" s="14" t="inlineStr">
        <is>
          <t>Moderate Positive</t>
        </is>
      </c>
      <c r="E27" s="14" t="n"/>
    </row>
    <row r="28" ht="15" customHeight="1" s="12">
      <c r="A28" s="14" t="inlineStr">
        <is>
          <t>Dera Bugti</t>
        </is>
      </c>
      <c r="B28" s="14" t="inlineStr">
        <is>
          <t>Balochistan</t>
        </is>
      </c>
      <c r="C28" s="21" t="n">
        <v>-0.1007</v>
      </c>
      <c r="D28" s="14" t="inlineStr">
        <is>
          <t>Weak / No Relationship</t>
        </is>
      </c>
      <c r="E28" s="14" t="n"/>
    </row>
    <row r="29" ht="15" customHeight="1" s="12">
      <c r="A29" s="14" t="inlineStr">
        <is>
          <t>Dera Ghazi Khan</t>
        </is>
      </c>
      <c r="B29" s="14" t="inlineStr">
        <is>
          <t>Punjab</t>
        </is>
      </c>
      <c r="C29" s="21" t="n">
        <v>0.2457</v>
      </c>
      <c r="D29" s="14" t="inlineStr">
        <is>
          <t>Moderate Positive</t>
        </is>
      </c>
      <c r="E29" s="14" t="n"/>
    </row>
    <row r="30" ht="15" customHeight="1" s="12">
      <c r="A30" s="14" t="inlineStr">
        <is>
          <t>Diamir</t>
        </is>
      </c>
      <c r="B30" s="14" t="inlineStr">
        <is>
          <t>Gilgit Baltistan</t>
        </is>
      </c>
      <c r="C30" s="21" t="n">
        <v>0.3658</v>
      </c>
      <c r="D30" s="14" t="inlineStr">
        <is>
          <t>Moderate Positive</t>
        </is>
      </c>
      <c r="E30" s="14" t="n"/>
    </row>
    <row r="31" ht="15" customHeight="1" s="12">
      <c r="A31" s="14" t="inlineStr">
        <is>
          <t>Duki</t>
        </is>
      </c>
      <c r="B31" s="14" t="inlineStr">
        <is>
          <t>Balochistan</t>
        </is>
      </c>
      <c r="C31" s="21" t="n">
        <v>0.5284</v>
      </c>
      <c r="D31" s="14" t="inlineStr">
        <is>
          <t>Strong Positive</t>
        </is>
      </c>
      <c r="E31" s="14" t="n"/>
    </row>
    <row r="32" ht="15" customHeight="1" s="12">
      <c r="A32" s="14" t="inlineStr">
        <is>
          <t>East Karachi</t>
        </is>
      </c>
      <c r="B32" s="14" t="inlineStr">
        <is>
          <t>Sindh</t>
        </is>
      </c>
      <c r="C32" s="21" t="n">
        <v>0.6513</v>
      </c>
      <c r="D32" s="14" t="inlineStr">
        <is>
          <t>Strong Positive</t>
        </is>
      </c>
      <c r="E32" s="14" t="n"/>
    </row>
    <row r="33" ht="15" customHeight="1" s="12">
      <c r="A33" s="14" t="inlineStr">
        <is>
          <t>Faisalabad</t>
        </is>
      </c>
      <c r="B33" s="14" t="inlineStr">
        <is>
          <t>Punjab</t>
        </is>
      </c>
      <c r="C33" s="21" t="n">
        <v>0.6894</v>
      </c>
      <c r="D33" s="14" t="inlineStr">
        <is>
          <t>Strong Positive</t>
        </is>
      </c>
      <c r="E33" s="14" t="n"/>
    </row>
    <row r="34" ht="15" customHeight="1" s="12">
      <c r="A34" s="14" t="inlineStr">
        <is>
          <t>Ghanche</t>
        </is>
      </c>
      <c r="B34" s="14" t="inlineStr">
        <is>
          <t>Gilgit Baltistan</t>
        </is>
      </c>
      <c r="C34" s="21" t="n">
        <v>0.221</v>
      </c>
      <c r="D34" s="14" t="inlineStr">
        <is>
          <t>Moderate Positive</t>
        </is>
      </c>
      <c r="E34" s="14" t="n"/>
    </row>
    <row r="35" ht="15" customHeight="1" s="12">
      <c r="A35" s="14" t="inlineStr">
        <is>
          <t>Ghizer</t>
        </is>
      </c>
      <c r="B35" s="14" t="inlineStr">
        <is>
          <t>Gilgit Baltistan</t>
        </is>
      </c>
      <c r="C35" s="21" t="n">
        <v>-0.0058</v>
      </c>
      <c r="D35" s="14" t="inlineStr">
        <is>
          <t>Weak / No Relationship</t>
        </is>
      </c>
      <c r="E35" s="14" t="n"/>
    </row>
    <row r="36" ht="15" customHeight="1" s="12">
      <c r="A36" s="14" t="inlineStr">
        <is>
          <t>Ghotki</t>
        </is>
      </c>
      <c r="B36" s="14" t="inlineStr">
        <is>
          <t>Sindh</t>
        </is>
      </c>
      <c r="C36" s="21" t="n">
        <v>0.7544999999999999</v>
      </c>
      <c r="D36" s="14" t="inlineStr">
        <is>
          <t>Strong Positive</t>
        </is>
      </c>
      <c r="E36" s="14" t="n"/>
    </row>
    <row r="37" ht="15" customHeight="1" s="12">
      <c r="A37" s="14" t="inlineStr">
        <is>
          <t>Gilgit</t>
        </is>
      </c>
      <c r="B37" s="14" t="inlineStr">
        <is>
          <t>Gilgit Baltistan</t>
        </is>
      </c>
      <c r="C37" s="21" t="n">
        <v>-0.1618</v>
      </c>
      <c r="D37" s="14" t="inlineStr">
        <is>
          <t>Weak / No Relationship</t>
        </is>
      </c>
      <c r="E37" s="14" t="n"/>
    </row>
    <row r="38" ht="15" customHeight="1" s="12">
      <c r="A38" s="14" t="inlineStr">
        <is>
          <t>Gujranwala</t>
        </is>
      </c>
      <c r="B38" s="14" t="inlineStr">
        <is>
          <t>Punjab</t>
        </is>
      </c>
      <c r="C38" s="21" t="n">
        <v>0.1837</v>
      </c>
      <c r="D38" s="14" t="inlineStr">
        <is>
          <t>Weak / No Relationship</t>
        </is>
      </c>
      <c r="E38" s="14" t="n"/>
    </row>
    <row r="39" ht="15" customHeight="1" s="12">
      <c r="A39" s="14" t="inlineStr">
        <is>
          <t>Gujrat</t>
        </is>
      </c>
      <c r="B39" s="14" t="inlineStr">
        <is>
          <t>Punjab</t>
        </is>
      </c>
      <c r="C39" s="21" t="n">
        <v>0.4358</v>
      </c>
      <c r="D39" s="14" t="inlineStr">
        <is>
          <t>Moderate Positive</t>
        </is>
      </c>
      <c r="E39" s="14" t="n"/>
    </row>
    <row r="40" ht="15" customHeight="1" s="12">
      <c r="A40" s="14" t="inlineStr">
        <is>
          <t>Gupis-Yasin</t>
        </is>
      </c>
      <c r="B40" s="14" t="inlineStr">
        <is>
          <t>Gilgit Baltistan</t>
        </is>
      </c>
      <c r="C40" s="21" t="n">
        <v>0.4556</v>
      </c>
      <c r="D40" s="14" t="inlineStr">
        <is>
          <t>Moderate Positive</t>
        </is>
      </c>
      <c r="E40" s="14" t="n"/>
    </row>
    <row r="41" ht="15" customHeight="1" s="12">
      <c r="A41" s="14" t="inlineStr">
        <is>
          <t>Gwadar</t>
        </is>
      </c>
      <c r="B41" s="14" t="inlineStr">
        <is>
          <t>Balochistan</t>
        </is>
      </c>
      <c r="C41" s="21" t="n">
        <v>0.1892</v>
      </c>
      <c r="D41" s="14" t="inlineStr">
        <is>
          <t>Weak / No Relationship</t>
        </is>
      </c>
      <c r="E41" s="14" t="n"/>
    </row>
    <row r="42" ht="15" customHeight="1" s="12">
      <c r="A42" s="14" t="inlineStr">
        <is>
          <t>Hafizabad</t>
        </is>
      </c>
      <c r="B42" s="14" t="inlineStr">
        <is>
          <t>Punjab</t>
        </is>
      </c>
      <c r="C42" s="21" t="n">
        <v>0.0891</v>
      </c>
      <c r="D42" s="14" t="inlineStr">
        <is>
          <t>Weak / No Relationship</t>
        </is>
      </c>
      <c r="E42" s="14" t="n"/>
    </row>
    <row r="43" ht="15" customHeight="1" s="12">
      <c r="A43" s="14" t="inlineStr">
        <is>
          <t>Hangu</t>
        </is>
      </c>
      <c r="B43" s="14" t="inlineStr">
        <is>
          <t>Khyber Pakhtunkhwa</t>
        </is>
      </c>
      <c r="C43" s="21" t="n">
        <v>-0.0696</v>
      </c>
      <c r="D43" s="14" t="inlineStr">
        <is>
          <t>Weak / No Relationship</t>
        </is>
      </c>
      <c r="E43" s="14" t="n"/>
    </row>
    <row r="44" ht="15" customHeight="1" s="12">
      <c r="A44" s="14" t="inlineStr">
        <is>
          <t>Haripur</t>
        </is>
      </c>
      <c r="B44" s="14" t="inlineStr">
        <is>
          <t>Khyber Pakhtunkhwa</t>
        </is>
      </c>
      <c r="C44" s="21" t="n">
        <v>0.3351</v>
      </c>
      <c r="D44" s="14" t="inlineStr">
        <is>
          <t>Moderate Positive</t>
        </is>
      </c>
      <c r="E44" s="14" t="n"/>
    </row>
    <row r="45" ht="15" customHeight="1" s="12">
      <c r="A45" s="14" t="inlineStr">
        <is>
          <t>Harnai</t>
        </is>
      </c>
      <c r="B45" s="14" t="inlineStr">
        <is>
          <t>Balochistan</t>
        </is>
      </c>
      <c r="C45" s="21" t="n">
        <v>0.6486</v>
      </c>
      <c r="D45" s="14" t="inlineStr">
        <is>
          <t>Strong Positive</t>
        </is>
      </c>
      <c r="E45" s="14" t="n"/>
    </row>
    <row r="46" ht="15" customHeight="1" s="12">
      <c r="A46" s="14" t="inlineStr">
        <is>
          <t>Haveli</t>
        </is>
      </c>
      <c r="B46" s="14" t="inlineStr">
        <is>
          <t>Azad Kashmir</t>
        </is>
      </c>
      <c r="C46" s="21" t="n">
        <v>-0.1908</v>
      </c>
      <c r="D46" s="14" t="inlineStr">
        <is>
          <t>Weak / No Relationship</t>
        </is>
      </c>
      <c r="E46" s="14" t="n"/>
    </row>
    <row r="47" ht="30" customHeight="1" s="12">
      <c r="A47" s="19" t="inlineStr">
        <is>
          <t>Hunza</t>
        </is>
      </c>
      <c r="B47" s="19" t="inlineStr">
        <is>
          <t>Gilgit Baltistan</t>
        </is>
      </c>
      <c r="C47" s="20" t="n">
        <v>-0.2967</v>
      </c>
      <c r="D47" s="19" t="inlineStr">
        <is>
          <t>Moderate Negative</t>
        </is>
      </c>
      <c r="E47" s="24" t="inlineStr">
        <is>
          <t>Negative correlation — flooding driven by upstream/glacial factors, not local rainfall</t>
        </is>
      </c>
    </row>
    <row r="48" ht="15" customHeight="1" s="12">
      <c r="A48" s="14" t="inlineStr">
        <is>
          <t>Hyderabad</t>
        </is>
      </c>
      <c r="B48" s="14" t="inlineStr">
        <is>
          <t>Sindh</t>
        </is>
      </c>
      <c r="C48" s="21" t="n">
        <v>0.8219</v>
      </c>
      <c r="D48" s="14" t="inlineStr">
        <is>
          <t>Strong Positive</t>
        </is>
      </c>
      <c r="E48" s="14" t="n"/>
    </row>
    <row r="49" ht="15" customHeight="1" s="12">
      <c r="A49" s="14" t="inlineStr">
        <is>
          <t>Islamabad</t>
        </is>
      </c>
      <c r="B49" s="14" t="inlineStr">
        <is>
          <t>Islamabad</t>
        </is>
      </c>
      <c r="C49" s="21" t="n">
        <v>0.0447</v>
      </c>
      <c r="D49" s="14" t="inlineStr">
        <is>
          <t>Weak / No Relationship</t>
        </is>
      </c>
      <c r="E49" s="14" t="n"/>
    </row>
    <row r="50" ht="15" customHeight="1" s="12">
      <c r="A50" s="14" t="inlineStr">
        <is>
          <t>Jacobabad</t>
        </is>
      </c>
      <c r="B50" s="14" t="inlineStr">
        <is>
          <t>Sindh</t>
        </is>
      </c>
      <c r="C50" s="21" t="n">
        <v>0.8856000000000001</v>
      </c>
      <c r="D50" s="14" t="inlineStr">
        <is>
          <t>Strong Positive</t>
        </is>
      </c>
      <c r="E50" s="14" t="n"/>
    </row>
    <row r="51" ht="15" customHeight="1" s="12">
      <c r="A51" s="14" t="inlineStr">
        <is>
          <t>Jaffarabad</t>
        </is>
      </c>
      <c r="B51" s="14" t="inlineStr">
        <is>
          <t>Balochistan</t>
        </is>
      </c>
      <c r="C51" s="21" t="n">
        <v>0.8909</v>
      </c>
      <c r="D51" s="14" t="inlineStr">
        <is>
          <t>Strong Positive</t>
        </is>
      </c>
      <c r="E51" s="14" t="n"/>
    </row>
    <row r="52" ht="15" customHeight="1" s="12">
      <c r="A52" s="14" t="inlineStr">
        <is>
          <t>Jamshoro</t>
        </is>
      </c>
      <c r="B52" s="14" t="inlineStr">
        <is>
          <t>Sindh</t>
        </is>
      </c>
      <c r="C52" s="21" t="n">
        <v>0.7413999999999999</v>
      </c>
      <c r="D52" s="14" t="inlineStr">
        <is>
          <t>Strong Positive</t>
        </is>
      </c>
      <c r="E52" s="14" t="n"/>
    </row>
    <row r="53" ht="15" customHeight="1" s="12">
      <c r="A53" s="14" t="inlineStr">
        <is>
          <t>Jhal Magsi</t>
        </is>
      </c>
      <c r="B53" s="14" t="inlineStr">
        <is>
          <t>Balochistan</t>
        </is>
      </c>
      <c r="C53" s="21" t="n">
        <v>0.7569</v>
      </c>
      <c r="D53" s="14" t="inlineStr">
        <is>
          <t>Strong Positive</t>
        </is>
      </c>
      <c r="E53" s="14" t="n"/>
    </row>
    <row r="54" ht="15" customHeight="1" s="12">
      <c r="A54" s="14" t="inlineStr">
        <is>
          <t>Jhang</t>
        </is>
      </c>
      <c r="B54" s="14" t="inlineStr">
        <is>
          <t>Punjab</t>
        </is>
      </c>
      <c r="C54" s="21" t="n">
        <v>0.5805</v>
      </c>
      <c r="D54" s="14" t="inlineStr">
        <is>
          <t>Strong Positive</t>
        </is>
      </c>
      <c r="E54" s="14" t="n"/>
    </row>
    <row r="55" ht="15" customHeight="1" s="12">
      <c r="A55" s="14" t="inlineStr">
        <is>
          <t>Jhelum</t>
        </is>
      </c>
      <c r="B55" s="14" t="inlineStr">
        <is>
          <t>Punjab</t>
        </is>
      </c>
      <c r="C55" s="21" t="n">
        <v>-0.0328</v>
      </c>
      <c r="D55" s="14" t="inlineStr">
        <is>
          <t>Weak / No Relationship</t>
        </is>
      </c>
      <c r="E55" s="14" t="n"/>
    </row>
    <row r="56" ht="15" customHeight="1" s="12">
      <c r="A56" s="14" t="inlineStr">
        <is>
          <t>Jhelum Valley</t>
        </is>
      </c>
      <c r="B56" s="14" t="inlineStr">
        <is>
          <t>Azad Kashmir</t>
        </is>
      </c>
      <c r="C56" s="21" t="n">
        <v>-0.1506</v>
      </c>
      <c r="D56" s="14" t="inlineStr">
        <is>
          <t>Weak / No Relationship</t>
        </is>
      </c>
      <c r="E56" s="14" t="n"/>
    </row>
    <row r="57" ht="15" customHeight="1" s="12">
      <c r="A57" s="14" t="inlineStr">
        <is>
          <t>Kachhi</t>
        </is>
      </c>
      <c r="B57" s="14" t="inlineStr">
        <is>
          <t>Balochistan</t>
        </is>
      </c>
      <c r="C57" s="21" t="n">
        <v>0.6059</v>
      </c>
      <c r="D57" s="14" t="inlineStr">
        <is>
          <t>Strong Positive</t>
        </is>
      </c>
      <c r="E57" s="14" t="n"/>
    </row>
    <row r="58" ht="15" customHeight="1" s="12">
      <c r="A58" s="14" t="inlineStr">
        <is>
          <t>Kalat</t>
        </is>
      </c>
      <c r="B58" s="14" t="inlineStr">
        <is>
          <t>Balochistan</t>
        </is>
      </c>
      <c r="C58" s="21" t="n">
        <v>0.9399999999999999</v>
      </c>
      <c r="D58" s="14" t="inlineStr">
        <is>
          <t>Strong Positive</t>
        </is>
      </c>
      <c r="E58" s="14" t="n"/>
    </row>
    <row r="59" ht="15" customHeight="1" s="12">
      <c r="A59" s="14" t="inlineStr">
        <is>
          <t>Kambar Shahdad Kot</t>
        </is>
      </c>
      <c r="B59" s="14" t="inlineStr">
        <is>
          <t>Sindh</t>
        </is>
      </c>
      <c r="C59" s="21" t="n">
        <v>0.8749</v>
      </c>
      <c r="D59" s="14" t="inlineStr">
        <is>
          <t>Strong Positive</t>
        </is>
      </c>
      <c r="E59" s="14" t="n"/>
    </row>
    <row r="60" ht="15" customHeight="1" s="12">
      <c r="A60" s="14" t="inlineStr">
        <is>
          <t>Karak</t>
        </is>
      </c>
      <c r="B60" s="14" t="inlineStr">
        <is>
          <t>Khyber Pakhtunkhwa</t>
        </is>
      </c>
      <c r="C60" s="21" t="n">
        <v>0.1775</v>
      </c>
      <c r="D60" s="14" t="inlineStr">
        <is>
          <t>Weak / No Relationship</t>
        </is>
      </c>
      <c r="E60" s="14" t="n"/>
    </row>
    <row r="61" ht="15" customHeight="1" s="12">
      <c r="A61" s="14" t="inlineStr">
        <is>
          <t>Kashmore</t>
        </is>
      </c>
      <c r="B61" s="14" t="inlineStr">
        <is>
          <t>Sindh</t>
        </is>
      </c>
      <c r="C61" s="21" t="n">
        <v>0.4782</v>
      </c>
      <c r="D61" s="14" t="inlineStr">
        <is>
          <t>Moderate Positive</t>
        </is>
      </c>
      <c r="E61" s="14" t="n"/>
    </row>
    <row r="62" ht="15" customHeight="1" s="12">
      <c r="A62" s="14" t="inlineStr">
        <is>
          <t>Kasur</t>
        </is>
      </c>
      <c r="B62" s="14" t="inlineStr">
        <is>
          <t>Punjab</t>
        </is>
      </c>
      <c r="C62" s="21" t="n">
        <v>0.4413</v>
      </c>
      <c r="D62" s="14" t="inlineStr">
        <is>
          <t>Moderate Positive</t>
        </is>
      </c>
      <c r="E62" s="14" t="n"/>
    </row>
    <row r="63" ht="15" customHeight="1" s="12">
      <c r="A63" s="14" t="inlineStr">
        <is>
          <t>Kech</t>
        </is>
      </c>
      <c r="B63" s="14" t="inlineStr">
        <is>
          <t>Balochistan</t>
        </is>
      </c>
      <c r="C63" s="21" t="n">
        <v>0.838</v>
      </c>
      <c r="D63" s="14" t="inlineStr">
        <is>
          <t>Strong Positive</t>
        </is>
      </c>
      <c r="E63" s="14" t="n"/>
    </row>
    <row r="64" ht="15" customHeight="1" s="12">
      <c r="A64" s="14" t="inlineStr">
        <is>
          <t>Khairpur</t>
        </is>
      </c>
      <c r="B64" s="14" t="inlineStr">
        <is>
          <t>Sindh</t>
        </is>
      </c>
      <c r="C64" s="21" t="n">
        <v>0.8845</v>
      </c>
      <c r="D64" s="14" t="inlineStr">
        <is>
          <t>Strong Positive</t>
        </is>
      </c>
      <c r="E64" s="14" t="n"/>
    </row>
    <row r="65" ht="15" customHeight="1" s="12">
      <c r="A65" s="14" t="inlineStr">
        <is>
          <t>Khanewal</t>
        </is>
      </c>
      <c r="B65" s="14" t="inlineStr">
        <is>
          <t>Punjab</t>
        </is>
      </c>
      <c r="C65" s="21" t="n">
        <v>0.2066</v>
      </c>
      <c r="D65" s="14" t="inlineStr">
        <is>
          <t>Moderate Positive</t>
        </is>
      </c>
      <c r="E65" s="14" t="n"/>
    </row>
    <row r="66" ht="15" customHeight="1" s="12">
      <c r="A66" s="14" t="inlineStr">
        <is>
          <t>Kharan</t>
        </is>
      </c>
      <c r="B66" s="14" t="inlineStr">
        <is>
          <t>Balochistan</t>
        </is>
      </c>
      <c r="C66" s="21" t="n">
        <v>0.7214</v>
      </c>
      <c r="D66" s="14" t="inlineStr">
        <is>
          <t>Strong Positive</t>
        </is>
      </c>
      <c r="E66" s="14" t="n"/>
    </row>
    <row r="67" ht="15" customHeight="1" s="12">
      <c r="A67" s="14" t="inlineStr">
        <is>
          <t>Kharmang</t>
        </is>
      </c>
      <c r="B67" s="14" t="inlineStr">
        <is>
          <t>Gilgit Baltistan</t>
        </is>
      </c>
      <c r="C67" s="21" t="n">
        <v>0.2655</v>
      </c>
      <c r="D67" s="14" t="inlineStr">
        <is>
          <t>Moderate Positive</t>
        </is>
      </c>
      <c r="E67" s="14" t="n"/>
    </row>
    <row r="68" ht="15" customHeight="1" s="12">
      <c r="A68" s="14" t="inlineStr">
        <is>
          <t>Khushab</t>
        </is>
      </c>
      <c r="B68" s="14" t="inlineStr">
        <is>
          <t>Punjab</t>
        </is>
      </c>
      <c r="C68" s="21" t="n">
        <v>0.3389</v>
      </c>
      <c r="D68" s="14" t="inlineStr">
        <is>
          <t>Moderate Positive</t>
        </is>
      </c>
      <c r="E68" s="14" t="n"/>
    </row>
    <row r="69" ht="15" customHeight="1" s="12">
      <c r="A69" s="14" t="inlineStr">
        <is>
          <t>Khuzdar</t>
        </is>
      </c>
      <c r="B69" s="14" t="inlineStr">
        <is>
          <t>Balochistan</t>
        </is>
      </c>
      <c r="C69" s="21" t="n">
        <v>0.832</v>
      </c>
      <c r="D69" s="14" t="inlineStr">
        <is>
          <t>Strong Positive</t>
        </is>
      </c>
      <c r="E69" s="14" t="n"/>
    </row>
    <row r="70" ht="15" customHeight="1" s="12">
      <c r="A70" s="14" t="inlineStr">
        <is>
          <t>Khyber</t>
        </is>
      </c>
      <c r="B70" s="14" t="inlineStr">
        <is>
          <t>Khyber Pakhtunkhwa</t>
        </is>
      </c>
      <c r="C70" s="21" t="n">
        <v>0.3068</v>
      </c>
      <c r="D70" s="14" t="inlineStr">
        <is>
          <t>Moderate Positive</t>
        </is>
      </c>
      <c r="E70" s="14" t="n"/>
    </row>
    <row r="71" ht="15" customHeight="1" s="12">
      <c r="A71" s="14" t="inlineStr">
        <is>
          <t>Killa Abdullah</t>
        </is>
      </c>
      <c r="B71" s="14" t="inlineStr">
        <is>
          <t>Balochistan</t>
        </is>
      </c>
      <c r="C71" s="21" t="n">
        <v>0.8982</v>
      </c>
      <c r="D71" s="14" t="inlineStr">
        <is>
          <t>Strong Positive</t>
        </is>
      </c>
      <c r="E71" s="14" t="n"/>
    </row>
    <row r="72" ht="15" customHeight="1" s="12">
      <c r="A72" s="14" t="inlineStr">
        <is>
          <t>Killa Saifullah</t>
        </is>
      </c>
      <c r="B72" s="14" t="inlineStr">
        <is>
          <t>Balochistan</t>
        </is>
      </c>
      <c r="C72" s="21" t="n">
        <v>0.6375</v>
      </c>
      <c r="D72" s="14" t="inlineStr">
        <is>
          <t>Strong Positive</t>
        </is>
      </c>
      <c r="E72" s="14" t="n"/>
    </row>
    <row r="73" ht="30" customHeight="1" s="12">
      <c r="A73" s="19" t="inlineStr">
        <is>
          <t>Kohat</t>
        </is>
      </c>
      <c r="B73" s="19" t="inlineStr">
        <is>
          <t>Khyber Pakhtunkhwa</t>
        </is>
      </c>
      <c r="C73" s="20" t="n">
        <v>-0.2461</v>
      </c>
      <c r="D73" s="19" t="inlineStr">
        <is>
          <t>Moderate Negative</t>
        </is>
      </c>
      <c r="E73" s="24" t="inlineStr">
        <is>
          <t>Negative correlation — flooding driven by upstream/glacial factors, not local rainfall</t>
        </is>
      </c>
    </row>
    <row r="74" ht="15" customHeight="1" s="12">
      <c r="A74" s="14" t="inlineStr">
        <is>
          <t>Kohistan Lower</t>
        </is>
      </c>
      <c r="B74" s="14" t="inlineStr">
        <is>
          <t>Khyber Pakhtunkhwa</t>
        </is>
      </c>
      <c r="C74" s="21" t="n">
        <v>0.4618</v>
      </c>
      <c r="D74" s="14" t="inlineStr">
        <is>
          <t>Moderate Positive</t>
        </is>
      </c>
      <c r="E74" s="14" t="n"/>
    </row>
    <row r="75" ht="15" customHeight="1" s="12">
      <c r="A75" s="14" t="inlineStr">
        <is>
          <t>Kohistan Upper</t>
        </is>
      </c>
      <c r="B75" s="14" t="inlineStr">
        <is>
          <t>Khyber Pakhtunkhwa</t>
        </is>
      </c>
      <c r="C75" s="21" t="n">
        <v>0.57</v>
      </c>
      <c r="D75" s="14" t="inlineStr">
        <is>
          <t>Strong Positive</t>
        </is>
      </c>
      <c r="E75" s="14" t="n"/>
    </row>
    <row r="76" ht="15" customHeight="1" s="12">
      <c r="A76" s="14" t="inlineStr">
        <is>
          <t>Kohlu</t>
        </is>
      </c>
      <c r="B76" s="14" t="inlineStr">
        <is>
          <t>Balochistan</t>
        </is>
      </c>
      <c r="C76" s="21" t="n">
        <v>0.6978</v>
      </c>
      <c r="D76" s="14" t="inlineStr">
        <is>
          <t>Strong Positive</t>
        </is>
      </c>
      <c r="E76" s="14" t="n"/>
    </row>
    <row r="77" ht="15" customHeight="1" s="12">
      <c r="A77" s="14" t="inlineStr">
        <is>
          <t>Kolai Palas Kohistan</t>
        </is>
      </c>
      <c r="B77" s="14" t="inlineStr">
        <is>
          <t>Khyber Pakhtunkhwa</t>
        </is>
      </c>
      <c r="C77" s="21" t="n">
        <v>0.3979</v>
      </c>
      <c r="D77" s="14" t="inlineStr">
        <is>
          <t>Moderate Positive</t>
        </is>
      </c>
      <c r="E77" s="14" t="n"/>
    </row>
    <row r="78" ht="15" customHeight="1" s="12">
      <c r="A78" s="14" t="inlineStr">
        <is>
          <t>Korangi Karachi</t>
        </is>
      </c>
      <c r="B78" s="14" t="inlineStr">
        <is>
          <t>Sindh</t>
        </is>
      </c>
      <c r="C78" s="21" t="n">
        <v>0.7</v>
      </c>
      <c r="D78" s="14" t="inlineStr">
        <is>
          <t>Strong Positive</t>
        </is>
      </c>
      <c r="E78" s="14" t="n"/>
    </row>
    <row r="79" ht="15" customHeight="1" s="12">
      <c r="A79" s="14" t="inlineStr">
        <is>
          <t>Kotli</t>
        </is>
      </c>
      <c r="B79" s="14" t="inlineStr">
        <is>
          <t>Azad Kashmir</t>
        </is>
      </c>
      <c r="C79" s="21" t="n">
        <v>-0.1252</v>
      </c>
      <c r="D79" s="14" t="inlineStr">
        <is>
          <t>Weak / No Relationship</t>
        </is>
      </c>
      <c r="E79" s="14" t="n"/>
    </row>
    <row r="80" ht="15" customHeight="1" s="12">
      <c r="A80" s="14" t="inlineStr">
        <is>
          <t>Kurram</t>
        </is>
      </c>
      <c r="B80" s="14" t="inlineStr">
        <is>
          <t>Khyber Pakhtunkhwa</t>
        </is>
      </c>
      <c r="C80" s="21" t="n">
        <v>0.052</v>
      </c>
      <c r="D80" s="14" t="inlineStr">
        <is>
          <t>Weak / No Relationship</t>
        </is>
      </c>
      <c r="E80" s="14" t="n"/>
    </row>
    <row r="81" ht="15" customHeight="1" s="12">
      <c r="A81" s="14" t="inlineStr">
        <is>
          <t>Lahore</t>
        </is>
      </c>
      <c r="B81" s="14" t="inlineStr">
        <is>
          <t>Punjab</t>
        </is>
      </c>
      <c r="C81" s="21" t="n">
        <v>0.8108</v>
      </c>
      <c r="D81" s="14" t="inlineStr">
        <is>
          <t>Strong Positive</t>
        </is>
      </c>
      <c r="E81" s="14" t="n"/>
    </row>
    <row r="82" ht="15" customHeight="1" s="12">
      <c r="A82" s="14" t="inlineStr">
        <is>
          <t>Lakki Marwat</t>
        </is>
      </c>
      <c r="B82" s="14" t="inlineStr">
        <is>
          <t>Khyber Pakhtunkhwa</t>
        </is>
      </c>
      <c r="C82" s="21" t="n">
        <v>0.3092</v>
      </c>
      <c r="D82" s="14" t="inlineStr">
        <is>
          <t>Moderate Positive</t>
        </is>
      </c>
      <c r="E82" s="14" t="n"/>
    </row>
    <row r="83" ht="15" customHeight="1" s="12">
      <c r="A83" s="14" t="inlineStr">
        <is>
          <t>Larkana</t>
        </is>
      </c>
      <c r="B83" s="14" t="inlineStr">
        <is>
          <t>Sindh</t>
        </is>
      </c>
      <c r="C83" s="21" t="n">
        <v>0.8575</v>
      </c>
      <c r="D83" s="14" t="inlineStr">
        <is>
          <t>Strong Positive</t>
        </is>
      </c>
      <c r="E83" s="14" t="n"/>
    </row>
    <row r="84" ht="15" customHeight="1" s="12">
      <c r="A84" s="14" t="inlineStr">
        <is>
          <t>Lasbela</t>
        </is>
      </c>
      <c r="B84" s="14" t="inlineStr">
        <is>
          <t>Balochistan</t>
        </is>
      </c>
      <c r="C84" s="21" t="n">
        <v>0.7753</v>
      </c>
      <c r="D84" s="14" t="inlineStr">
        <is>
          <t>Strong Positive</t>
        </is>
      </c>
      <c r="E84" s="14" t="n"/>
    </row>
    <row r="85" ht="15" customHeight="1" s="12">
      <c r="A85" s="14" t="inlineStr">
        <is>
          <t>Lehri</t>
        </is>
      </c>
      <c r="B85" s="14" t="inlineStr">
        <is>
          <t>Balochistan</t>
        </is>
      </c>
      <c r="C85" s="21" t="n">
        <v>0.8424</v>
      </c>
      <c r="D85" s="14" t="inlineStr">
        <is>
          <t>Strong Positive</t>
        </is>
      </c>
      <c r="E85" s="14" t="n"/>
    </row>
    <row r="86" ht="15" customHeight="1" s="12">
      <c r="A86" s="14" t="inlineStr">
        <is>
          <t>Leiah</t>
        </is>
      </c>
      <c r="B86" s="14" t="inlineStr">
        <is>
          <t>Punjab</t>
        </is>
      </c>
      <c r="C86" s="21" t="n">
        <v>0.269</v>
      </c>
      <c r="D86" s="14" t="inlineStr">
        <is>
          <t>Moderate Positive</t>
        </is>
      </c>
      <c r="E86" s="14" t="n"/>
    </row>
    <row r="87" ht="15" customHeight="1" s="12">
      <c r="A87" s="14" t="inlineStr">
        <is>
          <t>Lodhran</t>
        </is>
      </c>
      <c r="B87" s="14" t="inlineStr">
        <is>
          <t>Punjab</t>
        </is>
      </c>
      <c r="C87" s="21" t="n">
        <v>0.2298</v>
      </c>
      <c r="D87" s="14" t="inlineStr">
        <is>
          <t>Moderate Positive</t>
        </is>
      </c>
      <c r="E87" s="14" t="n"/>
    </row>
    <row r="88" ht="15" customHeight="1" s="12">
      <c r="A88" s="14" t="inlineStr">
        <is>
          <t>Loralai</t>
        </is>
      </c>
      <c r="B88" s="14" t="inlineStr">
        <is>
          <t>Balochistan</t>
        </is>
      </c>
      <c r="C88" s="21" t="n">
        <v>0.6022</v>
      </c>
      <c r="D88" s="14" t="inlineStr">
        <is>
          <t>Strong Positive</t>
        </is>
      </c>
      <c r="E88" s="14" t="n"/>
    </row>
    <row r="89" ht="15" customHeight="1" s="12">
      <c r="A89" s="14" t="inlineStr">
        <is>
          <t>Lower Dir</t>
        </is>
      </c>
      <c r="B89" s="14" t="inlineStr">
        <is>
          <t>Khyber Pakhtunkhwa</t>
        </is>
      </c>
      <c r="C89" s="21" t="n">
        <v>0.5102</v>
      </c>
      <c r="D89" s="14" t="inlineStr">
        <is>
          <t>Strong Positive</t>
        </is>
      </c>
      <c r="E89" s="14" t="n"/>
    </row>
    <row r="90" ht="15" customHeight="1" s="12">
      <c r="A90" s="14" t="inlineStr">
        <is>
          <t>Malakand</t>
        </is>
      </c>
      <c r="B90" s="14" t="inlineStr">
        <is>
          <t>Khyber Pakhtunkhwa</t>
        </is>
      </c>
      <c r="C90" s="21" t="n">
        <v>0.2454</v>
      </c>
      <c r="D90" s="14" t="inlineStr">
        <is>
          <t>Moderate Positive</t>
        </is>
      </c>
      <c r="E90" s="14" t="n"/>
    </row>
    <row r="91" ht="15" customHeight="1" s="12">
      <c r="A91" s="14" t="inlineStr">
        <is>
          <t>Malir Karachi</t>
        </is>
      </c>
      <c r="B91" s="14" t="inlineStr">
        <is>
          <t>Sindh</t>
        </is>
      </c>
      <c r="C91" s="21" t="n">
        <v>0.8601</v>
      </c>
      <c r="D91" s="14" t="inlineStr">
        <is>
          <t>Strong Positive</t>
        </is>
      </c>
      <c r="E91" s="14" t="n"/>
    </row>
    <row r="92" ht="15" customHeight="1" s="12">
      <c r="A92" s="14" t="inlineStr">
        <is>
          <t>Mandi Bahauddin</t>
        </is>
      </c>
      <c r="B92" s="14" t="inlineStr">
        <is>
          <t>Punjab</t>
        </is>
      </c>
      <c r="C92" s="21" t="n">
        <v>0.0335</v>
      </c>
      <c r="D92" s="14" t="inlineStr">
        <is>
          <t>Weak / No Relationship</t>
        </is>
      </c>
      <c r="E92" s="14" t="n"/>
    </row>
    <row r="93" ht="15" customHeight="1" s="12">
      <c r="A93" s="14" t="inlineStr">
        <is>
          <t>Mansehra</t>
        </is>
      </c>
      <c r="B93" s="14" t="inlineStr">
        <is>
          <t>Khyber Pakhtunkhwa</t>
        </is>
      </c>
      <c r="C93" s="21" t="n">
        <v>0.2231</v>
      </c>
      <c r="D93" s="14" t="inlineStr">
        <is>
          <t>Moderate Positive</t>
        </is>
      </c>
      <c r="E93" s="14" t="n"/>
    </row>
    <row r="94" ht="15" customHeight="1" s="12">
      <c r="A94" s="14" t="inlineStr">
        <is>
          <t>Mardan</t>
        </is>
      </c>
      <c r="B94" s="14" t="inlineStr">
        <is>
          <t>Khyber Pakhtunkhwa</t>
        </is>
      </c>
      <c r="C94" s="21" t="n">
        <v>0.3262</v>
      </c>
      <c r="D94" s="14" t="inlineStr">
        <is>
          <t>Moderate Positive</t>
        </is>
      </c>
      <c r="E94" s="14" t="n"/>
    </row>
    <row r="95" ht="15" customHeight="1" s="12">
      <c r="A95" s="14" t="inlineStr">
        <is>
          <t>Mastung</t>
        </is>
      </c>
      <c r="B95" s="14" t="inlineStr">
        <is>
          <t>Balochistan</t>
        </is>
      </c>
      <c r="C95" s="21" t="n">
        <v>0.6687</v>
      </c>
      <c r="D95" s="14" t="inlineStr">
        <is>
          <t>Strong Positive</t>
        </is>
      </c>
      <c r="E95" s="14" t="n"/>
    </row>
    <row r="96" ht="15" customHeight="1" s="12">
      <c r="A96" s="14" t="inlineStr">
        <is>
          <t>Matiari</t>
        </is>
      </c>
      <c r="B96" s="14" t="inlineStr">
        <is>
          <t>Sindh</t>
        </is>
      </c>
      <c r="C96" s="21" t="n">
        <v>0.7463</v>
      </c>
      <c r="D96" s="14" t="inlineStr">
        <is>
          <t>Strong Positive</t>
        </is>
      </c>
      <c r="E96" s="14" t="n"/>
    </row>
    <row r="97" ht="15" customHeight="1" s="12">
      <c r="A97" s="14" t="inlineStr">
        <is>
          <t>Mianwali</t>
        </is>
      </c>
      <c r="B97" s="14" t="inlineStr">
        <is>
          <t>Punjab</t>
        </is>
      </c>
      <c r="C97" s="21" t="n">
        <v>0.0857</v>
      </c>
      <c r="D97" s="14" t="inlineStr">
        <is>
          <t>Weak / No Relationship</t>
        </is>
      </c>
      <c r="E97" s="14" t="n"/>
    </row>
    <row r="98" ht="15" customHeight="1" s="12">
      <c r="A98" s="14" t="inlineStr">
        <is>
          <t>Mirpur</t>
        </is>
      </c>
      <c r="B98" s="14" t="inlineStr">
        <is>
          <t>Azad Kashmir</t>
        </is>
      </c>
      <c r="C98" s="21" t="n">
        <v>0.3611</v>
      </c>
      <c r="D98" s="14" t="inlineStr">
        <is>
          <t>Moderate Positive</t>
        </is>
      </c>
      <c r="E98" s="14" t="n"/>
    </row>
    <row r="99" ht="15" customHeight="1" s="12">
      <c r="A99" s="14" t="inlineStr">
        <is>
          <t>Mirpur Khas</t>
        </is>
      </c>
      <c r="B99" s="14" t="inlineStr">
        <is>
          <t>Sindh</t>
        </is>
      </c>
      <c r="C99" s="21" t="n">
        <v>0.7926</v>
      </c>
      <c r="D99" s="14" t="inlineStr">
        <is>
          <t>Strong Positive</t>
        </is>
      </c>
      <c r="E99" s="14" t="n"/>
    </row>
    <row r="100" ht="15" customHeight="1" s="12">
      <c r="A100" s="14" t="inlineStr">
        <is>
          <t>Mohmand</t>
        </is>
      </c>
      <c r="B100" s="14" t="inlineStr">
        <is>
          <t>Khyber Pakhtunkhwa</t>
        </is>
      </c>
      <c r="C100" s="21" t="n">
        <v>0.6622</v>
      </c>
      <c r="D100" s="14" t="inlineStr">
        <is>
          <t>Strong Positive</t>
        </is>
      </c>
      <c r="E100" s="14" t="n"/>
    </row>
    <row r="101" ht="15" customHeight="1" s="12">
      <c r="A101" s="14" t="inlineStr">
        <is>
          <t>Multan</t>
        </is>
      </c>
      <c r="B101" s="14" t="inlineStr">
        <is>
          <t>Punjab</t>
        </is>
      </c>
      <c r="C101" s="21" t="n">
        <v>0.7246</v>
      </c>
      <c r="D101" s="14" t="inlineStr">
        <is>
          <t>Strong Positive</t>
        </is>
      </c>
      <c r="E101" s="14" t="n"/>
    </row>
    <row r="102" ht="15" customHeight="1" s="12">
      <c r="A102" s="14" t="inlineStr">
        <is>
          <t>Musakhel</t>
        </is>
      </c>
      <c r="B102" s="14" t="inlineStr">
        <is>
          <t>Balochistan</t>
        </is>
      </c>
      <c r="C102" s="21" t="n">
        <v>0.556</v>
      </c>
      <c r="D102" s="14" t="inlineStr">
        <is>
          <t>Strong Positive</t>
        </is>
      </c>
      <c r="E102" s="14" t="n"/>
    </row>
    <row r="103" ht="30" customHeight="1" s="12">
      <c r="A103" s="19" t="inlineStr">
        <is>
          <t>Muzaffarabad</t>
        </is>
      </c>
      <c r="B103" s="19" t="inlineStr">
        <is>
          <t>Azad Kashmir</t>
        </is>
      </c>
      <c r="C103" s="20" t="n">
        <v>-0.3065</v>
      </c>
      <c r="D103" s="19" t="inlineStr">
        <is>
          <t>Moderate Negative</t>
        </is>
      </c>
      <c r="E103" s="24" t="inlineStr">
        <is>
          <t>Negative correlation — flooding driven by upstream/glacial factors, not local rainfall</t>
        </is>
      </c>
    </row>
    <row r="104" ht="15" customHeight="1" s="12">
      <c r="A104" s="14" t="inlineStr">
        <is>
          <t>Muzaffargarh</t>
        </is>
      </c>
      <c r="B104" s="14" t="inlineStr">
        <is>
          <t>Punjab</t>
        </is>
      </c>
      <c r="C104" s="21" t="n">
        <v>0.4501</v>
      </c>
      <c r="D104" s="14" t="inlineStr">
        <is>
          <t>Moderate Positive</t>
        </is>
      </c>
      <c r="E104" s="14" t="n"/>
    </row>
    <row r="105" ht="15" customHeight="1" s="12">
      <c r="A105" s="14" t="inlineStr">
        <is>
          <t>Nagar</t>
        </is>
      </c>
      <c r="B105" s="14" t="inlineStr">
        <is>
          <t>Gilgit Baltistan</t>
        </is>
      </c>
      <c r="C105" s="21" t="n">
        <v>0.1424</v>
      </c>
      <c r="D105" s="14" t="inlineStr">
        <is>
          <t>Weak / No Relationship</t>
        </is>
      </c>
      <c r="E105" s="14" t="n"/>
    </row>
    <row r="106" ht="15" customHeight="1" s="12">
      <c r="A106" s="14" t="inlineStr">
        <is>
          <t>Nankana Sahib</t>
        </is>
      </c>
      <c r="B106" s="14" t="inlineStr">
        <is>
          <t>Punjab</t>
        </is>
      </c>
      <c r="C106" s="21" t="n">
        <v>0.8545</v>
      </c>
      <c r="D106" s="14" t="inlineStr">
        <is>
          <t>Strong Positive</t>
        </is>
      </c>
      <c r="E106" s="14" t="n"/>
    </row>
    <row r="107" ht="15" customHeight="1" s="12">
      <c r="A107" s="14" t="inlineStr">
        <is>
          <t>Narowal</t>
        </is>
      </c>
      <c r="B107" s="14" t="inlineStr">
        <is>
          <t>Punjab</t>
        </is>
      </c>
      <c r="C107" s="21" t="n">
        <v>0.5699</v>
      </c>
      <c r="D107" s="14" t="inlineStr">
        <is>
          <t>Strong Positive</t>
        </is>
      </c>
      <c r="E107" s="14" t="n"/>
    </row>
    <row r="108" ht="15" customHeight="1" s="12">
      <c r="A108" s="14" t="inlineStr">
        <is>
          <t>Nasirabad</t>
        </is>
      </c>
      <c r="B108" s="14" t="inlineStr">
        <is>
          <t>Balochistan</t>
        </is>
      </c>
      <c r="C108" s="21" t="n">
        <v>0.9151</v>
      </c>
      <c r="D108" s="14" t="inlineStr">
        <is>
          <t>Strong Positive</t>
        </is>
      </c>
      <c r="E108" s="14" t="n"/>
    </row>
    <row r="109" ht="15" customHeight="1" s="12">
      <c r="A109" s="14" t="inlineStr">
        <is>
          <t>Naushahro Feroze</t>
        </is>
      </c>
      <c r="B109" s="14" t="inlineStr">
        <is>
          <t>Sindh</t>
        </is>
      </c>
      <c r="C109" s="21" t="n">
        <v>0.7845</v>
      </c>
      <c r="D109" s="14" t="inlineStr">
        <is>
          <t>Strong Positive</t>
        </is>
      </c>
      <c r="E109" s="14" t="n"/>
    </row>
    <row r="110" ht="15" customHeight="1" s="12">
      <c r="A110" s="14" t="inlineStr">
        <is>
          <t>Neelum</t>
        </is>
      </c>
      <c r="B110" s="14" t="inlineStr">
        <is>
          <t>Azad Kashmir</t>
        </is>
      </c>
      <c r="C110" s="21" t="n">
        <v>-0.1067</v>
      </c>
      <c r="D110" s="14" t="inlineStr">
        <is>
          <t>Weak / No Relationship</t>
        </is>
      </c>
      <c r="E110" s="14" t="n"/>
    </row>
    <row r="111" ht="15" customHeight="1" s="12">
      <c r="A111" s="14" t="inlineStr">
        <is>
          <t>North Waziristan</t>
        </is>
      </c>
      <c r="B111" s="14" t="inlineStr">
        <is>
          <t>Khyber Pakhtunkhwa</t>
        </is>
      </c>
      <c r="C111" s="21" t="n">
        <v>0.4774</v>
      </c>
      <c r="D111" s="14" t="inlineStr">
        <is>
          <t>Moderate Positive</t>
        </is>
      </c>
      <c r="E111" s="14" t="n"/>
    </row>
    <row r="112" ht="15" customHeight="1" s="12">
      <c r="A112" s="14" t="inlineStr">
        <is>
          <t>Nowshera</t>
        </is>
      </c>
      <c r="B112" s="14" t="inlineStr">
        <is>
          <t>Khyber Pakhtunkhwa</t>
        </is>
      </c>
      <c r="C112" s="21" t="n">
        <v>0.1004</v>
      </c>
      <c r="D112" s="14" t="inlineStr">
        <is>
          <t>Weak / No Relationship</t>
        </is>
      </c>
      <c r="E112" s="14" t="n"/>
    </row>
    <row r="113" ht="15" customHeight="1" s="12">
      <c r="A113" s="14" t="inlineStr">
        <is>
          <t>Nushki</t>
        </is>
      </c>
      <c r="B113" s="14" t="inlineStr">
        <is>
          <t>Balochistan</t>
        </is>
      </c>
      <c r="C113" s="21" t="n">
        <v>0.8621</v>
      </c>
      <c r="D113" s="14" t="inlineStr">
        <is>
          <t>Strong Positive</t>
        </is>
      </c>
      <c r="E113" s="14" t="n"/>
    </row>
    <row r="114" ht="15" customHeight="1" s="12">
      <c r="A114" s="14" t="inlineStr">
        <is>
          <t>Okara</t>
        </is>
      </c>
      <c r="B114" s="14" t="inlineStr">
        <is>
          <t>Punjab</t>
        </is>
      </c>
      <c r="C114" s="21" t="n">
        <v>0.438</v>
      </c>
      <c r="D114" s="14" t="inlineStr">
        <is>
          <t>Moderate Positive</t>
        </is>
      </c>
      <c r="E114" s="14" t="n"/>
    </row>
    <row r="115" ht="15" customHeight="1" s="12">
      <c r="A115" s="14" t="inlineStr">
        <is>
          <t>Orakzai</t>
        </is>
      </c>
      <c r="B115" s="14" t="inlineStr">
        <is>
          <t>Khyber Pakhtunkhwa</t>
        </is>
      </c>
      <c r="C115" s="21" t="n">
        <v>0.3328</v>
      </c>
      <c r="D115" s="14" t="inlineStr">
        <is>
          <t>Moderate Positive</t>
        </is>
      </c>
      <c r="E115" s="14" t="n"/>
    </row>
    <row r="116" ht="15" customHeight="1" s="12">
      <c r="A116" s="14" t="inlineStr">
        <is>
          <t>Pakpattan</t>
        </is>
      </c>
      <c r="B116" s="14" t="inlineStr">
        <is>
          <t>Punjab</t>
        </is>
      </c>
      <c r="C116" s="21" t="n">
        <v>0.6202</v>
      </c>
      <c r="D116" s="14" t="inlineStr">
        <is>
          <t>Strong Positive</t>
        </is>
      </c>
      <c r="E116" s="14" t="n"/>
    </row>
    <row r="117" ht="15" customHeight="1" s="12">
      <c r="A117" s="14" t="inlineStr">
        <is>
          <t>Panjgur</t>
        </is>
      </c>
      <c r="B117" s="14" t="inlineStr">
        <is>
          <t>Balochistan</t>
        </is>
      </c>
      <c r="C117" s="21" t="n">
        <v>0.8633</v>
      </c>
      <c r="D117" s="14" t="inlineStr">
        <is>
          <t>Strong Positive</t>
        </is>
      </c>
      <c r="E117" s="14" t="n"/>
    </row>
    <row r="118" ht="15" customHeight="1" s="12">
      <c r="A118" s="14" t="inlineStr">
        <is>
          <t>Peshawar</t>
        </is>
      </c>
      <c r="B118" s="14" t="inlineStr">
        <is>
          <t>Khyber Pakhtunkhwa</t>
        </is>
      </c>
      <c r="C118" s="21" t="n">
        <v>-0.0137</v>
      </c>
      <c r="D118" s="14" t="inlineStr">
        <is>
          <t>Weak / No Relationship</t>
        </is>
      </c>
      <c r="E118" s="14" t="n"/>
    </row>
    <row r="119" ht="15" customHeight="1" s="12">
      <c r="A119" s="14" t="inlineStr">
        <is>
          <t>Pishin</t>
        </is>
      </c>
      <c r="B119" s="14" t="inlineStr">
        <is>
          <t>Balochistan</t>
        </is>
      </c>
      <c r="C119" s="21" t="n">
        <v>0.8675</v>
      </c>
      <c r="D119" s="14" t="inlineStr">
        <is>
          <t>Strong Positive</t>
        </is>
      </c>
      <c r="E119" s="14" t="n"/>
    </row>
    <row r="120" ht="15" customHeight="1" s="12">
      <c r="A120" s="14" t="inlineStr">
        <is>
          <t>Poonch</t>
        </is>
      </c>
      <c r="B120" s="14" t="inlineStr">
        <is>
          <t>Azad Kashmir</t>
        </is>
      </c>
      <c r="C120" s="21" t="n">
        <v>-0.1148</v>
      </c>
      <c r="D120" s="14" t="inlineStr">
        <is>
          <t>Weak / No Relationship</t>
        </is>
      </c>
      <c r="E120" s="14" t="n"/>
    </row>
    <row r="121" ht="15" customHeight="1" s="12">
      <c r="A121" s="14" t="inlineStr">
        <is>
          <t>Quetta</t>
        </is>
      </c>
      <c r="B121" s="14" t="inlineStr">
        <is>
          <t>Balochistan</t>
        </is>
      </c>
      <c r="C121" s="21" t="n">
        <v>0.8575</v>
      </c>
      <c r="D121" s="14" t="inlineStr">
        <is>
          <t>Strong Positive</t>
        </is>
      </c>
      <c r="E121" s="14" t="n"/>
    </row>
    <row r="122" ht="15" customHeight="1" s="12">
      <c r="A122" s="14" t="inlineStr">
        <is>
          <t>Rahim Yar Khan</t>
        </is>
      </c>
      <c r="B122" s="14" t="inlineStr">
        <is>
          <t>Punjab</t>
        </is>
      </c>
      <c r="C122" s="21" t="n">
        <v>0.5993000000000001</v>
      </c>
      <c r="D122" s="14" t="inlineStr">
        <is>
          <t>Strong Positive</t>
        </is>
      </c>
      <c r="E122" s="14" t="n"/>
    </row>
    <row r="123" ht="15" customHeight="1" s="12">
      <c r="A123" s="14" t="inlineStr">
        <is>
          <t>Rajanpur</t>
        </is>
      </c>
      <c r="B123" s="14" t="inlineStr">
        <is>
          <t>Punjab</t>
        </is>
      </c>
      <c r="C123" s="21" t="n">
        <v>0.6485</v>
      </c>
      <c r="D123" s="14" t="inlineStr">
        <is>
          <t>Strong Positive</t>
        </is>
      </c>
      <c r="E123" s="14" t="n"/>
    </row>
    <row r="124" ht="15" customHeight="1" s="12">
      <c r="A124" s="14" t="inlineStr">
        <is>
          <t>Rawalpindi</t>
        </is>
      </c>
      <c r="B124" s="14" t="inlineStr">
        <is>
          <t>Punjab</t>
        </is>
      </c>
      <c r="C124" s="21" t="n">
        <v>0.1376</v>
      </c>
      <c r="D124" s="14" t="inlineStr">
        <is>
          <t>Weak / No Relationship</t>
        </is>
      </c>
      <c r="E124" s="14" t="n"/>
    </row>
    <row r="125" ht="15" customHeight="1" s="12">
      <c r="A125" s="14" t="inlineStr">
        <is>
          <t>Rondu</t>
        </is>
      </c>
      <c r="B125" s="14" t="inlineStr">
        <is>
          <t>Gilgit Baltistan</t>
        </is>
      </c>
      <c r="C125" s="21" t="n">
        <v>-0.0071</v>
      </c>
      <c r="D125" s="14" t="inlineStr">
        <is>
          <t>Weak / No Relationship</t>
        </is>
      </c>
      <c r="E125" s="14" t="n"/>
    </row>
    <row r="126" ht="15" customHeight="1" s="12">
      <c r="A126" s="14" t="inlineStr">
        <is>
          <t>Sahiwal</t>
        </is>
      </c>
      <c r="B126" s="14" t="inlineStr">
        <is>
          <t>Punjab</t>
        </is>
      </c>
      <c r="C126" s="21" t="n">
        <v>0.609</v>
      </c>
      <c r="D126" s="14" t="inlineStr">
        <is>
          <t>Strong Positive</t>
        </is>
      </c>
      <c r="E126" s="14" t="n"/>
    </row>
    <row r="127" ht="15" customHeight="1" s="12">
      <c r="A127" s="14" t="inlineStr">
        <is>
          <t>Sanghar</t>
        </is>
      </c>
      <c r="B127" s="14" t="inlineStr">
        <is>
          <t>Sindh</t>
        </is>
      </c>
      <c r="C127" s="21" t="n">
        <v>0.8218</v>
      </c>
      <c r="D127" s="14" t="inlineStr">
        <is>
          <t>Strong Positive</t>
        </is>
      </c>
      <c r="E127" s="14" t="n"/>
    </row>
    <row r="128" ht="15" customHeight="1" s="12">
      <c r="A128" s="14" t="inlineStr">
        <is>
          <t>Sargodha</t>
        </is>
      </c>
      <c r="B128" s="14" t="inlineStr">
        <is>
          <t>Punjab</t>
        </is>
      </c>
      <c r="C128" s="21" t="n">
        <v>0.3085</v>
      </c>
      <c r="D128" s="14" t="inlineStr">
        <is>
          <t>Moderate Positive</t>
        </is>
      </c>
      <c r="E128" s="14" t="n"/>
    </row>
    <row r="129" ht="15" customHeight="1" s="12">
      <c r="A129" s="14" t="inlineStr">
        <is>
          <t>Shaheed Benazir Abad</t>
        </is>
      </c>
      <c r="B129" s="14" t="inlineStr">
        <is>
          <t>Sindh</t>
        </is>
      </c>
      <c r="C129" s="21" t="n">
        <v>0.8264</v>
      </c>
      <c r="D129" s="14" t="inlineStr">
        <is>
          <t>Strong Positive</t>
        </is>
      </c>
      <c r="E129" s="14" t="n"/>
    </row>
    <row r="130" ht="15" customHeight="1" s="12">
      <c r="A130" s="14" t="inlineStr">
        <is>
          <t>Shaheed Sikandarabad</t>
        </is>
      </c>
      <c r="B130" s="14" t="inlineStr">
        <is>
          <t>Balochistan</t>
        </is>
      </c>
      <c r="C130" s="21" t="n">
        <v>0.9673</v>
      </c>
      <c r="D130" s="14" t="inlineStr">
        <is>
          <t>Strong Positive</t>
        </is>
      </c>
      <c r="E130" s="14" t="n"/>
    </row>
    <row r="131" ht="15" customHeight="1" s="12">
      <c r="A131" s="14" t="inlineStr">
        <is>
          <t>Shangla</t>
        </is>
      </c>
      <c r="B131" s="14" t="inlineStr">
        <is>
          <t>Khyber Pakhtunkhwa</t>
        </is>
      </c>
      <c r="C131" s="21" t="n">
        <v>-0.0373</v>
      </c>
      <c r="D131" s="14" t="inlineStr">
        <is>
          <t>Weak / No Relationship</t>
        </is>
      </c>
      <c r="E131" s="14" t="n"/>
    </row>
    <row r="132" ht="15" customHeight="1" s="12">
      <c r="A132" s="14" t="inlineStr">
        <is>
          <t>Sheikhupura</t>
        </is>
      </c>
      <c r="B132" s="14" t="inlineStr">
        <is>
          <t>Punjab</t>
        </is>
      </c>
      <c r="C132" s="21" t="n">
        <v>0.3723</v>
      </c>
      <c r="D132" s="14" t="inlineStr">
        <is>
          <t>Moderate Positive</t>
        </is>
      </c>
      <c r="E132" s="14" t="n"/>
    </row>
    <row r="133" ht="15" customHeight="1" s="12">
      <c r="A133" s="14" t="inlineStr">
        <is>
          <t>Sherani</t>
        </is>
      </c>
      <c r="B133" s="14" t="inlineStr">
        <is>
          <t>Balochistan</t>
        </is>
      </c>
      <c r="C133" s="21" t="n">
        <v>0.5432</v>
      </c>
      <c r="D133" s="14" t="inlineStr">
        <is>
          <t>Strong Positive</t>
        </is>
      </c>
      <c r="E133" s="14" t="n"/>
    </row>
    <row r="134" ht="15" customHeight="1" s="12">
      <c r="A134" s="14" t="inlineStr">
        <is>
          <t>Shigar</t>
        </is>
      </c>
      <c r="B134" s="14" t="inlineStr">
        <is>
          <t>Gilgit Baltistan</t>
        </is>
      </c>
      <c r="C134" s="21" t="n">
        <v>0.1281</v>
      </c>
      <c r="D134" s="14" t="inlineStr">
        <is>
          <t>Weak / No Relationship</t>
        </is>
      </c>
      <c r="E134" s="14" t="n"/>
    </row>
    <row r="135" ht="15" customHeight="1" s="12">
      <c r="A135" s="14" t="inlineStr">
        <is>
          <t>Shikarpur</t>
        </is>
      </c>
      <c r="B135" s="14" t="inlineStr">
        <is>
          <t>Sindh</t>
        </is>
      </c>
      <c r="C135" s="21" t="n">
        <v>0.78</v>
      </c>
      <c r="D135" s="14" t="inlineStr">
        <is>
          <t>Strong Positive</t>
        </is>
      </c>
      <c r="E135" s="14" t="n"/>
    </row>
    <row r="136" ht="15" customHeight="1" s="12">
      <c r="A136" s="14" t="inlineStr">
        <is>
          <t>Sialkot</t>
        </is>
      </c>
      <c r="B136" s="14" t="inlineStr">
        <is>
          <t>Punjab</t>
        </is>
      </c>
      <c r="C136" s="21" t="n">
        <v>0.5686</v>
      </c>
      <c r="D136" s="14" t="inlineStr">
        <is>
          <t>Strong Positive</t>
        </is>
      </c>
      <c r="E136" s="14" t="n"/>
    </row>
    <row r="137" ht="15" customHeight="1" s="12">
      <c r="A137" s="14" t="inlineStr">
        <is>
          <t>Sibi</t>
        </is>
      </c>
      <c r="B137" s="14" t="inlineStr">
        <is>
          <t>Balochistan</t>
        </is>
      </c>
      <c r="C137" s="21" t="n">
        <v>0.4837</v>
      </c>
      <c r="D137" s="14" t="inlineStr">
        <is>
          <t>Moderate Positive</t>
        </is>
      </c>
      <c r="E137" s="14" t="n"/>
    </row>
    <row r="138" ht="15" customHeight="1" s="12">
      <c r="A138" s="14" t="inlineStr">
        <is>
          <t>Skardu</t>
        </is>
      </c>
      <c r="B138" s="14" t="inlineStr">
        <is>
          <t>Gilgit Baltistan</t>
        </is>
      </c>
      <c r="C138" s="21" t="n">
        <v>0.1477</v>
      </c>
      <c r="D138" s="14" t="inlineStr">
        <is>
          <t>Weak / No Relationship</t>
        </is>
      </c>
      <c r="E138" s="14" t="n"/>
    </row>
    <row r="139" ht="15" customHeight="1" s="12">
      <c r="A139" s="14" t="inlineStr">
        <is>
          <t>Sohbatpur</t>
        </is>
      </c>
      <c r="B139" s="14" t="inlineStr">
        <is>
          <t>Balochistan</t>
        </is>
      </c>
      <c r="C139" s="21" t="n">
        <v>0.8542</v>
      </c>
      <c r="D139" s="14" t="inlineStr">
        <is>
          <t>Strong Positive</t>
        </is>
      </c>
      <c r="E139" s="14" t="n"/>
    </row>
    <row r="140" ht="15" customHeight="1" s="12">
      <c r="A140" s="14" t="inlineStr">
        <is>
          <t>South Karachi</t>
        </is>
      </c>
      <c r="B140" s="14" t="inlineStr">
        <is>
          <t>Sindh</t>
        </is>
      </c>
      <c r="C140" s="21" t="n">
        <v>0.836</v>
      </c>
      <c r="D140" s="14" t="inlineStr">
        <is>
          <t>Strong Positive</t>
        </is>
      </c>
      <c r="E140" s="14" t="n"/>
    </row>
    <row r="141" ht="15" customHeight="1" s="12">
      <c r="A141" s="14" t="inlineStr">
        <is>
          <t>South Waziristan</t>
        </is>
      </c>
      <c r="B141" s="14" t="inlineStr">
        <is>
          <t>Khyber Pakhtunkhwa</t>
        </is>
      </c>
      <c r="C141" s="21" t="n">
        <v>0.6919999999999999</v>
      </c>
      <c r="D141" s="14" t="inlineStr">
        <is>
          <t>Strong Positive</t>
        </is>
      </c>
      <c r="E141" s="14" t="n"/>
    </row>
    <row r="142" ht="15" customHeight="1" s="12">
      <c r="A142" s="14" t="inlineStr">
        <is>
          <t>Sudhnoti</t>
        </is>
      </c>
      <c r="B142" s="14" t="inlineStr">
        <is>
          <t>Azad Kashmir</t>
        </is>
      </c>
      <c r="C142" s="21" t="n">
        <v>-0.1776</v>
      </c>
      <c r="D142" s="14" t="inlineStr">
        <is>
          <t>Weak / No Relationship</t>
        </is>
      </c>
      <c r="E142" s="14" t="n"/>
    </row>
    <row r="143" ht="15" customHeight="1" s="12">
      <c r="A143" s="14" t="inlineStr">
        <is>
          <t>Sujawal</t>
        </is>
      </c>
      <c r="B143" s="14" t="inlineStr">
        <is>
          <t>Sindh</t>
        </is>
      </c>
      <c r="C143" s="21" t="n">
        <v>0.7173</v>
      </c>
      <c r="D143" s="14" t="inlineStr">
        <is>
          <t>Strong Positive</t>
        </is>
      </c>
      <c r="E143" s="14" t="n"/>
    </row>
    <row r="144" ht="15" customHeight="1" s="12">
      <c r="A144" s="14" t="inlineStr">
        <is>
          <t>Sukkur</t>
        </is>
      </c>
      <c r="B144" s="14" t="inlineStr">
        <is>
          <t>Sindh</t>
        </is>
      </c>
      <c r="C144" s="21" t="n">
        <v>0.633</v>
      </c>
      <c r="D144" s="14" t="inlineStr">
        <is>
          <t>Strong Positive</t>
        </is>
      </c>
      <c r="E144" s="14" t="n"/>
    </row>
    <row r="145" ht="15" customHeight="1" s="12">
      <c r="A145" s="14" t="inlineStr">
        <is>
          <t>Swabi</t>
        </is>
      </c>
      <c r="B145" s="14" t="inlineStr">
        <is>
          <t>Khyber Pakhtunkhwa</t>
        </is>
      </c>
      <c r="C145" s="21" t="n">
        <v>0.2315</v>
      </c>
      <c r="D145" s="14" t="inlineStr">
        <is>
          <t>Moderate Positive</t>
        </is>
      </c>
      <c r="E145" s="14" t="n"/>
    </row>
    <row r="146" ht="15" customHeight="1" s="12">
      <c r="A146" s="14" t="inlineStr">
        <is>
          <t>Swat</t>
        </is>
      </c>
      <c r="B146" s="14" t="inlineStr">
        <is>
          <t>Khyber Pakhtunkhwa</t>
        </is>
      </c>
      <c r="C146" s="21" t="n">
        <v>0.3643</v>
      </c>
      <c r="D146" s="14" t="inlineStr">
        <is>
          <t>Moderate Positive</t>
        </is>
      </c>
      <c r="E146" s="14" t="n"/>
    </row>
    <row r="147" ht="15" customHeight="1" s="12">
      <c r="A147" s="14" t="inlineStr">
        <is>
          <t>Tando Allahyar</t>
        </is>
      </c>
      <c r="B147" s="14" t="inlineStr">
        <is>
          <t>Sindh</t>
        </is>
      </c>
      <c r="C147" s="21" t="n">
        <v>0.7751</v>
      </c>
      <c r="D147" s="14" t="inlineStr">
        <is>
          <t>Strong Positive</t>
        </is>
      </c>
      <c r="E147" s="14" t="n"/>
    </row>
    <row r="148" ht="15" customHeight="1" s="12">
      <c r="A148" s="14" t="inlineStr">
        <is>
          <t>Tando Muhammad Khan</t>
        </is>
      </c>
      <c r="B148" s="14" t="inlineStr">
        <is>
          <t>Sindh</t>
        </is>
      </c>
      <c r="C148" s="21" t="n">
        <v>0.6693</v>
      </c>
      <c r="D148" s="14" t="inlineStr">
        <is>
          <t>Strong Positive</t>
        </is>
      </c>
      <c r="E148" s="14" t="n"/>
    </row>
    <row r="149" ht="15" customHeight="1" s="12">
      <c r="A149" s="14" t="inlineStr">
        <is>
          <t>Tangir</t>
        </is>
      </c>
      <c r="B149" s="14" t="inlineStr">
        <is>
          <t>Gilgit Baltistan</t>
        </is>
      </c>
      <c r="C149" s="21" t="n">
        <v>-0.1169</v>
      </c>
      <c r="D149" s="14" t="inlineStr">
        <is>
          <t>Weak / No Relationship</t>
        </is>
      </c>
      <c r="E149" s="14" t="n"/>
    </row>
    <row r="150" ht="15" customHeight="1" s="12">
      <c r="A150" s="14" t="inlineStr">
        <is>
          <t>Tank</t>
        </is>
      </c>
      <c r="B150" s="14" t="inlineStr">
        <is>
          <t>Khyber Pakhtunkhwa</t>
        </is>
      </c>
      <c r="C150" s="21" t="n">
        <v>0.8376</v>
      </c>
      <c r="D150" s="14" t="inlineStr">
        <is>
          <t>Strong Positive</t>
        </is>
      </c>
      <c r="E150" s="14" t="n"/>
    </row>
    <row r="151" ht="15" customHeight="1" s="12">
      <c r="A151" s="14" t="inlineStr">
        <is>
          <t>Tharparkar</t>
        </is>
      </c>
      <c r="B151" s="14" t="inlineStr">
        <is>
          <t>Sindh</t>
        </is>
      </c>
      <c r="C151" s="21" t="n">
        <v>0.6284999999999999</v>
      </c>
      <c r="D151" s="14" t="inlineStr">
        <is>
          <t>Strong Positive</t>
        </is>
      </c>
      <c r="E151" s="14" t="n"/>
    </row>
    <row r="152" ht="15" customHeight="1" s="12">
      <c r="A152" s="14" t="inlineStr">
        <is>
          <t>Thatta</t>
        </is>
      </c>
      <c r="B152" s="14" t="inlineStr">
        <is>
          <t>Sindh</t>
        </is>
      </c>
      <c r="C152" s="21" t="n">
        <v>0.7982</v>
      </c>
      <c r="D152" s="14" t="inlineStr">
        <is>
          <t>Strong Positive</t>
        </is>
      </c>
      <c r="E152" s="14" t="n"/>
    </row>
    <row r="153" ht="15" customHeight="1" s="12">
      <c r="A153" s="14" t="inlineStr">
        <is>
          <t>Toba Tek Singh</t>
        </is>
      </c>
      <c r="B153" s="14" t="inlineStr">
        <is>
          <t>Punjab</t>
        </is>
      </c>
      <c r="C153" s="21" t="n">
        <v>0.1647</v>
      </c>
      <c r="D153" s="14" t="inlineStr">
        <is>
          <t>Weak / No Relationship</t>
        </is>
      </c>
      <c r="E153" s="14" t="n"/>
    </row>
    <row r="154" ht="15" customHeight="1" s="12">
      <c r="A154" s="14" t="inlineStr">
        <is>
          <t>Tor Ghar</t>
        </is>
      </c>
      <c r="B154" s="14" t="inlineStr">
        <is>
          <t>Khyber Pakhtunkhwa</t>
        </is>
      </c>
      <c r="C154" s="21" t="n">
        <v>0.018</v>
      </c>
      <c r="D154" s="14" t="inlineStr">
        <is>
          <t>Weak / No Relationship</t>
        </is>
      </c>
      <c r="E154" s="14" t="n"/>
    </row>
    <row r="155" ht="15" customHeight="1" s="12">
      <c r="A155" s="14" t="inlineStr">
        <is>
          <t>Umer Kot</t>
        </is>
      </c>
      <c r="B155" s="14" t="inlineStr">
        <is>
          <t>Sindh</t>
        </is>
      </c>
      <c r="C155" s="21" t="n">
        <v>0.7587</v>
      </c>
      <c r="D155" s="14" t="inlineStr">
        <is>
          <t>Strong Positive</t>
        </is>
      </c>
      <c r="E155" s="14" t="n"/>
    </row>
    <row r="156" ht="15" customHeight="1" s="12">
      <c r="A156" s="14" t="inlineStr">
        <is>
          <t>Upper Dir</t>
        </is>
      </c>
      <c r="B156" s="14" t="inlineStr">
        <is>
          <t>Khyber Pakhtunkhwa</t>
        </is>
      </c>
      <c r="C156" s="21" t="n">
        <v>0.2496</v>
      </c>
      <c r="D156" s="14" t="inlineStr">
        <is>
          <t>Moderate Positive</t>
        </is>
      </c>
      <c r="E156" s="14" t="n"/>
    </row>
    <row r="157" ht="15" customHeight="1" s="12">
      <c r="A157" s="14" t="inlineStr">
        <is>
          <t>Vehari</t>
        </is>
      </c>
      <c r="B157" s="14" t="inlineStr">
        <is>
          <t>Punjab</t>
        </is>
      </c>
      <c r="C157" s="21" t="n">
        <v>0.3366</v>
      </c>
      <c r="D157" s="14" t="inlineStr">
        <is>
          <t>Moderate Positive</t>
        </is>
      </c>
      <c r="E157" s="14" t="n"/>
    </row>
    <row r="158" ht="15" customHeight="1" s="12">
      <c r="A158" s="14" t="inlineStr">
        <is>
          <t>Washuk</t>
        </is>
      </c>
      <c r="B158" s="14" t="inlineStr">
        <is>
          <t>Balochistan</t>
        </is>
      </c>
      <c r="C158" s="21" t="n">
        <v>0.873</v>
      </c>
      <c r="D158" s="14" t="inlineStr">
        <is>
          <t>Strong Positive</t>
        </is>
      </c>
      <c r="E158" s="14" t="n"/>
    </row>
    <row r="159" ht="15" customHeight="1" s="12">
      <c r="A159" s="14" t="inlineStr">
        <is>
          <t>West Karachi</t>
        </is>
      </c>
      <c r="B159" s="14" t="inlineStr">
        <is>
          <t>Sindh</t>
        </is>
      </c>
      <c r="C159" s="21" t="n">
        <v>0.4292</v>
      </c>
      <c r="D159" s="14" t="inlineStr">
        <is>
          <t>Moderate Positive</t>
        </is>
      </c>
      <c r="E159" s="14" t="n"/>
    </row>
    <row r="160" ht="15" customHeight="1" s="12">
      <c r="A160" s="14" t="inlineStr">
        <is>
          <t>Zhob</t>
        </is>
      </c>
      <c r="B160" s="14" t="inlineStr">
        <is>
          <t>Balochistan</t>
        </is>
      </c>
      <c r="C160" s="21" t="n">
        <v>0.5284</v>
      </c>
      <c r="D160" s="14" t="inlineStr">
        <is>
          <t>Strong Positive</t>
        </is>
      </c>
      <c r="E160" s="14" t="n"/>
    </row>
    <row r="161" ht="15" customHeight="1" s="12">
      <c r="A161" s="14" t="inlineStr">
        <is>
          <t>Ziarat</t>
        </is>
      </c>
      <c r="B161" s="14" t="inlineStr">
        <is>
          <t>Balochistan</t>
        </is>
      </c>
      <c r="C161" s="21" t="n">
        <v>0.7741</v>
      </c>
      <c r="D161" s="14" t="inlineStr">
        <is>
          <t>Strong Positive</t>
        </is>
      </c>
      <c r="E161" s="14" t="n"/>
    </row>
  </sheetData>
  <autoFilter ref="A1:E16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1" min="1" max="1"/>
    <col width="18" customWidth="1" style="11" min="2" max="2"/>
    <col width="15" customWidth="1" style="11" min="3" max="4"/>
    <col width="11" customWidth="1" style="11" min="5" max="5"/>
    <col width="17" customWidth="1" style="11" min="6" max="8"/>
    <col width="21" customWidth="1" style="11" min="9" max="9"/>
    <col width="42" customWidth="1" style="11" min="10" max="10"/>
  </cols>
  <sheetData>
    <row r="1" ht="23.85" customHeight="1" s="12">
      <c r="A1" s="13" t="inlineStr">
        <is>
          <t>District</t>
        </is>
      </c>
      <c r="B1" s="13" t="inlineStr">
        <is>
          <t>Province</t>
        </is>
      </c>
      <c r="C1" s="13" t="inlineStr">
        <is>
          <t>Linear 2026 (mm)</t>
        </is>
      </c>
      <c r="D1" s="13" t="inlineStr">
        <is>
          <t>Linear 2027 (mm)</t>
        </is>
      </c>
      <c r="E1" s="13" t="inlineStr">
        <is>
          <t>Linear R²</t>
        </is>
      </c>
      <c r="F1" s="13" t="inlineStr">
        <is>
          <t>Linear Slope (mm/yr)</t>
        </is>
      </c>
      <c r="G1" s="13" t="inlineStr">
        <is>
          <t>Quadratic 2026 (mm)</t>
        </is>
      </c>
      <c r="H1" s="13" t="inlineStr">
        <is>
          <t>Quadratic 2027 (mm)</t>
        </is>
      </c>
      <c r="I1" s="13" t="inlineStr">
        <is>
          <t>Trend Classification</t>
        </is>
      </c>
      <c r="J1" s="13" t="inlineStr">
        <is>
          <t>Note</t>
        </is>
      </c>
    </row>
    <row r="2" ht="15" customHeight="1" s="12">
      <c r="A2" s="14" t="inlineStr">
        <is>
          <t>Abbottabad</t>
        </is>
      </c>
      <c r="B2" s="14" t="inlineStr">
        <is>
          <t>Khyber Pakhtunkhwa</t>
        </is>
      </c>
      <c r="C2" s="22" t="n">
        <v>974.4299999999999</v>
      </c>
      <c r="D2" s="22" t="n">
        <v>996.83</v>
      </c>
      <c r="E2" s="21" t="n">
        <v>0.4215</v>
      </c>
      <c r="F2" s="22" t="n">
        <v>22.399</v>
      </c>
      <c r="G2" s="22" t="n">
        <v>974.79</v>
      </c>
      <c r="H2" s="22" t="n">
        <v>997.34</v>
      </c>
      <c r="I2" s="14">
        <f>IF(E2&gt;=0.5,IF(F2&gt;0,"Strong Rising Trend","Strong Falling Trend"),IF(E2&gt;=0.2,IF(F2&gt;0,"Moderate Rising Trend","Moderate Falling Trend"),"Weak / Unreliable Trend"))</f>
        <v/>
      </c>
      <c r="J2" s="14" t="inlineStr">
        <is>
          <t>Statistical trend only, not a meteorological forecast</t>
        </is>
      </c>
    </row>
    <row r="3" ht="15" customHeight="1" s="12">
      <c r="A3" s="14" t="inlineStr">
        <is>
          <t>Astore</t>
        </is>
      </c>
      <c r="B3" s="14" t="inlineStr">
        <is>
          <t>Gilgit Baltistan</t>
        </is>
      </c>
      <c r="C3" s="22" t="n">
        <v>215.17</v>
      </c>
      <c r="D3" s="22" t="n">
        <v>218.2</v>
      </c>
      <c r="E3" s="21" t="n">
        <v>0.1295</v>
      </c>
      <c r="F3" s="22" t="n">
        <v>3.021</v>
      </c>
      <c r="G3" s="22" t="n">
        <v>215.24</v>
      </c>
      <c r="H3" s="22" t="n">
        <v>218.28</v>
      </c>
      <c r="I3" s="14">
        <f>IF(E3&gt;=0.5,IF(F3&gt;0,"Strong Rising Trend","Strong Falling Trend"),IF(E3&gt;=0.2,IF(F3&gt;0,"Moderate Rising Trend","Moderate Falling Trend"),"Weak / Unreliable Trend"))</f>
        <v/>
      </c>
      <c r="J3" s="14" t="inlineStr">
        <is>
          <t>Statistical trend only, not a meteorological forecast</t>
        </is>
      </c>
    </row>
    <row r="4" ht="15" customHeight="1" s="12">
      <c r="A4" s="14" t="inlineStr">
        <is>
          <t>Attock</t>
        </is>
      </c>
      <c r="B4" s="14" t="inlineStr">
        <is>
          <t>Punjab</t>
        </is>
      </c>
      <c r="C4" s="22" t="n">
        <v>495.24</v>
      </c>
      <c r="D4" s="22" t="n">
        <v>498.93</v>
      </c>
      <c r="E4" s="21" t="n">
        <v>0.064</v>
      </c>
      <c r="F4" s="22" t="n">
        <v>3.687</v>
      </c>
      <c r="G4" s="22" t="n">
        <v>495.33</v>
      </c>
      <c r="H4" s="22" t="n">
        <v>499.05</v>
      </c>
      <c r="I4" s="14">
        <f>IF(E4&gt;=0.5,IF(F4&gt;0,"Strong Rising Trend","Strong Falling Trend"),IF(E4&gt;=0.2,IF(F4&gt;0,"Moderate Rising Trend","Moderate Falling Trend"),"Weak / Unreliable Trend"))</f>
        <v/>
      </c>
      <c r="J4" s="14" t="inlineStr">
        <is>
          <t>Statistical trend only, not a meteorological forecast</t>
        </is>
      </c>
    </row>
    <row r="5" ht="15" customHeight="1" s="12">
      <c r="A5" s="14" t="inlineStr">
        <is>
          <t>Awaran</t>
        </is>
      </c>
      <c r="B5" s="14" t="inlineStr">
        <is>
          <t>Balochistan</t>
        </is>
      </c>
      <c r="C5" s="22" t="n">
        <v>162.98</v>
      </c>
      <c r="D5" s="22" t="n">
        <v>171.89</v>
      </c>
      <c r="E5" s="21" t="n">
        <v>0.1442</v>
      </c>
      <c r="F5" s="22" t="n">
        <v>8.911</v>
      </c>
      <c r="G5" s="22" t="n">
        <v>163.03</v>
      </c>
      <c r="H5" s="22" t="n">
        <v>171.99</v>
      </c>
      <c r="I5" s="14">
        <f>IF(E5&gt;=0.5,IF(F5&gt;0,"Strong Rising Trend","Strong Falling Trend"),IF(E5&gt;=0.2,IF(F5&gt;0,"Moderate Rising Trend","Moderate Falling Trend"),"Weak / Unreliable Trend"))</f>
        <v/>
      </c>
      <c r="J5" s="14" t="inlineStr">
        <is>
          <t>Statistical trend only, not a meteorological forecast</t>
        </is>
      </c>
    </row>
    <row r="6" ht="15" customHeight="1" s="12">
      <c r="A6" s="14" t="inlineStr">
        <is>
          <t>Badin</t>
        </is>
      </c>
      <c r="B6" s="14" t="inlineStr">
        <is>
          <t>Sindh</t>
        </is>
      </c>
      <c r="C6" s="22" t="n">
        <v>341.25</v>
      </c>
      <c r="D6" s="22" t="n">
        <v>355.15</v>
      </c>
      <c r="E6" s="21" t="n">
        <v>0.1797</v>
      </c>
      <c r="F6" s="22" t="n">
        <v>13.891</v>
      </c>
      <c r="G6" s="22" t="n">
        <v>341.36</v>
      </c>
      <c r="H6" s="22" t="n">
        <v>355.32</v>
      </c>
      <c r="I6" s="14">
        <f>IF(E6&gt;=0.5,IF(F6&gt;0,"Strong Rising Trend","Strong Falling Trend"),IF(E6&gt;=0.2,IF(F6&gt;0,"Moderate Rising Trend","Moderate Falling Trend"),"Weak / Unreliable Trend"))</f>
        <v/>
      </c>
      <c r="J6" s="14" t="inlineStr">
        <is>
          <t>Statistical trend only, not a meteorological forecast</t>
        </is>
      </c>
    </row>
    <row r="7" ht="15" customHeight="1" s="12">
      <c r="A7" s="14" t="inlineStr">
        <is>
          <t>Bagh</t>
        </is>
      </c>
      <c r="B7" s="14" t="inlineStr">
        <is>
          <t>Azad Kashmir</t>
        </is>
      </c>
      <c r="C7" s="22" t="n">
        <v>740.3200000000001</v>
      </c>
      <c r="D7" s="22" t="n">
        <v>754.6900000000001</v>
      </c>
      <c r="E7" s="21" t="n">
        <v>0.2124</v>
      </c>
      <c r="F7" s="22" t="n">
        <v>14.371</v>
      </c>
      <c r="G7" s="22" t="n">
        <v>740.5599999999999</v>
      </c>
      <c r="H7" s="22" t="n">
        <v>755.03</v>
      </c>
      <c r="I7" s="14">
        <f>IF(E7&gt;=0.5,IF(F7&gt;0,"Strong Rising Trend","Strong Falling Trend"),IF(E7&gt;=0.2,IF(F7&gt;0,"Moderate Rising Trend","Moderate Falling Trend"),"Weak / Unreliable Trend"))</f>
        <v/>
      </c>
      <c r="J7" s="14" t="inlineStr">
        <is>
          <t>Statistical trend only, not a meteorological forecast</t>
        </is>
      </c>
    </row>
    <row r="8" ht="15" customHeight="1" s="12">
      <c r="A8" s="14" t="inlineStr">
        <is>
          <t>Bahawalnagar</t>
        </is>
      </c>
      <c r="B8" s="14" t="inlineStr">
        <is>
          <t>Punjab</t>
        </is>
      </c>
      <c r="C8" s="22" t="n">
        <v>290.36</v>
      </c>
      <c r="D8" s="22" t="n">
        <v>302.94</v>
      </c>
      <c r="E8" s="21" t="n">
        <v>0.3786</v>
      </c>
      <c r="F8" s="22" t="n">
        <v>12.579</v>
      </c>
      <c r="G8" s="22" t="n">
        <v>290.61</v>
      </c>
      <c r="H8" s="22" t="n">
        <v>303.28</v>
      </c>
      <c r="I8" s="14">
        <f>IF(E8&gt;=0.5,IF(F8&gt;0,"Strong Rising Trend","Strong Falling Trend"),IF(E8&gt;=0.2,IF(F8&gt;0,"Moderate Rising Trend","Moderate Falling Trend"),"Weak / Unreliable Trend"))</f>
        <v/>
      </c>
      <c r="J8" s="14" t="inlineStr">
        <is>
          <t>Statistical trend only, not a meteorological forecast</t>
        </is>
      </c>
    </row>
    <row r="9" ht="15" customHeight="1" s="12">
      <c r="A9" s="14" t="inlineStr">
        <is>
          <t>Bahawalpur</t>
        </is>
      </c>
      <c r="B9" s="14" t="inlineStr">
        <is>
          <t>Punjab</t>
        </is>
      </c>
      <c r="C9" s="22" t="n">
        <v>277.61</v>
      </c>
      <c r="D9" s="22" t="n">
        <v>287.3</v>
      </c>
      <c r="E9" s="21" t="n">
        <v>0.1646</v>
      </c>
      <c r="F9" s="22" t="n">
        <v>9.692</v>
      </c>
      <c r="G9" s="22" t="n">
        <v>277.78</v>
      </c>
      <c r="H9" s="22" t="n">
        <v>287.54</v>
      </c>
      <c r="I9" s="14">
        <f>IF(E9&gt;=0.5,IF(F9&gt;0,"Strong Rising Trend","Strong Falling Trend"),IF(E9&gt;=0.2,IF(F9&gt;0,"Moderate Rising Trend","Moderate Falling Trend"),"Weak / Unreliable Trend"))</f>
        <v/>
      </c>
      <c r="J9" s="14" t="inlineStr">
        <is>
          <t>Statistical trend only, not a meteorological forecast</t>
        </is>
      </c>
    </row>
    <row r="10" ht="15" customHeight="1" s="12">
      <c r="A10" s="14" t="inlineStr">
        <is>
          <t>Bajaur</t>
        </is>
      </c>
      <c r="B10" s="14" t="inlineStr">
        <is>
          <t>Khyber Pakhtunkhwa</t>
        </is>
      </c>
      <c r="C10" s="22" t="n">
        <v>226.76</v>
      </c>
      <c r="D10" s="22" t="n">
        <v>217.4</v>
      </c>
      <c r="E10" s="21" t="n">
        <v>0.241</v>
      </c>
      <c r="F10" s="22" t="n">
        <v>-9.359999999999999</v>
      </c>
      <c r="G10" s="22" t="n">
        <v>226.66</v>
      </c>
      <c r="H10" s="22" t="n">
        <v>217.24</v>
      </c>
      <c r="I10" s="14">
        <f>IF(E10&gt;=0.5,IF(F10&gt;0,"Strong Rising Trend","Strong Falling Trend"),IF(E10&gt;=0.2,IF(F10&gt;0,"Moderate Rising Trend","Moderate Falling Trend"),"Weak / Unreliable Trend"))</f>
        <v/>
      </c>
      <c r="J10" s="14" t="inlineStr">
        <is>
          <t>Statistical trend only, not a meteorological forecast</t>
        </is>
      </c>
    </row>
    <row r="11" ht="15" customHeight="1" s="12">
      <c r="A11" s="14" t="inlineStr">
        <is>
          <t>Bannu</t>
        </is>
      </c>
      <c r="B11" s="14" t="inlineStr">
        <is>
          <t>Khyber Pakhtunkhwa</t>
        </is>
      </c>
      <c r="C11" s="22" t="n">
        <v>217.38</v>
      </c>
      <c r="D11" s="22" t="n">
        <v>211.91</v>
      </c>
      <c r="E11" s="21" t="n">
        <v>0.1386</v>
      </c>
      <c r="F11" s="22" t="n">
        <v>-5.467</v>
      </c>
      <c r="G11" s="22" t="n">
        <v>217.35</v>
      </c>
      <c r="H11" s="22" t="n">
        <v>211.85</v>
      </c>
      <c r="I11" s="14">
        <f>IF(E11&gt;=0.5,IF(F11&gt;0,"Strong Rising Trend","Strong Falling Trend"),IF(E11&gt;=0.2,IF(F11&gt;0,"Moderate Rising Trend","Moderate Falling Trend"),"Weak / Unreliable Trend"))</f>
        <v/>
      </c>
      <c r="J11" s="14" t="inlineStr">
        <is>
          <t>Statistical trend only, not a meteorological forecast</t>
        </is>
      </c>
    </row>
    <row r="12" ht="15" customHeight="1" s="12">
      <c r="A12" s="14" t="inlineStr">
        <is>
          <t>Barkhan</t>
        </is>
      </c>
      <c r="B12" s="14" t="inlineStr">
        <is>
          <t>Balochistan</t>
        </is>
      </c>
      <c r="C12" s="22" t="n">
        <v>316.03</v>
      </c>
      <c r="D12" s="22" t="n">
        <v>322.44</v>
      </c>
      <c r="E12" s="21" t="n">
        <v>0.0569</v>
      </c>
      <c r="F12" s="22" t="n">
        <v>6.412</v>
      </c>
      <c r="G12" s="22" t="n">
        <v>316.14</v>
      </c>
      <c r="H12" s="22" t="n">
        <v>322.59</v>
      </c>
      <c r="I12" s="14">
        <f>IF(E12&gt;=0.5,IF(F12&gt;0,"Strong Rising Trend","Strong Falling Trend"),IF(E12&gt;=0.2,IF(F12&gt;0,"Moderate Rising Trend","Moderate Falling Trend"),"Weak / Unreliable Trend"))</f>
        <v/>
      </c>
      <c r="J12" s="14" t="inlineStr">
        <is>
          <t>Statistical trend only, not a meteorological forecast</t>
        </is>
      </c>
    </row>
    <row r="13" ht="15" customHeight="1" s="12">
      <c r="A13" s="14" t="inlineStr">
        <is>
          <t>Batagram</t>
        </is>
      </c>
      <c r="B13" s="14" t="inlineStr">
        <is>
          <t>Khyber Pakhtunkhwa</t>
        </is>
      </c>
      <c r="C13" s="22" t="n">
        <v>579.0700000000001</v>
      </c>
      <c r="D13" s="22" t="n">
        <v>578.53</v>
      </c>
      <c r="E13" s="21" t="n">
        <v>0.0014</v>
      </c>
      <c r="F13" s="22" t="n">
        <v>-0.545</v>
      </c>
      <c r="G13" s="22" t="n">
        <v>579.0599999999999</v>
      </c>
      <c r="H13" s="22" t="n">
        <v>578.51</v>
      </c>
      <c r="I13" s="14">
        <f>IF(E13&gt;=0.5,IF(F13&gt;0,"Strong Rising Trend","Strong Falling Trend"),IF(E13&gt;=0.2,IF(F13&gt;0,"Moderate Rising Trend","Moderate Falling Trend"),"Weak / Unreliable Trend"))</f>
        <v/>
      </c>
      <c r="J13" s="14" t="inlineStr">
        <is>
          <t>Statistical trend only, not a meteorological forecast</t>
        </is>
      </c>
    </row>
    <row r="14" ht="15" customHeight="1" s="12">
      <c r="A14" s="14" t="inlineStr">
        <is>
          <t>Bhakkar</t>
        </is>
      </c>
      <c r="B14" s="14" t="inlineStr">
        <is>
          <t>Punjab</t>
        </is>
      </c>
      <c r="C14" s="22" t="n">
        <v>291.9</v>
      </c>
      <c r="D14" s="22" t="n">
        <v>293.81</v>
      </c>
      <c r="E14" s="21" t="n">
        <v>0.0108</v>
      </c>
      <c r="F14" s="22" t="n">
        <v>1.91</v>
      </c>
      <c r="G14" s="22" t="n">
        <v>291.99</v>
      </c>
      <c r="H14" s="22" t="n">
        <v>293.92</v>
      </c>
      <c r="I14" s="14">
        <f>IF(E14&gt;=0.5,IF(F14&gt;0,"Strong Rising Trend","Strong Falling Trend"),IF(E14&gt;=0.2,IF(F14&gt;0,"Moderate Rising Trend","Moderate Falling Trend"),"Weak / Unreliable Trend"))</f>
        <v/>
      </c>
      <c r="J14" s="14" t="inlineStr">
        <is>
          <t>Statistical trend only, not a meteorological forecast</t>
        </is>
      </c>
    </row>
    <row r="15" ht="15" customHeight="1" s="12">
      <c r="A15" s="14" t="inlineStr">
        <is>
          <t>Bhimber</t>
        </is>
      </c>
      <c r="B15" s="14" t="inlineStr">
        <is>
          <t>Azad Kashmir</t>
        </is>
      </c>
      <c r="C15" s="22" t="n">
        <v>1064.62</v>
      </c>
      <c r="D15" s="22" t="n">
        <v>1092.55</v>
      </c>
      <c r="E15" s="21" t="n">
        <v>0.4242</v>
      </c>
      <c r="F15" s="22" t="n">
        <v>27.926</v>
      </c>
      <c r="G15" s="22" t="n">
        <v>1065.05</v>
      </c>
      <c r="H15" s="22" t="n">
        <v>1093.16</v>
      </c>
      <c r="I15" s="14">
        <f>IF(E15&gt;=0.5,IF(F15&gt;0,"Strong Rising Trend","Strong Falling Trend"),IF(E15&gt;=0.2,IF(F15&gt;0,"Moderate Rising Trend","Moderate Falling Trend"),"Weak / Unreliable Trend"))</f>
        <v/>
      </c>
      <c r="J15" s="14" t="inlineStr">
        <is>
          <t>Statistical trend only, not a meteorological forecast</t>
        </is>
      </c>
    </row>
    <row r="16" ht="15" customHeight="1" s="12">
      <c r="A16" s="14" t="inlineStr">
        <is>
          <t>Buner</t>
        </is>
      </c>
      <c r="B16" s="14" t="inlineStr">
        <is>
          <t>Khyber Pakhtunkhwa</t>
        </is>
      </c>
      <c r="C16" s="22" t="n">
        <v>607.4</v>
      </c>
      <c r="D16" s="22" t="n">
        <v>609.1</v>
      </c>
      <c r="E16" s="21" t="n">
        <v>0.0089</v>
      </c>
      <c r="F16" s="22" t="n">
        <v>1.696</v>
      </c>
      <c r="G16" s="22" t="n">
        <v>607.46</v>
      </c>
      <c r="H16" s="22" t="n">
        <v>609.17</v>
      </c>
      <c r="I16" s="14">
        <f>IF(E16&gt;=0.5,IF(F16&gt;0,"Strong Rising Trend","Strong Falling Trend"),IF(E16&gt;=0.2,IF(F16&gt;0,"Moderate Rising Trend","Moderate Falling Trend"),"Weak / Unreliable Trend"))</f>
        <v/>
      </c>
      <c r="J16" s="14" t="inlineStr">
        <is>
          <t>Statistical trend only, not a meteorological forecast</t>
        </is>
      </c>
    </row>
    <row r="17" ht="15" customHeight="1" s="12">
      <c r="A17" s="14" t="inlineStr">
        <is>
          <t>Central Karachi</t>
        </is>
      </c>
      <c r="B17" s="14" t="inlineStr">
        <is>
          <t>Sindh</t>
        </is>
      </c>
      <c r="C17" s="22" t="n">
        <v>307.6</v>
      </c>
      <c r="D17" s="22" t="n">
        <v>318.79</v>
      </c>
      <c r="E17" s="21" t="n">
        <v>0.0639</v>
      </c>
      <c r="F17" s="22" t="n">
        <v>11.19</v>
      </c>
      <c r="G17" s="22" t="n">
        <v>307.6</v>
      </c>
      <c r="H17" s="22" t="n">
        <v>318.84</v>
      </c>
      <c r="I17" s="14">
        <f>IF(E17&gt;=0.5,IF(F17&gt;0,"Strong Rising Trend","Strong Falling Trend"),IF(E17&gt;=0.2,IF(F17&gt;0,"Moderate Rising Trend","Moderate Falling Trend"),"Weak / Unreliable Trend"))</f>
        <v/>
      </c>
      <c r="J17" s="14" t="inlineStr">
        <is>
          <t>Statistical trend only, not a meteorological forecast</t>
        </is>
      </c>
    </row>
    <row r="18" ht="15" customHeight="1" s="12">
      <c r="A18" s="14" t="inlineStr">
        <is>
          <t>Chagai</t>
        </is>
      </c>
      <c r="B18" s="14" t="inlineStr">
        <is>
          <t>Balochistan</t>
        </is>
      </c>
      <c r="C18" s="22" t="n">
        <v>6.61</v>
      </c>
      <c r="D18" s="22" t="n">
        <v>7.12</v>
      </c>
      <c r="E18" s="21" t="n">
        <v>0.1788</v>
      </c>
      <c r="F18" s="22" t="n">
        <v>0.509</v>
      </c>
      <c r="G18" s="22" t="n">
        <v>6.61</v>
      </c>
      <c r="H18" s="22" t="n">
        <v>7.12</v>
      </c>
      <c r="I18" s="14">
        <f>IF(E18&gt;=0.5,IF(F18&gt;0,"Strong Rising Trend","Strong Falling Trend"),IF(E18&gt;=0.2,IF(F18&gt;0,"Moderate Rising Trend","Moderate Falling Trend"),"Weak / Unreliable Trend"))</f>
        <v/>
      </c>
      <c r="J18" s="14" t="inlineStr">
        <is>
          <t>Statistical trend only, not a meteorological forecast</t>
        </is>
      </c>
    </row>
    <row r="19" ht="15" customHeight="1" s="12">
      <c r="A19" s="14" t="inlineStr">
        <is>
          <t>Chakwal</t>
        </is>
      </c>
      <c r="B19" s="14" t="inlineStr">
        <is>
          <t>Punjab</t>
        </is>
      </c>
      <c r="C19" s="22" t="n">
        <v>512.36</v>
      </c>
      <c r="D19" s="22" t="n">
        <v>516.79</v>
      </c>
      <c r="E19" s="21" t="n">
        <v>0.08649999999999999</v>
      </c>
      <c r="F19" s="22" t="n">
        <v>4.432</v>
      </c>
      <c r="G19" s="22" t="n">
        <v>512.45</v>
      </c>
      <c r="H19" s="22" t="n">
        <v>516.92</v>
      </c>
      <c r="I19" s="14">
        <f>IF(E19&gt;=0.5,IF(F19&gt;0,"Strong Rising Trend","Strong Falling Trend"),IF(E19&gt;=0.2,IF(F19&gt;0,"Moderate Rising Trend","Moderate Falling Trend"),"Weak / Unreliable Trend"))</f>
        <v/>
      </c>
      <c r="J19" s="14" t="inlineStr">
        <is>
          <t>Statistical trend only, not a meteorological forecast</t>
        </is>
      </c>
    </row>
    <row r="20" ht="15" customHeight="1" s="12">
      <c r="A20" s="14" t="inlineStr">
        <is>
          <t>Chaman</t>
        </is>
      </c>
      <c r="B20" s="14" t="inlineStr">
        <is>
          <t>Balochistan</t>
        </is>
      </c>
      <c r="C20" s="22" t="n">
        <v>11.36</v>
      </c>
      <c r="D20" s="22" t="n">
        <v>12.37</v>
      </c>
      <c r="E20" s="21" t="n">
        <v>0.2766</v>
      </c>
      <c r="F20" s="22" t="n">
        <v>1.016</v>
      </c>
      <c r="G20" s="22" t="n">
        <v>11.37</v>
      </c>
      <c r="H20" s="22" t="n">
        <v>12.39</v>
      </c>
      <c r="I20" s="14">
        <f>IF(E20&gt;=0.5,IF(F20&gt;0,"Strong Rising Trend","Strong Falling Trend"),IF(E20&gt;=0.2,IF(F20&gt;0,"Moderate Rising Trend","Moderate Falling Trend"),"Weak / Unreliable Trend"))</f>
        <v/>
      </c>
      <c r="J20" s="14" t="inlineStr">
        <is>
          <t>Statistical trend only, not a meteorological forecast</t>
        </is>
      </c>
    </row>
    <row r="21" ht="15" customHeight="1" s="12">
      <c r="A21" s="14" t="inlineStr">
        <is>
          <t>Charsadda</t>
        </is>
      </c>
      <c r="B21" s="14" t="inlineStr">
        <is>
          <t>Khyber Pakhtunkhwa</t>
        </is>
      </c>
      <c r="C21" s="22" t="n">
        <v>150</v>
      </c>
      <c r="D21" s="22" t="n">
        <v>139.73</v>
      </c>
      <c r="E21" s="21" t="n">
        <v>0.3953</v>
      </c>
      <c r="F21" s="22" t="n">
        <v>-10.268</v>
      </c>
      <c r="G21" s="22" t="n">
        <v>149.91</v>
      </c>
      <c r="H21" s="22" t="n">
        <v>139.59</v>
      </c>
      <c r="I21" s="14">
        <f>IF(E21&gt;=0.5,IF(F21&gt;0,"Strong Rising Trend","Strong Falling Trend"),IF(E21&gt;=0.2,IF(F21&gt;0,"Moderate Rising Trend","Moderate Falling Trend"),"Weak / Unreliable Trend"))</f>
        <v/>
      </c>
      <c r="J21" s="14" t="inlineStr">
        <is>
          <t>Statistical trend only, not a meteorological forecast</t>
        </is>
      </c>
    </row>
    <row r="22" ht="15" customHeight="1" s="12">
      <c r="A22" s="14" t="inlineStr">
        <is>
          <t>Chiniot</t>
        </is>
      </c>
      <c r="B22" s="14" t="inlineStr">
        <is>
          <t>Punjab</t>
        </is>
      </c>
      <c r="C22" s="22" t="n">
        <v>363.92</v>
      </c>
      <c r="D22" s="22" t="n">
        <v>375.29</v>
      </c>
      <c r="E22" s="21" t="n">
        <v>0.4488</v>
      </c>
      <c r="F22" s="22" t="n">
        <v>11.367</v>
      </c>
      <c r="G22" s="22" t="n">
        <v>364.1</v>
      </c>
      <c r="H22" s="22" t="n">
        <v>375.54</v>
      </c>
      <c r="I22" s="14">
        <f>IF(E22&gt;=0.5,IF(F22&gt;0,"Strong Rising Trend","Strong Falling Trend"),IF(E22&gt;=0.2,IF(F22&gt;0,"Moderate Rising Trend","Moderate Falling Trend"),"Weak / Unreliable Trend"))</f>
        <v/>
      </c>
      <c r="J22" s="14" t="inlineStr">
        <is>
          <t>Statistical trend only, not a meteorological forecast</t>
        </is>
      </c>
    </row>
    <row r="23" ht="15" customHeight="1" s="12">
      <c r="A23" s="14" t="inlineStr">
        <is>
          <t>Chitral Lower</t>
        </is>
      </c>
      <c r="B23" s="14" t="inlineStr">
        <is>
          <t>Khyber Pakhtunkhwa</t>
        </is>
      </c>
      <c r="C23" s="22" t="n">
        <v>93.95999999999999</v>
      </c>
      <c r="D23" s="22" t="n">
        <v>91.45999999999999</v>
      </c>
      <c r="E23" s="21" t="n">
        <v>0.1199</v>
      </c>
      <c r="F23" s="22" t="n">
        <v>-2.498</v>
      </c>
      <c r="G23" s="22" t="n">
        <v>93.92</v>
      </c>
      <c r="H23" s="22" t="n">
        <v>91.40000000000001</v>
      </c>
      <c r="I23" s="14">
        <f>IF(E23&gt;=0.5,IF(F23&gt;0,"Strong Rising Trend","Strong Falling Trend"),IF(E23&gt;=0.2,IF(F23&gt;0,"Moderate Rising Trend","Moderate Falling Trend"),"Weak / Unreliable Trend"))</f>
        <v/>
      </c>
      <c r="J23" s="14" t="inlineStr">
        <is>
          <t>Statistical trend only, not a meteorological forecast</t>
        </is>
      </c>
    </row>
    <row r="24" ht="15" customHeight="1" s="12">
      <c r="A24" s="14" t="inlineStr">
        <is>
          <t>Chitral Upper</t>
        </is>
      </c>
      <c r="B24" s="14" t="inlineStr">
        <is>
          <t>Khyber Pakhtunkhwa</t>
        </is>
      </c>
      <c r="C24" s="22" t="n">
        <v>134.18</v>
      </c>
      <c r="D24" s="22" t="n">
        <v>132.2</v>
      </c>
      <c r="E24" s="21" t="n">
        <v>0.0634</v>
      </c>
      <c r="F24" s="22" t="n">
        <v>-1.977</v>
      </c>
      <c r="G24" s="22" t="n">
        <v>134.14</v>
      </c>
      <c r="H24" s="22" t="n">
        <v>132.15</v>
      </c>
      <c r="I24" s="14">
        <f>IF(E24&gt;=0.5,IF(F24&gt;0,"Strong Rising Trend","Strong Falling Trend"),IF(E24&gt;=0.2,IF(F24&gt;0,"Moderate Rising Trend","Moderate Falling Trend"),"Weak / Unreliable Trend"))</f>
        <v/>
      </c>
      <c r="J24" s="14" t="inlineStr">
        <is>
          <t>Statistical trend only, not a meteorological forecast</t>
        </is>
      </c>
    </row>
    <row r="25" ht="15" customHeight="1" s="12">
      <c r="A25" s="14" t="inlineStr">
        <is>
          <t>D. I. Khan</t>
        </is>
      </c>
      <c r="B25" s="14" t="inlineStr">
        <is>
          <t>Khyber Pakhtunkhwa</t>
        </is>
      </c>
      <c r="C25" s="22" t="n">
        <v>245.73</v>
      </c>
      <c r="D25" s="22" t="n">
        <v>249.43</v>
      </c>
      <c r="E25" s="21" t="n">
        <v>0.0383</v>
      </c>
      <c r="F25" s="22" t="n">
        <v>3.703</v>
      </c>
      <c r="G25" s="22" t="n">
        <v>245.81</v>
      </c>
      <c r="H25" s="22" t="n">
        <v>249.54</v>
      </c>
      <c r="I25" s="14">
        <f>IF(E25&gt;=0.5,IF(F25&gt;0,"Strong Rising Trend","Strong Falling Trend"),IF(E25&gt;=0.2,IF(F25&gt;0,"Moderate Rising Trend","Moderate Falling Trend"),"Weak / Unreliable Trend"))</f>
        <v/>
      </c>
      <c r="J25" s="14" t="inlineStr">
        <is>
          <t>Statistical trend only, not a meteorological forecast</t>
        </is>
      </c>
    </row>
    <row r="26" ht="15" customHeight="1" s="12">
      <c r="A26" s="14" t="inlineStr">
        <is>
          <t>Dadu</t>
        </is>
      </c>
      <c r="B26" s="14" t="inlineStr">
        <is>
          <t>Sindh</t>
        </is>
      </c>
      <c r="C26" s="22" t="n">
        <v>186.93</v>
      </c>
      <c r="D26" s="22" t="n">
        <v>195.09</v>
      </c>
      <c r="E26" s="21" t="n">
        <v>0.0984</v>
      </c>
      <c r="F26" s="22" t="n">
        <v>8.163</v>
      </c>
      <c r="G26" s="22" t="n">
        <v>186.99</v>
      </c>
      <c r="H26" s="22" t="n">
        <v>195.2</v>
      </c>
      <c r="I26" s="14">
        <f>IF(E26&gt;=0.5,IF(F26&gt;0,"Strong Rising Trend","Strong Falling Trend"),IF(E26&gt;=0.2,IF(F26&gt;0,"Moderate Rising Trend","Moderate Falling Trend"),"Weak / Unreliable Trend"))</f>
        <v/>
      </c>
      <c r="J26" s="14" t="inlineStr">
        <is>
          <t>Statistical trend only, not a meteorological forecast</t>
        </is>
      </c>
    </row>
    <row r="27" ht="15" customHeight="1" s="12">
      <c r="A27" s="14" t="inlineStr">
        <is>
          <t>Darel</t>
        </is>
      </c>
      <c r="B27" s="14" t="inlineStr">
        <is>
          <t>Gilgit Baltistan</t>
        </is>
      </c>
      <c r="C27" s="22" t="n">
        <v>199.6</v>
      </c>
      <c r="D27" s="22" t="n">
        <v>198.05</v>
      </c>
      <c r="E27" s="21" t="n">
        <v>0.0174</v>
      </c>
      <c r="F27" s="22" t="n">
        <v>-1.553</v>
      </c>
      <c r="G27" s="22" t="n">
        <v>199.54</v>
      </c>
      <c r="H27" s="22" t="n">
        <v>197.97</v>
      </c>
      <c r="I27" s="14">
        <f>IF(E27&gt;=0.5,IF(F27&gt;0,"Strong Rising Trend","Strong Falling Trend"),IF(E27&gt;=0.2,IF(F27&gt;0,"Moderate Rising Trend","Moderate Falling Trend"),"Weak / Unreliable Trend"))</f>
        <v/>
      </c>
      <c r="J27" s="14" t="inlineStr">
        <is>
          <t>Statistical trend only, not a meteorological forecast</t>
        </is>
      </c>
    </row>
    <row r="28" ht="15" customHeight="1" s="12">
      <c r="A28" s="14" t="inlineStr">
        <is>
          <t>Dera Bugti</t>
        </is>
      </c>
      <c r="B28" s="14" t="inlineStr">
        <is>
          <t>Balochistan</t>
        </is>
      </c>
      <c r="C28" s="22" t="n">
        <v>205.99</v>
      </c>
      <c r="D28" s="22" t="n">
        <v>213.45</v>
      </c>
      <c r="E28" s="21" t="n">
        <v>0.0999</v>
      </c>
      <c r="F28" s="22" t="n">
        <v>7.451</v>
      </c>
      <c r="G28" s="22" t="n">
        <v>206.09</v>
      </c>
      <c r="H28" s="22" t="n">
        <v>213.59</v>
      </c>
      <c r="I28" s="14">
        <f>IF(E28&gt;=0.5,IF(F28&gt;0,"Strong Rising Trend","Strong Falling Trend"),IF(E28&gt;=0.2,IF(F28&gt;0,"Moderate Rising Trend","Moderate Falling Trend"),"Weak / Unreliable Trend"))</f>
        <v/>
      </c>
      <c r="J28" s="14" t="inlineStr">
        <is>
          <t>Statistical trend only, not a meteorological forecast</t>
        </is>
      </c>
    </row>
    <row r="29" ht="15" customHeight="1" s="12">
      <c r="A29" s="14" t="inlineStr">
        <is>
          <t>Dera Ghazi Khan</t>
        </is>
      </c>
      <c r="B29" s="14" t="inlineStr">
        <is>
          <t>Punjab</t>
        </is>
      </c>
      <c r="C29" s="22" t="n">
        <v>221.88</v>
      </c>
      <c r="D29" s="22" t="n">
        <v>225.25</v>
      </c>
      <c r="E29" s="21" t="n">
        <v>0.0362</v>
      </c>
      <c r="F29" s="22" t="n">
        <v>3.365</v>
      </c>
      <c r="G29" s="22" t="n">
        <v>221.95</v>
      </c>
      <c r="H29" s="22" t="n">
        <v>225.34</v>
      </c>
      <c r="I29" s="14">
        <f>IF(E29&gt;=0.5,IF(F29&gt;0,"Strong Rising Trend","Strong Falling Trend"),IF(E29&gt;=0.2,IF(F29&gt;0,"Moderate Rising Trend","Moderate Falling Trend"),"Weak / Unreliable Trend"))</f>
        <v/>
      </c>
      <c r="J29" s="14" t="inlineStr">
        <is>
          <t>Statistical trend only, not a meteorological forecast</t>
        </is>
      </c>
    </row>
    <row r="30" ht="15" customHeight="1" s="12">
      <c r="A30" s="14" t="inlineStr">
        <is>
          <t>Diamir</t>
        </is>
      </c>
      <c r="B30" s="14" t="inlineStr">
        <is>
          <t>Gilgit Baltistan</t>
        </is>
      </c>
      <c r="C30" s="22" t="n">
        <v>241.95</v>
      </c>
      <c r="D30" s="22" t="n">
        <v>243.76</v>
      </c>
      <c r="E30" s="21" t="n">
        <v>0.0583</v>
      </c>
      <c r="F30" s="22" t="n">
        <v>1.816</v>
      </c>
      <c r="G30" s="22" t="n">
        <v>241.96</v>
      </c>
      <c r="H30" s="22" t="n">
        <v>243.79</v>
      </c>
      <c r="I30" s="14">
        <f>IF(E30&gt;=0.5,IF(F30&gt;0,"Strong Rising Trend","Strong Falling Trend"),IF(E30&gt;=0.2,IF(F30&gt;0,"Moderate Rising Trend","Moderate Falling Trend"),"Weak / Unreliable Trend"))</f>
        <v/>
      </c>
      <c r="J30" s="14" t="inlineStr">
        <is>
          <t>Statistical trend only, not a meteorological forecast</t>
        </is>
      </c>
    </row>
    <row r="31" ht="15" customHeight="1" s="12">
      <c r="A31" s="14" t="inlineStr">
        <is>
          <t>Duki</t>
        </is>
      </c>
      <c r="B31" s="14" t="inlineStr">
        <is>
          <t>Balochistan</t>
        </is>
      </c>
      <c r="C31" s="22" t="n">
        <v>235.95</v>
      </c>
      <c r="D31" s="22" t="n">
        <v>244.75</v>
      </c>
      <c r="E31" s="21" t="n">
        <v>0.1705</v>
      </c>
      <c r="F31" s="22" t="n">
        <v>8.795999999999999</v>
      </c>
      <c r="G31" s="22" t="n">
        <v>236.09</v>
      </c>
      <c r="H31" s="22" t="n">
        <v>244.95</v>
      </c>
      <c r="I31" s="14">
        <f>IF(E31&gt;=0.5,IF(F31&gt;0,"Strong Rising Trend","Strong Falling Trend"),IF(E31&gt;=0.2,IF(F31&gt;0,"Moderate Rising Trend","Moderate Falling Trend"),"Weak / Unreliable Trend"))</f>
        <v/>
      </c>
      <c r="J31" s="14" t="inlineStr">
        <is>
          <t>Statistical trend only, not a meteorological forecast</t>
        </is>
      </c>
    </row>
    <row r="32" ht="15" customHeight="1" s="12">
      <c r="A32" s="14" t="inlineStr">
        <is>
          <t>East Karachi</t>
        </is>
      </c>
      <c r="B32" s="14" t="inlineStr">
        <is>
          <t>Sindh</t>
        </is>
      </c>
      <c r="C32" s="22" t="n">
        <v>314.24</v>
      </c>
      <c r="D32" s="22" t="n">
        <v>325.78</v>
      </c>
      <c r="E32" s="21" t="n">
        <v>0.0665</v>
      </c>
      <c r="F32" s="22" t="n">
        <v>11.541</v>
      </c>
      <c r="G32" s="22" t="n">
        <v>314.25</v>
      </c>
      <c r="H32" s="22" t="n">
        <v>325.84</v>
      </c>
      <c r="I32" s="14">
        <f>IF(E32&gt;=0.5,IF(F32&gt;0,"Strong Rising Trend","Strong Falling Trend"),IF(E32&gt;=0.2,IF(F32&gt;0,"Moderate Rising Trend","Moderate Falling Trend"),"Weak / Unreliable Trend"))</f>
        <v/>
      </c>
      <c r="J32" s="14" t="inlineStr">
        <is>
          <t>Statistical trend only, not a meteorological forecast</t>
        </is>
      </c>
    </row>
    <row r="33" ht="15" customHeight="1" s="12">
      <c r="A33" s="14" t="inlineStr">
        <is>
          <t>Faisalabad</t>
        </is>
      </c>
      <c r="B33" s="14" t="inlineStr">
        <is>
          <t>Punjab</t>
        </is>
      </c>
      <c r="C33" s="22" t="n">
        <v>425.36</v>
      </c>
      <c r="D33" s="22" t="n">
        <v>443.14</v>
      </c>
      <c r="E33" s="21" t="n">
        <v>0.5953000000000001</v>
      </c>
      <c r="F33" s="22" t="n">
        <v>17.78</v>
      </c>
      <c r="G33" s="22" t="n">
        <v>425.64</v>
      </c>
      <c r="H33" s="22" t="n">
        <v>443.54</v>
      </c>
      <c r="I33" s="14">
        <f>IF(E33&gt;=0.5,IF(F33&gt;0,"Strong Rising Trend","Strong Falling Trend"),IF(E33&gt;=0.2,IF(F33&gt;0,"Moderate Rising Trend","Moderate Falling Trend"),"Weak / Unreliable Trend"))</f>
        <v/>
      </c>
      <c r="J33" s="14" t="inlineStr">
        <is>
          <t>Statistical trend only, not a meteorological forecast</t>
        </is>
      </c>
    </row>
    <row r="34" ht="15" customHeight="1" s="12">
      <c r="A34" s="14" t="inlineStr">
        <is>
          <t>Ghanche</t>
        </is>
      </c>
      <c r="B34" s="14" t="inlineStr">
        <is>
          <t>Gilgit Baltistan</t>
        </is>
      </c>
      <c r="C34" s="22" t="n">
        <v>63.09</v>
      </c>
      <c r="D34" s="22" t="n">
        <v>63.61</v>
      </c>
      <c r="E34" s="21" t="n">
        <v>0.0241</v>
      </c>
      <c r="F34" s="22" t="n">
        <v>0.527</v>
      </c>
      <c r="G34" s="22" t="n">
        <v>63.11</v>
      </c>
      <c r="H34" s="22" t="n">
        <v>63.64</v>
      </c>
      <c r="I34" s="14">
        <f>IF(E34&gt;=0.5,IF(F34&gt;0,"Strong Rising Trend","Strong Falling Trend"),IF(E34&gt;=0.2,IF(F34&gt;0,"Moderate Rising Trend","Moderate Falling Trend"),"Weak / Unreliable Trend"))</f>
        <v/>
      </c>
      <c r="J34" s="14" t="inlineStr">
        <is>
          <t>Statistical trend only, not a meteorological forecast</t>
        </is>
      </c>
    </row>
    <row r="35" ht="15" customHeight="1" s="12">
      <c r="A35" s="14" t="inlineStr">
        <is>
          <t>Ghizer</t>
        </is>
      </c>
      <c r="B35" s="14" t="inlineStr">
        <is>
          <t>Gilgit Baltistan</t>
        </is>
      </c>
      <c r="C35" s="22" t="n">
        <v>110.66</v>
      </c>
      <c r="D35" s="22" t="n">
        <v>109.04</v>
      </c>
      <c r="E35" s="21" t="n">
        <v>0.2048</v>
      </c>
      <c r="F35" s="22" t="n">
        <v>-1.618</v>
      </c>
      <c r="G35" s="22" t="n">
        <v>110.62</v>
      </c>
      <c r="H35" s="22" t="n">
        <v>108.99</v>
      </c>
      <c r="I35" s="14">
        <f>IF(E35&gt;=0.5,IF(F35&gt;0,"Strong Rising Trend","Strong Falling Trend"),IF(E35&gt;=0.2,IF(F35&gt;0,"Moderate Rising Trend","Moderate Falling Trend"),"Weak / Unreliable Trend"))</f>
        <v/>
      </c>
      <c r="J35" s="14" t="inlineStr">
        <is>
          <t>Statistical trend only, not a meteorological forecast</t>
        </is>
      </c>
    </row>
    <row r="36" ht="15" customHeight="1" s="12">
      <c r="A36" s="14" t="inlineStr">
        <is>
          <t>Ghotki</t>
        </is>
      </c>
      <c r="B36" s="14" t="inlineStr">
        <is>
          <t>Sindh</t>
        </is>
      </c>
      <c r="C36" s="22" t="n">
        <v>170.02</v>
      </c>
      <c r="D36" s="22" t="n">
        <v>176.12</v>
      </c>
      <c r="E36" s="21" t="n">
        <v>0.082</v>
      </c>
      <c r="F36" s="22" t="n">
        <v>6.101</v>
      </c>
      <c r="G36" s="22" t="n">
        <v>170.09</v>
      </c>
      <c r="H36" s="22" t="n">
        <v>176.22</v>
      </c>
      <c r="I36" s="14">
        <f>IF(E36&gt;=0.5,IF(F36&gt;0,"Strong Rising Trend","Strong Falling Trend"),IF(E36&gt;=0.2,IF(F36&gt;0,"Moderate Rising Trend","Moderate Falling Trend"),"Weak / Unreliable Trend"))</f>
        <v/>
      </c>
      <c r="J36" s="14" t="inlineStr">
        <is>
          <t>Statistical trend only, not a meteorological forecast</t>
        </is>
      </c>
    </row>
    <row r="37" ht="15" customHeight="1" s="12">
      <c r="A37" s="14" t="inlineStr">
        <is>
          <t>Gilgit</t>
        </is>
      </c>
      <c r="B37" s="14" t="inlineStr">
        <is>
          <t>Gilgit Baltistan</t>
        </is>
      </c>
      <c r="C37" s="22" t="n">
        <v>156.84</v>
      </c>
      <c r="D37" s="22" t="n">
        <v>156.84</v>
      </c>
      <c r="E37" s="21" t="n">
        <v>0</v>
      </c>
      <c r="F37" s="22" t="n">
        <v>0.002</v>
      </c>
      <c r="G37" s="22" t="n">
        <v>156.84</v>
      </c>
      <c r="H37" s="22" t="n">
        <v>156.84</v>
      </c>
      <c r="I37" s="14">
        <f>IF(E37&gt;=0.5,IF(F37&gt;0,"Strong Rising Trend","Strong Falling Trend"),IF(E37&gt;=0.2,IF(F37&gt;0,"Moderate Rising Trend","Moderate Falling Trend"),"Weak / Unreliable Trend"))</f>
        <v/>
      </c>
      <c r="J37" s="14" t="inlineStr">
        <is>
          <t>Statistical trend only, not a meteorological forecast</t>
        </is>
      </c>
    </row>
    <row r="38" ht="15" customHeight="1" s="12">
      <c r="A38" s="14" t="inlineStr">
        <is>
          <t>Gujranwala</t>
        </is>
      </c>
      <c r="B38" s="14" t="inlineStr">
        <is>
          <t>Punjab</t>
        </is>
      </c>
      <c r="C38" s="22" t="n">
        <v>673.41</v>
      </c>
      <c r="D38" s="22" t="n">
        <v>695.6</v>
      </c>
      <c r="E38" s="21" t="n">
        <v>0.4756</v>
      </c>
      <c r="F38" s="22" t="n">
        <v>22.192</v>
      </c>
      <c r="G38" s="22" t="n">
        <v>673.75</v>
      </c>
      <c r="H38" s="22" t="n">
        <v>696.09</v>
      </c>
      <c r="I38" s="14">
        <f>IF(E38&gt;=0.5,IF(F38&gt;0,"Strong Rising Trend","Strong Falling Trend"),IF(E38&gt;=0.2,IF(F38&gt;0,"Moderate Rising Trend","Moderate Falling Trend"),"Weak / Unreliable Trend"))</f>
        <v/>
      </c>
      <c r="J38" s="14" t="inlineStr">
        <is>
          <t>Statistical trend only, not a meteorological forecast</t>
        </is>
      </c>
    </row>
    <row r="39" ht="15" customHeight="1" s="12">
      <c r="A39" s="14" t="inlineStr">
        <is>
          <t>Gujrat</t>
        </is>
      </c>
      <c r="B39" s="14" t="inlineStr">
        <is>
          <t>Punjab</t>
        </is>
      </c>
      <c r="C39" s="22" t="n">
        <v>891.95</v>
      </c>
      <c r="D39" s="22" t="n">
        <v>916.87</v>
      </c>
      <c r="E39" s="21" t="n">
        <v>0.42</v>
      </c>
      <c r="F39" s="22" t="n">
        <v>24.92</v>
      </c>
      <c r="G39" s="22" t="n">
        <v>892.35</v>
      </c>
      <c r="H39" s="22" t="n">
        <v>917.4400000000001</v>
      </c>
      <c r="I39" s="14">
        <f>IF(E39&gt;=0.5,IF(F39&gt;0,"Strong Rising Trend","Strong Falling Trend"),IF(E39&gt;=0.2,IF(F39&gt;0,"Moderate Rising Trend","Moderate Falling Trend"),"Weak / Unreliable Trend"))</f>
        <v/>
      </c>
      <c r="J39" s="14" t="inlineStr">
        <is>
          <t>Statistical trend only, not a meteorological forecast</t>
        </is>
      </c>
    </row>
    <row r="40" ht="15" customHeight="1" s="12">
      <c r="A40" s="14" t="inlineStr">
        <is>
          <t>Gupis-Yasin</t>
        </is>
      </c>
      <c r="B40" s="14" t="inlineStr">
        <is>
          <t>Gilgit Baltistan</t>
        </is>
      </c>
      <c r="C40" s="22" t="n">
        <v>102.1</v>
      </c>
      <c r="D40" s="22" t="n">
        <v>100.94</v>
      </c>
      <c r="E40" s="21" t="n">
        <v>0.0699</v>
      </c>
      <c r="F40" s="22" t="n">
        <v>-1.162</v>
      </c>
      <c r="G40" s="22" t="n">
        <v>102.07</v>
      </c>
      <c r="H40" s="22" t="n">
        <v>100.9</v>
      </c>
      <c r="I40" s="14">
        <f>IF(E40&gt;=0.5,IF(F40&gt;0,"Strong Rising Trend","Strong Falling Trend"),IF(E40&gt;=0.2,IF(F40&gt;0,"Moderate Rising Trend","Moderate Falling Trend"),"Weak / Unreliable Trend"))</f>
        <v/>
      </c>
      <c r="J40" s="14" t="inlineStr">
        <is>
          <t>Statistical trend only, not a meteorological forecast</t>
        </is>
      </c>
    </row>
    <row r="41" ht="15" customHeight="1" s="12">
      <c r="A41" s="14" t="inlineStr">
        <is>
          <t>Gwadar</t>
        </is>
      </c>
      <c r="B41" s="14" t="inlineStr">
        <is>
          <t>Balochistan</t>
        </is>
      </c>
      <c r="C41" s="22" t="n">
        <v>37.01</v>
      </c>
      <c r="D41" s="22" t="n">
        <v>39.7</v>
      </c>
      <c r="E41" s="21" t="n">
        <v>0.1346</v>
      </c>
      <c r="F41" s="22" t="n">
        <v>2.69</v>
      </c>
      <c r="G41" s="22" t="n">
        <v>37.02</v>
      </c>
      <c r="H41" s="22" t="n">
        <v>39.73</v>
      </c>
      <c r="I41" s="14">
        <f>IF(E41&gt;=0.5,IF(F41&gt;0,"Strong Rising Trend","Strong Falling Trend"),IF(E41&gt;=0.2,IF(F41&gt;0,"Moderate Rising Trend","Moderate Falling Trend"),"Weak / Unreliable Trend"))</f>
        <v/>
      </c>
      <c r="J41" s="14" t="inlineStr">
        <is>
          <t>Statistical trend only, not a meteorological forecast</t>
        </is>
      </c>
    </row>
    <row r="42" ht="15" customHeight="1" s="12">
      <c r="A42" s="14" t="inlineStr">
        <is>
          <t>Hafizabad</t>
        </is>
      </c>
      <c r="B42" s="14" t="inlineStr">
        <is>
          <t>Punjab</t>
        </is>
      </c>
      <c r="C42" s="22" t="n">
        <v>489.72</v>
      </c>
      <c r="D42" s="22" t="n">
        <v>506.62</v>
      </c>
      <c r="E42" s="21" t="n">
        <v>0.5124</v>
      </c>
      <c r="F42" s="22" t="n">
        <v>16.9</v>
      </c>
      <c r="G42" s="22" t="n">
        <v>489.98</v>
      </c>
      <c r="H42" s="22" t="n">
        <v>507</v>
      </c>
      <c r="I42" s="14">
        <f>IF(E42&gt;=0.5,IF(F42&gt;0,"Strong Rising Trend","Strong Falling Trend"),IF(E42&gt;=0.2,IF(F42&gt;0,"Moderate Rising Trend","Moderate Falling Trend"),"Weak / Unreliable Trend"))</f>
        <v/>
      </c>
      <c r="J42" s="14" t="inlineStr">
        <is>
          <t>Statistical trend only, not a meteorological forecast</t>
        </is>
      </c>
    </row>
    <row r="43" ht="15" customHeight="1" s="12">
      <c r="A43" s="14" t="inlineStr">
        <is>
          <t>Hangu</t>
        </is>
      </c>
      <c r="B43" s="14" t="inlineStr">
        <is>
          <t>Khyber Pakhtunkhwa</t>
        </is>
      </c>
      <c r="C43" s="22" t="n">
        <v>298.92</v>
      </c>
      <c r="D43" s="22" t="n">
        <v>290.06</v>
      </c>
      <c r="E43" s="21" t="n">
        <v>0.2233</v>
      </c>
      <c r="F43" s="22" t="n">
        <v>-8.859</v>
      </c>
      <c r="G43" s="22" t="n">
        <v>298.85</v>
      </c>
      <c r="H43" s="22" t="n">
        <v>289.94</v>
      </c>
      <c r="I43" s="14">
        <f>IF(E43&gt;=0.5,IF(F43&gt;0,"Strong Rising Trend","Strong Falling Trend"),IF(E43&gt;=0.2,IF(F43&gt;0,"Moderate Rising Trend","Moderate Falling Trend"),"Weak / Unreliable Trend"))</f>
        <v/>
      </c>
      <c r="J43" s="14" t="inlineStr">
        <is>
          <t>Statistical trend only, not a meteorological forecast</t>
        </is>
      </c>
    </row>
    <row r="44" ht="15" customHeight="1" s="12">
      <c r="A44" s="14" t="inlineStr">
        <is>
          <t>Haripur</t>
        </is>
      </c>
      <c r="B44" s="14" t="inlineStr">
        <is>
          <t>Khyber Pakhtunkhwa</t>
        </is>
      </c>
      <c r="C44" s="22" t="n">
        <v>739.55</v>
      </c>
      <c r="D44" s="22" t="n">
        <v>754.62</v>
      </c>
      <c r="E44" s="21" t="n">
        <v>0.4206</v>
      </c>
      <c r="F44" s="22" t="n">
        <v>15.071</v>
      </c>
      <c r="G44" s="22" t="n">
        <v>739.8</v>
      </c>
      <c r="H44" s="22" t="n">
        <v>754.97</v>
      </c>
      <c r="I44" s="14">
        <f>IF(E44&gt;=0.5,IF(F44&gt;0,"Strong Rising Trend","Strong Falling Trend"),IF(E44&gt;=0.2,IF(F44&gt;0,"Moderate Rising Trend","Moderate Falling Trend"),"Weak / Unreliable Trend"))</f>
        <v/>
      </c>
      <c r="J44" s="14" t="inlineStr">
        <is>
          <t>Statistical trend only, not a meteorological forecast</t>
        </is>
      </c>
    </row>
    <row r="45" ht="15" customHeight="1" s="12">
      <c r="A45" s="14" t="inlineStr">
        <is>
          <t>Harnai</t>
        </is>
      </c>
      <c r="B45" s="14" t="inlineStr">
        <is>
          <t>Balochistan</t>
        </is>
      </c>
      <c r="C45" s="22" t="n">
        <v>242.77</v>
      </c>
      <c r="D45" s="22" t="n">
        <v>257.08</v>
      </c>
      <c r="E45" s="21" t="n">
        <v>0.2817</v>
      </c>
      <c r="F45" s="22" t="n">
        <v>14.305</v>
      </c>
      <c r="G45" s="22" t="n">
        <v>242.97</v>
      </c>
      <c r="H45" s="22" t="n">
        <v>257.37</v>
      </c>
      <c r="I45" s="14">
        <f>IF(E45&gt;=0.5,IF(F45&gt;0,"Strong Rising Trend","Strong Falling Trend"),IF(E45&gt;=0.2,IF(F45&gt;0,"Moderate Rising Trend","Moderate Falling Trend"),"Weak / Unreliable Trend"))</f>
        <v/>
      </c>
      <c r="J45" s="14" t="inlineStr">
        <is>
          <t>Statistical trend only, not a meteorological forecast</t>
        </is>
      </c>
    </row>
    <row r="46" ht="15" customHeight="1" s="12">
      <c r="A46" s="14" t="inlineStr">
        <is>
          <t>Haveli</t>
        </is>
      </c>
      <c r="B46" s="14" t="inlineStr">
        <is>
          <t>Azad Kashmir</t>
        </is>
      </c>
      <c r="C46" s="22" t="n">
        <v>608.91</v>
      </c>
      <c r="D46" s="22" t="n">
        <v>619.6900000000001</v>
      </c>
      <c r="E46" s="21" t="n">
        <v>0.1696</v>
      </c>
      <c r="F46" s="22" t="n">
        <v>10.784</v>
      </c>
      <c r="G46" s="22" t="n">
        <v>609.0599999999999</v>
      </c>
      <c r="H46" s="22" t="n">
        <v>619.92</v>
      </c>
      <c r="I46" s="14">
        <f>IF(E46&gt;=0.5,IF(F46&gt;0,"Strong Rising Trend","Strong Falling Trend"),IF(E46&gt;=0.2,IF(F46&gt;0,"Moderate Rising Trend","Moderate Falling Trend"),"Weak / Unreliable Trend"))</f>
        <v/>
      </c>
      <c r="J46" s="14" t="inlineStr">
        <is>
          <t>Statistical trend only, not a meteorological forecast</t>
        </is>
      </c>
    </row>
    <row r="47" ht="15" customHeight="1" s="12">
      <c r="A47" s="14" t="inlineStr">
        <is>
          <t>Hunza</t>
        </is>
      </c>
      <c r="B47" s="14" t="inlineStr">
        <is>
          <t>Gilgit Baltistan</t>
        </is>
      </c>
      <c r="C47" s="22" t="n">
        <v>99.95</v>
      </c>
      <c r="D47" s="22" t="n">
        <v>99.98</v>
      </c>
      <c r="E47" s="21" t="n">
        <v>0.0002</v>
      </c>
      <c r="F47" s="22" t="n">
        <v>0.03</v>
      </c>
      <c r="G47" s="22" t="n">
        <v>99.95</v>
      </c>
      <c r="H47" s="22" t="n">
        <v>99.97</v>
      </c>
      <c r="I47" s="14">
        <f>IF(E47&gt;=0.5,IF(F47&gt;0,"Strong Rising Trend","Strong Falling Trend"),IF(E47&gt;=0.2,IF(F47&gt;0,"Moderate Rising Trend","Moderate Falling Trend"),"Weak / Unreliable Trend"))</f>
        <v/>
      </c>
      <c r="J47" s="14" t="inlineStr">
        <is>
          <t>Statistical trend only, not a meteorological forecast</t>
        </is>
      </c>
    </row>
    <row r="48" ht="15" customHeight="1" s="12">
      <c r="A48" s="14" t="inlineStr">
        <is>
          <t>Hyderabad</t>
        </is>
      </c>
      <c r="B48" s="14" t="inlineStr">
        <is>
          <t>Sindh</t>
        </is>
      </c>
      <c r="C48" s="22" t="n">
        <v>253.87</v>
      </c>
      <c r="D48" s="22" t="n">
        <v>262.7</v>
      </c>
      <c r="E48" s="21" t="n">
        <v>0.08260000000000001</v>
      </c>
      <c r="F48" s="22" t="n">
        <v>8.832000000000001</v>
      </c>
      <c r="G48" s="22" t="n">
        <v>253.91</v>
      </c>
      <c r="H48" s="22" t="n">
        <v>262.79</v>
      </c>
      <c r="I48" s="14">
        <f>IF(E48&gt;=0.5,IF(F48&gt;0,"Strong Rising Trend","Strong Falling Trend"),IF(E48&gt;=0.2,IF(F48&gt;0,"Moderate Rising Trend","Moderate Falling Trend"),"Weak / Unreliable Trend"))</f>
        <v/>
      </c>
      <c r="J48" s="14" t="inlineStr">
        <is>
          <t>Statistical trend only, not a meteorological forecast</t>
        </is>
      </c>
    </row>
    <row r="49" ht="15" customHeight="1" s="12">
      <c r="A49" s="14" t="inlineStr">
        <is>
          <t>Islamabad</t>
        </is>
      </c>
      <c r="B49" s="14" t="inlineStr">
        <is>
          <t>Islamabad</t>
        </is>
      </c>
      <c r="C49" s="22" t="n">
        <v>963.1900000000001</v>
      </c>
      <c r="D49" s="22" t="n">
        <v>988.8</v>
      </c>
      <c r="E49" s="21" t="n">
        <v>0.4376</v>
      </c>
      <c r="F49" s="22" t="n">
        <v>25.618</v>
      </c>
      <c r="G49" s="22" t="n">
        <v>963.59</v>
      </c>
      <c r="H49" s="22" t="n">
        <v>989.39</v>
      </c>
      <c r="I49" s="14">
        <f>IF(E49&gt;=0.5,IF(F49&gt;0,"Strong Rising Trend","Strong Falling Trend"),IF(E49&gt;=0.2,IF(F49&gt;0,"Moderate Rising Trend","Moderate Falling Trend"),"Weak / Unreliable Trend"))</f>
        <v/>
      </c>
      <c r="J49" s="14" t="inlineStr">
        <is>
          <t>Statistical trend only, not a meteorological forecast</t>
        </is>
      </c>
    </row>
    <row r="50" ht="15" customHeight="1" s="12">
      <c r="A50" s="14" t="inlineStr">
        <is>
          <t>Jacobabad</t>
        </is>
      </c>
      <c r="B50" s="14" t="inlineStr">
        <is>
          <t>Sindh</t>
        </is>
      </c>
      <c r="C50" s="22" t="n">
        <v>126.42</v>
      </c>
      <c r="D50" s="22" t="n">
        <v>133.21</v>
      </c>
      <c r="E50" s="21" t="n">
        <v>0.1778</v>
      </c>
      <c r="F50" s="22" t="n">
        <v>6.795</v>
      </c>
      <c r="G50" s="22" t="n">
        <v>126.49</v>
      </c>
      <c r="H50" s="22" t="n">
        <v>133.33</v>
      </c>
      <c r="I50" s="14">
        <f>IF(E50&gt;=0.5,IF(F50&gt;0,"Strong Rising Trend","Strong Falling Trend"),IF(E50&gt;=0.2,IF(F50&gt;0,"Moderate Rising Trend","Moderate Falling Trend"),"Weak / Unreliable Trend"))</f>
        <v/>
      </c>
      <c r="J50" s="14" t="inlineStr">
        <is>
          <t>Statistical trend only, not a meteorological forecast</t>
        </is>
      </c>
    </row>
    <row r="51" ht="15" customHeight="1" s="12">
      <c r="A51" s="14" t="inlineStr">
        <is>
          <t>Jaffarabad</t>
        </is>
      </c>
      <c r="B51" s="14" t="inlineStr">
        <is>
          <t>Balochistan</t>
        </is>
      </c>
      <c r="C51" s="22" t="n">
        <v>139.28</v>
      </c>
      <c r="D51" s="22" t="n">
        <v>147.84</v>
      </c>
      <c r="E51" s="21" t="n">
        <v>0.2852</v>
      </c>
      <c r="F51" s="22" t="n">
        <v>8.551</v>
      </c>
      <c r="G51" s="22" t="n">
        <v>139.38</v>
      </c>
      <c r="H51" s="22" t="n">
        <v>147.98</v>
      </c>
      <c r="I51" s="14">
        <f>IF(E51&gt;=0.5,IF(F51&gt;0,"Strong Rising Trend","Strong Falling Trend"),IF(E51&gt;=0.2,IF(F51&gt;0,"Moderate Rising Trend","Moderate Falling Trend"),"Weak / Unreliable Trend"))</f>
        <v/>
      </c>
      <c r="J51" s="14" t="inlineStr">
        <is>
          <t>Statistical trend only, not a meteorological forecast</t>
        </is>
      </c>
    </row>
    <row r="52" ht="15" customHeight="1" s="12">
      <c r="A52" s="14" t="inlineStr">
        <is>
          <t>Jamshoro</t>
        </is>
      </c>
      <c r="B52" s="14" t="inlineStr">
        <is>
          <t>Sindh</t>
        </is>
      </c>
      <c r="C52" s="22" t="n">
        <v>234.24</v>
      </c>
      <c r="D52" s="22" t="n">
        <v>241.57</v>
      </c>
      <c r="E52" s="21" t="n">
        <v>0.0492</v>
      </c>
      <c r="F52" s="22" t="n">
        <v>7.326</v>
      </c>
      <c r="G52" s="22" t="n">
        <v>234.27</v>
      </c>
      <c r="H52" s="22" t="n">
        <v>241.63</v>
      </c>
      <c r="I52" s="14">
        <f>IF(E52&gt;=0.5,IF(F52&gt;0,"Strong Rising Trend","Strong Falling Trend"),IF(E52&gt;=0.2,IF(F52&gt;0,"Moderate Rising Trend","Moderate Falling Trend"),"Weak / Unreliable Trend"))</f>
        <v/>
      </c>
      <c r="J52" s="14" t="inlineStr">
        <is>
          <t>Statistical trend only, not a meteorological forecast</t>
        </is>
      </c>
    </row>
    <row r="53" ht="15" customHeight="1" s="12">
      <c r="A53" s="14" t="inlineStr">
        <is>
          <t>Jhal Magsi</t>
        </is>
      </c>
      <c r="B53" s="14" t="inlineStr">
        <is>
          <t>Balochistan</t>
        </is>
      </c>
      <c r="C53" s="22" t="n">
        <v>170.84</v>
      </c>
      <c r="D53" s="22" t="n">
        <v>182.35</v>
      </c>
      <c r="E53" s="21" t="n">
        <v>0.3462</v>
      </c>
      <c r="F53" s="22" t="n">
        <v>11.509</v>
      </c>
      <c r="G53" s="22" t="n">
        <v>170.98</v>
      </c>
      <c r="H53" s="22" t="n">
        <v>182.57</v>
      </c>
      <c r="I53" s="14">
        <f>IF(E53&gt;=0.5,IF(F53&gt;0,"Strong Rising Trend","Strong Falling Trend"),IF(E53&gt;=0.2,IF(F53&gt;0,"Moderate Rising Trend","Moderate Falling Trend"),"Weak / Unreliable Trend"))</f>
        <v/>
      </c>
      <c r="J53" s="14" t="inlineStr">
        <is>
          <t>Statistical trend only, not a meteorological forecast</t>
        </is>
      </c>
    </row>
    <row r="54" ht="15" customHeight="1" s="12">
      <c r="A54" s="14" t="inlineStr">
        <is>
          <t>Jhang</t>
        </is>
      </c>
      <c r="B54" s="14" t="inlineStr">
        <is>
          <t>Punjab</t>
        </is>
      </c>
      <c r="C54" s="22" t="n">
        <v>251.9</v>
      </c>
      <c r="D54" s="22" t="n">
        <v>256.58</v>
      </c>
      <c r="E54" s="21" t="n">
        <v>0.1058</v>
      </c>
      <c r="F54" s="22" t="n">
        <v>4.679</v>
      </c>
      <c r="G54" s="22" t="n">
        <v>252.01</v>
      </c>
      <c r="H54" s="22" t="n">
        <v>256.73</v>
      </c>
      <c r="I54" s="14">
        <f>IF(E54&gt;=0.5,IF(F54&gt;0,"Strong Rising Trend","Strong Falling Trend"),IF(E54&gt;=0.2,IF(F54&gt;0,"Moderate Rising Trend","Moderate Falling Trend"),"Weak / Unreliable Trend"))</f>
        <v/>
      </c>
      <c r="J54" s="14" t="inlineStr">
        <is>
          <t>Statistical trend only, not a meteorological forecast</t>
        </is>
      </c>
    </row>
    <row r="55" ht="15" customHeight="1" s="12">
      <c r="A55" s="14" t="inlineStr">
        <is>
          <t>Jhelum</t>
        </is>
      </c>
      <c r="B55" s="14" t="inlineStr">
        <is>
          <t>Punjab</t>
        </is>
      </c>
      <c r="C55" s="22" t="n">
        <v>723.03</v>
      </c>
      <c r="D55" s="22" t="n">
        <v>739.34</v>
      </c>
      <c r="E55" s="21" t="n">
        <v>0.3146</v>
      </c>
      <c r="F55" s="22" t="n">
        <v>16.306</v>
      </c>
      <c r="G55" s="22" t="n">
        <v>723.3</v>
      </c>
      <c r="H55" s="22" t="n">
        <v>739.72</v>
      </c>
      <c r="I55" s="14">
        <f>IF(E55&gt;=0.5,IF(F55&gt;0,"Strong Rising Trend","Strong Falling Trend"),IF(E55&gt;=0.2,IF(F55&gt;0,"Moderate Rising Trend","Moderate Falling Trend"),"Weak / Unreliable Trend"))</f>
        <v/>
      </c>
      <c r="J55" s="14" t="inlineStr">
        <is>
          <t>Statistical trend only, not a meteorological forecast</t>
        </is>
      </c>
    </row>
    <row r="56" ht="15" customHeight="1" s="12">
      <c r="A56" s="14" t="inlineStr">
        <is>
          <t>Jhelum Valley</t>
        </is>
      </c>
      <c r="B56" s="14" t="inlineStr">
        <is>
          <t>Azad Kashmir</t>
        </is>
      </c>
      <c r="C56" s="22" t="n">
        <v>558.92</v>
      </c>
      <c r="D56" s="22" t="n">
        <v>570.04</v>
      </c>
      <c r="E56" s="21" t="n">
        <v>0.2236</v>
      </c>
      <c r="F56" s="22" t="n">
        <v>11.113</v>
      </c>
      <c r="G56" s="22" t="n">
        <v>559.11</v>
      </c>
      <c r="H56" s="22" t="n">
        <v>570.3</v>
      </c>
      <c r="I56" s="14">
        <f>IF(E56&gt;=0.5,IF(F56&gt;0,"Strong Rising Trend","Strong Falling Trend"),IF(E56&gt;=0.2,IF(F56&gt;0,"Moderate Rising Trend","Moderate Falling Trend"),"Weak / Unreliable Trend"))</f>
        <v/>
      </c>
      <c r="J56" s="14" t="inlineStr">
        <is>
          <t>Statistical trend only, not a meteorological forecast</t>
        </is>
      </c>
    </row>
    <row r="57" ht="15" customHeight="1" s="12">
      <c r="A57" s="14" t="inlineStr">
        <is>
          <t>Kachhi</t>
        </is>
      </c>
      <c r="B57" s="14" t="inlineStr">
        <is>
          <t>Balochistan</t>
        </is>
      </c>
      <c r="C57" s="22" t="n">
        <v>150.88</v>
      </c>
      <c r="D57" s="22" t="n">
        <v>160.29</v>
      </c>
      <c r="E57" s="21" t="n">
        <v>0.3156</v>
      </c>
      <c r="F57" s="22" t="n">
        <v>9.41</v>
      </c>
      <c r="G57" s="22" t="n">
        <v>151</v>
      </c>
      <c r="H57" s="22" t="n">
        <v>160.47</v>
      </c>
      <c r="I57" s="14">
        <f>IF(E57&gt;=0.5,IF(F57&gt;0,"Strong Rising Trend","Strong Falling Trend"),IF(E57&gt;=0.2,IF(F57&gt;0,"Moderate Rising Trend","Moderate Falling Trend"),"Weak / Unreliable Trend"))</f>
        <v/>
      </c>
      <c r="J57" s="14" t="inlineStr">
        <is>
          <t>Statistical trend only, not a meteorological forecast</t>
        </is>
      </c>
    </row>
    <row r="58" ht="15" customHeight="1" s="12">
      <c r="A58" s="14" t="inlineStr">
        <is>
          <t>Kalat</t>
        </is>
      </c>
      <c r="B58" s="14" t="inlineStr">
        <is>
          <t>Balochistan</t>
        </is>
      </c>
      <c r="C58" s="22" t="n">
        <v>93.76000000000001</v>
      </c>
      <c r="D58" s="22" t="n">
        <v>100.41</v>
      </c>
      <c r="E58" s="21" t="n">
        <v>0.3597</v>
      </c>
      <c r="F58" s="22" t="n">
        <v>6.649</v>
      </c>
      <c r="G58" s="22" t="n">
        <v>93.84</v>
      </c>
      <c r="H58" s="22" t="n">
        <v>100.53</v>
      </c>
      <c r="I58" s="14">
        <f>IF(E58&gt;=0.5,IF(F58&gt;0,"Strong Rising Trend","Strong Falling Trend"),IF(E58&gt;=0.2,IF(F58&gt;0,"Moderate Rising Trend","Moderate Falling Trend"),"Weak / Unreliable Trend"))</f>
        <v/>
      </c>
      <c r="J58" s="14" t="inlineStr">
        <is>
          <t>Statistical trend only, not a meteorological forecast</t>
        </is>
      </c>
    </row>
    <row r="59" ht="15" customHeight="1" s="12">
      <c r="A59" s="14" t="inlineStr">
        <is>
          <t>Kambar Shahdad Kot</t>
        </is>
      </c>
      <c r="B59" s="14" t="inlineStr">
        <is>
          <t>Sindh</t>
        </is>
      </c>
      <c r="C59" s="22" t="n">
        <v>116.2</v>
      </c>
      <c r="D59" s="22" t="n">
        <v>122.23</v>
      </c>
      <c r="E59" s="21" t="n">
        <v>0.1998</v>
      </c>
      <c r="F59" s="22" t="n">
        <v>6.032</v>
      </c>
      <c r="G59" s="22" t="n">
        <v>116.26</v>
      </c>
      <c r="H59" s="22" t="n">
        <v>122.33</v>
      </c>
      <c r="I59" s="14">
        <f>IF(E59&gt;=0.5,IF(F59&gt;0,"Strong Rising Trend","Strong Falling Trend"),IF(E59&gt;=0.2,IF(F59&gt;0,"Moderate Rising Trend","Moderate Falling Trend"),"Weak / Unreliable Trend"))</f>
        <v/>
      </c>
      <c r="J59" s="14" t="inlineStr">
        <is>
          <t>Statistical trend only, not a meteorological forecast</t>
        </is>
      </c>
    </row>
    <row r="60" ht="15" customHeight="1" s="12">
      <c r="A60" s="14" t="inlineStr">
        <is>
          <t>Karak</t>
        </is>
      </c>
      <c r="B60" s="14" t="inlineStr">
        <is>
          <t>Khyber Pakhtunkhwa</t>
        </is>
      </c>
      <c r="C60" s="22" t="n">
        <v>344.72</v>
      </c>
      <c r="D60" s="22" t="n">
        <v>336.74</v>
      </c>
      <c r="E60" s="21" t="n">
        <v>0.225</v>
      </c>
      <c r="F60" s="22" t="n">
        <v>-7.989</v>
      </c>
      <c r="G60" s="22" t="n">
        <v>344.68</v>
      </c>
      <c r="H60" s="22" t="n">
        <v>336.65</v>
      </c>
      <c r="I60" s="14">
        <f>IF(E60&gt;=0.5,IF(F60&gt;0,"Strong Rising Trend","Strong Falling Trend"),IF(E60&gt;=0.2,IF(F60&gt;0,"Moderate Rising Trend","Moderate Falling Trend"),"Weak / Unreliable Trend"))</f>
        <v/>
      </c>
      <c r="J60" s="14" t="inlineStr">
        <is>
          <t>Statistical trend only, not a meteorological forecast</t>
        </is>
      </c>
    </row>
    <row r="61" ht="15" customHeight="1" s="12">
      <c r="A61" s="14" t="inlineStr">
        <is>
          <t>Kashmore</t>
        </is>
      </c>
      <c r="B61" s="14" t="inlineStr">
        <is>
          <t>Sindh</t>
        </is>
      </c>
      <c r="C61" s="22" t="n">
        <v>111.42</v>
      </c>
      <c r="D61" s="22" t="n">
        <v>115.38</v>
      </c>
      <c r="E61" s="21" t="n">
        <v>0.06759999999999999</v>
      </c>
      <c r="F61" s="22" t="n">
        <v>3.96</v>
      </c>
      <c r="G61" s="22" t="n">
        <v>111.47</v>
      </c>
      <c r="H61" s="22" t="n">
        <v>115.46</v>
      </c>
      <c r="I61" s="14">
        <f>IF(E61&gt;=0.5,IF(F61&gt;0,"Strong Rising Trend","Strong Falling Trend"),IF(E61&gt;=0.2,IF(F61&gt;0,"Moderate Rising Trend","Moderate Falling Trend"),"Weak / Unreliable Trend"))</f>
        <v/>
      </c>
      <c r="J61" s="14" t="inlineStr">
        <is>
          <t>Statistical trend only, not a meteorological forecast</t>
        </is>
      </c>
    </row>
    <row r="62" ht="15" customHeight="1" s="12">
      <c r="A62" s="14" t="inlineStr">
        <is>
          <t>Kasur</t>
        </is>
      </c>
      <c r="B62" s="14" t="inlineStr">
        <is>
          <t>Punjab</t>
        </is>
      </c>
      <c r="C62" s="22" t="n">
        <v>554.2</v>
      </c>
      <c r="D62" s="22" t="n">
        <v>575.9400000000001</v>
      </c>
      <c r="E62" s="21" t="n">
        <v>0.5698</v>
      </c>
      <c r="F62" s="22" t="n">
        <v>21.744</v>
      </c>
      <c r="G62" s="22" t="n">
        <v>554.5599999999999</v>
      </c>
      <c r="H62" s="22" t="n">
        <v>576.46</v>
      </c>
      <c r="I62" s="14">
        <f>IF(E62&gt;=0.5,IF(F62&gt;0,"Strong Rising Trend","Strong Falling Trend"),IF(E62&gt;=0.2,IF(F62&gt;0,"Moderate Rising Trend","Moderate Falling Trend"),"Weak / Unreliable Trend"))</f>
        <v/>
      </c>
      <c r="J62" s="14" t="inlineStr">
        <is>
          <t>Statistical trend only, not a meteorological forecast</t>
        </is>
      </c>
    </row>
    <row r="63" ht="15" customHeight="1" s="12">
      <c r="A63" s="14" t="inlineStr">
        <is>
          <t>Kech</t>
        </is>
      </c>
      <c r="B63" s="14" t="inlineStr">
        <is>
          <t>Balochistan</t>
        </is>
      </c>
      <c r="C63" s="22" t="n">
        <v>52.46</v>
      </c>
      <c r="D63" s="22" t="n">
        <v>56.38</v>
      </c>
      <c r="E63" s="21" t="n">
        <v>0.1729</v>
      </c>
      <c r="F63" s="22" t="n">
        <v>3.922</v>
      </c>
      <c r="G63" s="22" t="n">
        <v>52.48</v>
      </c>
      <c r="H63" s="22" t="n">
        <v>56.43</v>
      </c>
      <c r="I63" s="14">
        <f>IF(E63&gt;=0.5,IF(F63&gt;0,"Strong Rising Trend","Strong Falling Trend"),IF(E63&gt;=0.2,IF(F63&gt;0,"Moderate Rising Trend","Moderate Falling Trend"),"Weak / Unreliable Trend"))</f>
        <v/>
      </c>
      <c r="J63" s="14" t="inlineStr">
        <is>
          <t>Statistical trend only, not a meteorological forecast</t>
        </is>
      </c>
    </row>
    <row r="64" ht="15" customHeight="1" s="12">
      <c r="A64" s="14" t="inlineStr">
        <is>
          <t>Khairpur</t>
        </is>
      </c>
      <c r="B64" s="14" t="inlineStr">
        <is>
          <t>Sindh</t>
        </is>
      </c>
      <c r="C64" s="22" t="n">
        <v>253.01</v>
      </c>
      <c r="D64" s="22" t="n">
        <v>262.61</v>
      </c>
      <c r="E64" s="21" t="n">
        <v>0.09039999999999999</v>
      </c>
      <c r="F64" s="22" t="n">
        <v>9.599</v>
      </c>
      <c r="G64" s="22" t="n">
        <v>253.09</v>
      </c>
      <c r="H64" s="22" t="n">
        <v>262.74</v>
      </c>
      <c r="I64" s="14">
        <f>IF(E64&gt;=0.5,IF(F64&gt;0,"Strong Rising Trend","Strong Falling Trend"),IF(E64&gt;=0.2,IF(F64&gt;0,"Moderate Rising Trend","Moderate Falling Trend"),"Weak / Unreliable Trend"))</f>
        <v/>
      </c>
      <c r="J64" s="14" t="inlineStr">
        <is>
          <t>Statistical trend only, not a meteorological forecast</t>
        </is>
      </c>
    </row>
    <row r="65" ht="15" customHeight="1" s="12">
      <c r="A65" s="14" t="inlineStr">
        <is>
          <t>Khanewal</t>
        </is>
      </c>
      <c r="B65" s="14" t="inlineStr">
        <is>
          <t>Punjab</t>
        </is>
      </c>
      <c r="C65" s="22" t="n">
        <v>197.07</v>
      </c>
      <c r="D65" s="22" t="n">
        <v>204.11</v>
      </c>
      <c r="E65" s="21" t="n">
        <v>0.231</v>
      </c>
      <c r="F65" s="22" t="n">
        <v>7.04</v>
      </c>
      <c r="G65" s="22" t="n">
        <v>197.22</v>
      </c>
      <c r="H65" s="22" t="n">
        <v>204.32</v>
      </c>
      <c r="I65" s="14">
        <f>IF(E65&gt;=0.5,IF(F65&gt;0,"Strong Rising Trend","Strong Falling Trend"),IF(E65&gt;=0.2,IF(F65&gt;0,"Moderate Rising Trend","Moderate Falling Trend"),"Weak / Unreliable Trend"))</f>
        <v/>
      </c>
      <c r="J65" s="14" t="inlineStr">
        <is>
          <t>Statistical trend only, not a meteorological forecast</t>
        </is>
      </c>
    </row>
    <row r="66" ht="15" customHeight="1" s="12">
      <c r="A66" s="14" t="inlineStr">
        <is>
          <t>Kharan</t>
        </is>
      </c>
      <c r="B66" s="14" t="inlineStr">
        <is>
          <t>Balochistan</t>
        </is>
      </c>
      <c r="C66" s="22" t="n">
        <v>39.77</v>
      </c>
      <c r="D66" s="22" t="n">
        <v>43.07</v>
      </c>
      <c r="E66" s="21" t="n">
        <v>0.4697</v>
      </c>
      <c r="F66" s="22" t="n">
        <v>3.297</v>
      </c>
      <c r="G66" s="22" t="n">
        <v>39.81</v>
      </c>
      <c r="H66" s="22" t="n">
        <v>43.13</v>
      </c>
      <c r="I66" s="14">
        <f>IF(E66&gt;=0.5,IF(F66&gt;0,"Strong Rising Trend","Strong Falling Trend"),IF(E66&gt;=0.2,IF(F66&gt;0,"Moderate Rising Trend","Moderate Falling Trend"),"Weak / Unreliable Trend"))</f>
        <v/>
      </c>
      <c r="J66" s="14" t="inlineStr">
        <is>
          <t>Statistical trend only, not a meteorological forecast</t>
        </is>
      </c>
    </row>
    <row r="67" ht="15" customHeight="1" s="12">
      <c r="A67" s="14" t="inlineStr">
        <is>
          <t>Kharmang</t>
        </is>
      </c>
      <c r="B67" s="14" t="inlineStr">
        <is>
          <t>Gilgit Baltistan</t>
        </is>
      </c>
      <c r="C67" s="22" t="n">
        <v>126.1</v>
      </c>
      <c r="D67" s="22" t="n">
        <v>126.94</v>
      </c>
      <c r="E67" s="21" t="n">
        <v>0.0071</v>
      </c>
      <c r="F67" s="22" t="n">
        <v>0.837</v>
      </c>
      <c r="G67" s="22" t="n">
        <v>126.11</v>
      </c>
      <c r="H67" s="22" t="n">
        <v>126.95</v>
      </c>
      <c r="I67" s="14">
        <f>IF(E67&gt;=0.5,IF(F67&gt;0,"Strong Rising Trend","Strong Falling Trend"),IF(E67&gt;=0.2,IF(F67&gt;0,"Moderate Rising Trend","Moderate Falling Trend"),"Weak / Unreliable Trend"))</f>
        <v/>
      </c>
      <c r="J67" s="14" t="inlineStr">
        <is>
          <t>Statistical trend only, not a meteorological forecast</t>
        </is>
      </c>
    </row>
    <row r="68" ht="15" customHeight="1" s="12">
      <c r="A68" s="14" t="inlineStr">
        <is>
          <t>Khushab</t>
        </is>
      </c>
      <c r="B68" s="14" t="inlineStr">
        <is>
          <t>Punjab</t>
        </is>
      </c>
      <c r="C68" s="22" t="n">
        <v>357.13</v>
      </c>
      <c r="D68" s="22" t="n">
        <v>359.09</v>
      </c>
      <c r="E68" s="21" t="n">
        <v>0.0201</v>
      </c>
      <c r="F68" s="22" t="n">
        <v>1.962</v>
      </c>
      <c r="G68" s="22" t="n">
        <v>357.21</v>
      </c>
      <c r="H68" s="22" t="n">
        <v>359.19</v>
      </c>
      <c r="I68" s="14">
        <f>IF(E68&gt;=0.5,IF(F68&gt;0,"Strong Rising Trend","Strong Falling Trend"),IF(E68&gt;=0.2,IF(F68&gt;0,"Moderate Rising Trend","Moderate Falling Trend"),"Weak / Unreliable Trend"))</f>
        <v/>
      </c>
      <c r="J68" s="14" t="inlineStr">
        <is>
          <t>Statistical trend only, not a meteorological forecast</t>
        </is>
      </c>
    </row>
    <row r="69" ht="15" customHeight="1" s="12">
      <c r="A69" s="14" t="inlineStr">
        <is>
          <t>Khuzdar</t>
        </is>
      </c>
      <c r="B69" s="14" t="inlineStr">
        <is>
          <t>Balochistan</t>
        </is>
      </c>
      <c r="C69" s="22" t="n">
        <v>201.12</v>
      </c>
      <c r="D69" s="22" t="n">
        <v>211.69</v>
      </c>
      <c r="E69" s="21" t="n">
        <v>0.2335</v>
      </c>
      <c r="F69" s="22" t="n">
        <v>10.567</v>
      </c>
      <c r="G69" s="22" t="n">
        <v>201.23</v>
      </c>
      <c r="H69" s="22" t="n">
        <v>211.86</v>
      </c>
      <c r="I69" s="14">
        <f>IF(E69&gt;=0.5,IF(F69&gt;0,"Strong Rising Trend","Strong Falling Trend"),IF(E69&gt;=0.2,IF(F69&gt;0,"Moderate Rising Trend","Moderate Falling Trend"),"Weak / Unreliable Trend"))</f>
        <v/>
      </c>
      <c r="J69" s="14" t="inlineStr">
        <is>
          <t>Statistical trend only, not a meteorological forecast</t>
        </is>
      </c>
    </row>
    <row r="70" ht="15" customHeight="1" s="12">
      <c r="A70" s="14" t="inlineStr">
        <is>
          <t>Khyber</t>
        </is>
      </c>
      <c r="B70" s="14" t="inlineStr">
        <is>
          <t>Khyber Pakhtunkhwa</t>
        </is>
      </c>
      <c r="C70" s="22" t="n">
        <v>153.67</v>
      </c>
      <c r="D70" s="22" t="n">
        <v>144.01</v>
      </c>
      <c r="E70" s="21" t="n">
        <v>0.4766</v>
      </c>
      <c r="F70" s="22" t="n">
        <v>-9.66</v>
      </c>
      <c r="G70" s="22" t="n">
        <v>153.58</v>
      </c>
      <c r="H70" s="22" t="n">
        <v>143.86</v>
      </c>
      <c r="I70" s="14">
        <f>IF(E70&gt;=0.5,IF(F70&gt;0,"Strong Rising Trend","Strong Falling Trend"),IF(E70&gt;=0.2,IF(F70&gt;0,"Moderate Rising Trend","Moderate Falling Trend"),"Weak / Unreliable Trend"))</f>
        <v/>
      </c>
      <c r="J70" s="14" t="inlineStr">
        <is>
          <t>Statistical trend only, not a meteorological forecast</t>
        </is>
      </c>
    </row>
    <row r="71" ht="15" customHeight="1" s="12">
      <c r="A71" s="14" t="inlineStr">
        <is>
          <t>Killa Abdullah</t>
        </is>
      </c>
      <c r="B71" s="14" t="inlineStr">
        <is>
          <t>Balochistan</t>
        </is>
      </c>
      <c r="C71" s="22" t="n">
        <v>24.15</v>
      </c>
      <c r="D71" s="22" t="n">
        <v>26.22</v>
      </c>
      <c r="E71" s="21" t="n">
        <v>0.3308</v>
      </c>
      <c r="F71" s="22" t="n">
        <v>2.063</v>
      </c>
      <c r="G71" s="22" t="n">
        <v>24.18</v>
      </c>
      <c r="H71" s="22" t="n">
        <v>26.25</v>
      </c>
      <c r="I71" s="14">
        <f>IF(E71&gt;=0.5,IF(F71&gt;0,"Strong Rising Trend","Strong Falling Trend"),IF(E71&gt;=0.2,IF(F71&gt;0,"Moderate Rising Trend","Moderate Falling Trend"),"Weak / Unreliable Trend"))</f>
        <v/>
      </c>
      <c r="J71" s="14" t="inlineStr">
        <is>
          <t>Statistical trend only, not a meteorological forecast</t>
        </is>
      </c>
    </row>
    <row r="72" ht="15" customHeight="1" s="12">
      <c r="A72" s="14" t="inlineStr">
        <is>
          <t>Killa Saifullah</t>
        </is>
      </c>
      <c r="B72" s="14" t="inlineStr">
        <is>
          <t>Balochistan</t>
        </is>
      </c>
      <c r="C72" s="22" t="n">
        <v>92.05</v>
      </c>
      <c r="D72" s="22" t="n">
        <v>96.42</v>
      </c>
      <c r="E72" s="21" t="n">
        <v>0.2421</v>
      </c>
      <c r="F72" s="22" t="n">
        <v>4.367</v>
      </c>
      <c r="G72" s="22" t="n">
        <v>92.11</v>
      </c>
      <c r="H72" s="22" t="n">
        <v>96.51000000000001</v>
      </c>
      <c r="I72" s="14">
        <f>IF(E72&gt;=0.5,IF(F72&gt;0,"Strong Rising Trend","Strong Falling Trend"),IF(E72&gt;=0.2,IF(F72&gt;0,"Moderate Rising Trend","Moderate Falling Trend"),"Weak / Unreliable Trend"))</f>
        <v/>
      </c>
      <c r="J72" s="14" t="inlineStr">
        <is>
          <t>Statistical trend only, not a meteorological forecast</t>
        </is>
      </c>
    </row>
    <row r="73" ht="15" customHeight="1" s="12">
      <c r="A73" s="14" t="inlineStr">
        <is>
          <t>Kohat</t>
        </is>
      </c>
      <c r="B73" s="14" t="inlineStr">
        <is>
          <t>Khyber Pakhtunkhwa</t>
        </is>
      </c>
      <c r="C73" s="22" t="n">
        <v>308.06</v>
      </c>
      <c r="D73" s="22" t="n">
        <v>299.88</v>
      </c>
      <c r="E73" s="21" t="n">
        <v>0.2683</v>
      </c>
      <c r="F73" s="22" t="n">
        <v>-8.176</v>
      </c>
      <c r="G73" s="22" t="n">
        <v>307.99</v>
      </c>
      <c r="H73" s="22" t="n">
        <v>299.77</v>
      </c>
      <c r="I73" s="14">
        <f>IF(E73&gt;=0.5,IF(F73&gt;0,"Strong Rising Trend","Strong Falling Trend"),IF(E73&gt;=0.2,IF(F73&gt;0,"Moderate Rising Trend","Moderate Falling Trend"),"Weak / Unreliable Trend"))</f>
        <v/>
      </c>
      <c r="J73" s="14" t="inlineStr">
        <is>
          <t>Statistical trend only, not a meteorological forecast</t>
        </is>
      </c>
    </row>
    <row r="74" ht="15" customHeight="1" s="12">
      <c r="A74" s="14" t="inlineStr">
        <is>
          <t>Kohistan Lower</t>
        </is>
      </c>
      <c r="B74" s="14" t="inlineStr">
        <is>
          <t>Khyber Pakhtunkhwa</t>
        </is>
      </c>
      <c r="C74" s="22" t="n">
        <v>285.66</v>
      </c>
      <c r="D74" s="22" t="n">
        <v>280.38</v>
      </c>
      <c r="E74" s="21" t="n">
        <v>0.1745</v>
      </c>
      <c r="F74" s="22" t="n">
        <v>-5.281</v>
      </c>
      <c r="G74" s="22" t="n">
        <v>285.55</v>
      </c>
      <c r="H74" s="22" t="n">
        <v>280.23</v>
      </c>
      <c r="I74" s="14">
        <f>IF(E74&gt;=0.5,IF(F74&gt;0,"Strong Rising Trend","Strong Falling Trend"),IF(E74&gt;=0.2,IF(F74&gt;0,"Moderate Rising Trend","Moderate Falling Trend"),"Weak / Unreliable Trend"))</f>
        <v/>
      </c>
      <c r="J74" s="14" t="inlineStr">
        <is>
          <t>Statistical trend only, not a meteorological forecast</t>
        </is>
      </c>
    </row>
    <row r="75" ht="15" customHeight="1" s="12">
      <c r="A75" s="14" t="inlineStr">
        <is>
          <t>Kohistan Upper</t>
        </is>
      </c>
      <c r="B75" s="14" t="inlineStr">
        <is>
          <t>Khyber Pakhtunkhwa</t>
        </is>
      </c>
      <c r="C75" s="22" t="n">
        <v>213.49</v>
      </c>
      <c r="D75" s="22" t="n">
        <v>211.83</v>
      </c>
      <c r="E75" s="21" t="n">
        <v>0.07439999999999999</v>
      </c>
      <c r="F75" s="22" t="n">
        <v>-1.665</v>
      </c>
      <c r="G75" s="22" t="n">
        <v>213.45</v>
      </c>
      <c r="H75" s="22" t="n">
        <v>211.77</v>
      </c>
      <c r="I75" s="14">
        <f>IF(E75&gt;=0.5,IF(F75&gt;0,"Strong Rising Trend","Strong Falling Trend"),IF(E75&gt;=0.2,IF(F75&gt;0,"Moderate Rising Trend","Moderate Falling Trend"),"Weak / Unreliable Trend"))</f>
        <v/>
      </c>
      <c r="J75" s="14" t="inlineStr">
        <is>
          <t>Statistical trend only, not a meteorological forecast</t>
        </is>
      </c>
    </row>
    <row r="76" ht="15" customHeight="1" s="12">
      <c r="A76" s="14" t="inlineStr">
        <is>
          <t>Kohlu</t>
        </is>
      </c>
      <c r="B76" s="14" t="inlineStr">
        <is>
          <t>Balochistan</t>
        </is>
      </c>
      <c r="C76" s="22" t="n">
        <v>264.77</v>
      </c>
      <c r="D76" s="22" t="n">
        <v>274.8</v>
      </c>
      <c r="E76" s="21" t="n">
        <v>0.1468</v>
      </c>
      <c r="F76" s="22" t="n">
        <v>10.033</v>
      </c>
      <c r="G76" s="22" t="n">
        <v>264.9</v>
      </c>
      <c r="H76" s="22" t="n">
        <v>275</v>
      </c>
      <c r="I76" s="14">
        <f>IF(E76&gt;=0.5,IF(F76&gt;0,"Strong Rising Trend","Strong Falling Trend"),IF(E76&gt;=0.2,IF(F76&gt;0,"Moderate Rising Trend","Moderate Falling Trend"),"Weak / Unreliable Trend"))</f>
        <v/>
      </c>
      <c r="J76" s="14" t="inlineStr">
        <is>
          <t>Statistical trend only, not a meteorological forecast</t>
        </is>
      </c>
    </row>
    <row r="77" ht="15" customHeight="1" s="12">
      <c r="A77" s="14" t="inlineStr">
        <is>
          <t>Kolai Palas Kohistan</t>
        </is>
      </c>
      <c r="B77" s="14" t="inlineStr">
        <is>
          <t>Khyber Pakhtunkhwa</t>
        </is>
      </c>
      <c r="C77" s="22" t="n">
        <v>456.93</v>
      </c>
      <c r="D77" s="22" t="n">
        <v>454.35</v>
      </c>
      <c r="E77" s="21" t="n">
        <v>0.0524</v>
      </c>
      <c r="F77" s="22" t="n">
        <v>-2.583</v>
      </c>
      <c r="G77" s="22" t="n">
        <v>456.89</v>
      </c>
      <c r="H77" s="22" t="n">
        <v>454.29</v>
      </c>
      <c r="I77" s="14">
        <f>IF(E77&gt;=0.5,IF(F77&gt;0,"Strong Rising Trend","Strong Falling Trend"),IF(E77&gt;=0.2,IF(F77&gt;0,"Moderate Rising Trend","Moderate Falling Trend"),"Weak / Unreliable Trend"))</f>
        <v/>
      </c>
      <c r="J77" s="14" t="inlineStr">
        <is>
          <t>Statistical trend only, not a meteorological forecast</t>
        </is>
      </c>
    </row>
    <row r="78" ht="15" customHeight="1" s="12">
      <c r="A78" s="14" t="inlineStr">
        <is>
          <t>Korangi Karachi</t>
        </is>
      </c>
      <c r="B78" s="14" t="inlineStr">
        <is>
          <t>Sindh</t>
        </is>
      </c>
      <c r="C78" s="22" t="n">
        <v>309.88</v>
      </c>
      <c r="D78" s="22" t="n">
        <v>321.31</v>
      </c>
      <c r="E78" s="21" t="n">
        <v>0.0643</v>
      </c>
      <c r="F78" s="22" t="n">
        <v>11.421</v>
      </c>
      <c r="G78" s="22" t="n">
        <v>309.89</v>
      </c>
      <c r="H78" s="22" t="n">
        <v>321.36</v>
      </c>
      <c r="I78" s="14">
        <f>IF(E78&gt;=0.5,IF(F78&gt;0,"Strong Rising Trend","Strong Falling Trend"),IF(E78&gt;=0.2,IF(F78&gt;0,"Moderate Rising Trend","Moderate Falling Trend"),"Weak / Unreliable Trend"))</f>
        <v/>
      </c>
      <c r="J78" s="14" t="inlineStr">
        <is>
          <t>Statistical trend only, not a meteorological forecast</t>
        </is>
      </c>
    </row>
    <row r="79" ht="15" customHeight="1" s="12">
      <c r="A79" s="14" t="inlineStr">
        <is>
          <t>Kotli</t>
        </is>
      </c>
      <c r="B79" s="14" t="inlineStr">
        <is>
          <t>Azad Kashmir</t>
        </is>
      </c>
      <c r="C79" s="22" t="n">
        <v>1054.77</v>
      </c>
      <c r="D79" s="22" t="n">
        <v>1080.52</v>
      </c>
      <c r="E79" s="21" t="n">
        <v>0.4142</v>
      </c>
      <c r="F79" s="22" t="n">
        <v>25.749</v>
      </c>
      <c r="G79" s="22" t="n">
        <v>1055.18</v>
      </c>
      <c r="H79" s="22" t="n">
        <v>1081.1</v>
      </c>
      <c r="I79" s="14">
        <f>IF(E79&gt;=0.5,IF(F79&gt;0,"Strong Rising Trend","Strong Falling Trend"),IF(E79&gt;=0.2,IF(F79&gt;0,"Moderate Rising Trend","Moderate Falling Trend"),"Weak / Unreliable Trend"))</f>
        <v/>
      </c>
      <c r="J79" s="14" t="inlineStr">
        <is>
          <t>Statistical trend only, not a meteorological forecast</t>
        </is>
      </c>
    </row>
    <row r="80" ht="15" customHeight="1" s="12">
      <c r="A80" s="14" t="inlineStr">
        <is>
          <t>Kurram</t>
        </is>
      </c>
      <c r="B80" s="14" t="inlineStr">
        <is>
          <t>Khyber Pakhtunkhwa</t>
        </is>
      </c>
      <c r="C80" s="22" t="n">
        <v>225.69</v>
      </c>
      <c r="D80" s="22" t="n">
        <v>217.11</v>
      </c>
      <c r="E80" s="21" t="n">
        <v>0.2541</v>
      </c>
      <c r="F80" s="22" t="n">
        <v>-8.577</v>
      </c>
      <c r="G80" s="22" t="n">
        <v>225.59</v>
      </c>
      <c r="H80" s="22" t="n">
        <v>216.96</v>
      </c>
      <c r="I80" s="14">
        <f>IF(E80&gt;=0.5,IF(F80&gt;0,"Strong Rising Trend","Strong Falling Trend"),IF(E80&gt;=0.2,IF(F80&gt;0,"Moderate Rising Trend","Moderate Falling Trend"),"Weak / Unreliable Trend"))</f>
        <v/>
      </c>
      <c r="J80" s="14" t="inlineStr">
        <is>
          <t>Statistical trend only, not a meteorological forecast</t>
        </is>
      </c>
    </row>
    <row r="81" ht="15" customHeight="1" s="12">
      <c r="A81" s="14" t="inlineStr">
        <is>
          <t>Lahore</t>
        </is>
      </c>
      <c r="B81" s="14" t="inlineStr">
        <is>
          <t>Punjab</t>
        </is>
      </c>
      <c r="C81" s="22" t="n">
        <v>792.29</v>
      </c>
      <c r="D81" s="22" t="n">
        <v>821.83</v>
      </c>
      <c r="E81" s="21" t="n">
        <v>0.608</v>
      </c>
      <c r="F81" s="22" t="n">
        <v>29.539</v>
      </c>
      <c r="G81" s="22" t="n">
        <v>792.76</v>
      </c>
      <c r="H81" s="22" t="n">
        <v>822.5</v>
      </c>
      <c r="I81" s="14">
        <f>IF(E81&gt;=0.5,IF(F81&gt;0,"Strong Rising Trend","Strong Falling Trend"),IF(E81&gt;=0.2,IF(F81&gt;0,"Moderate Rising Trend","Moderate Falling Trend"),"Weak / Unreliable Trend"))</f>
        <v/>
      </c>
      <c r="J81" s="14" t="inlineStr">
        <is>
          <t>Statistical trend only, not a meteorological forecast</t>
        </is>
      </c>
    </row>
    <row r="82" ht="15" customHeight="1" s="12">
      <c r="A82" s="14" t="inlineStr">
        <is>
          <t>Lakki Marwat</t>
        </is>
      </c>
      <c r="B82" s="14" t="inlineStr">
        <is>
          <t>Khyber Pakhtunkhwa</t>
        </is>
      </c>
      <c r="C82" s="22" t="n">
        <v>279.15</v>
      </c>
      <c r="D82" s="22" t="n">
        <v>277.62</v>
      </c>
      <c r="E82" s="21" t="n">
        <v>0.0083</v>
      </c>
      <c r="F82" s="22" t="n">
        <v>-1.523</v>
      </c>
      <c r="G82" s="22" t="n">
        <v>279.2</v>
      </c>
      <c r="H82" s="22" t="n">
        <v>277.68</v>
      </c>
      <c r="I82" s="14">
        <f>IF(E82&gt;=0.5,IF(F82&gt;0,"Strong Rising Trend","Strong Falling Trend"),IF(E82&gt;=0.2,IF(F82&gt;0,"Moderate Rising Trend","Moderate Falling Trend"),"Weak / Unreliable Trend"))</f>
        <v/>
      </c>
      <c r="J82" s="14" t="inlineStr">
        <is>
          <t>Statistical trend only, not a meteorological forecast</t>
        </is>
      </c>
    </row>
    <row r="83" ht="15" customHeight="1" s="12">
      <c r="A83" s="14" t="inlineStr">
        <is>
          <t>Larkana</t>
        </is>
      </c>
      <c r="B83" s="14" t="inlineStr">
        <is>
          <t>Sindh</t>
        </is>
      </c>
      <c r="C83" s="22" t="n">
        <v>116.24</v>
      </c>
      <c r="D83" s="22" t="n">
        <v>121.47</v>
      </c>
      <c r="E83" s="21" t="n">
        <v>0.107</v>
      </c>
      <c r="F83" s="22" t="n">
        <v>5.231</v>
      </c>
      <c r="G83" s="22" t="n">
        <v>116.28</v>
      </c>
      <c r="H83" s="22" t="n">
        <v>121.54</v>
      </c>
      <c r="I83" s="14">
        <f>IF(E83&gt;=0.5,IF(F83&gt;0,"Strong Rising Trend","Strong Falling Trend"),IF(E83&gt;=0.2,IF(F83&gt;0,"Moderate Rising Trend","Moderate Falling Trend"),"Weak / Unreliable Trend"))</f>
        <v/>
      </c>
      <c r="J83" s="14" t="inlineStr">
        <is>
          <t>Statistical trend only, not a meteorological forecast</t>
        </is>
      </c>
    </row>
    <row r="84" ht="15" customHeight="1" s="12">
      <c r="A84" s="14" t="inlineStr">
        <is>
          <t>Lasbela</t>
        </is>
      </c>
      <c r="B84" s="14" t="inlineStr">
        <is>
          <t>Balochistan</t>
        </is>
      </c>
      <c r="C84" s="22" t="n">
        <v>203.04</v>
      </c>
      <c r="D84" s="22" t="n">
        <v>210.09</v>
      </c>
      <c r="E84" s="21" t="n">
        <v>0.0653</v>
      </c>
      <c r="F84" s="22" t="n">
        <v>7.047</v>
      </c>
      <c r="G84" s="22" t="n">
        <v>203.07</v>
      </c>
      <c r="H84" s="22" t="n">
        <v>210.15</v>
      </c>
      <c r="I84" s="14">
        <f>IF(E84&gt;=0.5,IF(F84&gt;0,"Strong Rising Trend","Strong Falling Trend"),IF(E84&gt;=0.2,IF(F84&gt;0,"Moderate Rising Trend","Moderate Falling Trend"),"Weak / Unreliable Trend"))</f>
        <v/>
      </c>
      <c r="J84" s="14" t="inlineStr">
        <is>
          <t>Statistical trend only, not a meteorological forecast</t>
        </is>
      </c>
    </row>
    <row r="85" ht="15" customHeight="1" s="12">
      <c r="A85" s="14" t="inlineStr">
        <is>
          <t>Lehri</t>
        </is>
      </c>
      <c r="B85" s="14" t="inlineStr">
        <is>
          <t>Balochistan</t>
        </is>
      </c>
      <c r="C85" s="22" t="n">
        <v>146.18</v>
      </c>
      <c r="D85" s="22" t="n">
        <v>155.01</v>
      </c>
      <c r="E85" s="21" t="n">
        <v>0.278</v>
      </c>
      <c r="F85" s="22" t="n">
        <v>8.827999999999999</v>
      </c>
      <c r="G85" s="22" t="n">
        <v>146.28</v>
      </c>
      <c r="H85" s="22" t="n">
        <v>155.17</v>
      </c>
      <c r="I85" s="14">
        <f>IF(E85&gt;=0.5,IF(F85&gt;0,"Strong Rising Trend","Strong Falling Trend"),IF(E85&gt;=0.2,IF(F85&gt;0,"Moderate Rising Trend","Moderate Falling Trend"),"Weak / Unreliable Trend"))</f>
        <v/>
      </c>
      <c r="J85" s="14" t="inlineStr">
        <is>
          <t>Statistical trend only, not a meteorological forecast</t>
        </is>
      </c>
    </row>
    <row r="86" ht="15" customHeight="1" s="12">
      <c r="A86" s="14" t="inlineStr">
        <is>
          <t>Leiah</t>
        </is>
      </c>
      <c r="B86" s="14" t="inlineStr">
        <is>
          <t>Punjab</t>
        </is>
      </c>
      <c r="C86" s="22" t="n">
        <v>222.72</v>
      </c>
      <c r="D86" s="22" t="n">
        <v>225.57</v>
      </c>
      <c r="E86" s="21" t="n">
        <v>0.0314</v>
      </c>
      <c r="F86" s="22" t="n">
        <v>2.854</v>
      </c>
      <c r="G86" s="22" t="n">
        <v>222.8</v>
      </c>
      <c r="H86" s="22" t="n">
        <v>225.68</v>
      </c>
      <c r="I86" s="14">
        <f>IF(E86&gt;=0.5,IF(F86&gt;0,"Strong Rising Trend","Strong Falling Trend"),IF(E86&gt;=0.2,IF(F86&gt;0,"Moderate Rising Trend","Moderate Falling Trend"),"Weak / Unreliable Trend"))</f>
        <v/>
      </c>
      <c r="J86" s="14" t="inlineStr">
        <is>
          <t>Statistical trend only, not a meteorological forecast</t>
        </is>
      </c>
    </row>
    <row r="87" ht="15" customHeight="1" s="12">
      <c r="A87" s="14" t="inlineStr">
        <is>
          <t>Lodhran</t>
        </is>
      </c>
      <c r="B87" s="14" t="inlineStr">
        <is>
          <t>Punjab</t>
        </is>
      </c>
      <c r="C87" s="22" t="n">
        <v>176.1</v>
      </c>
      <c r="D87" s="22" t="n">
        <v>181.95</v>
      </c>
      <c r="E87" s="21" t="n">
        <v>0.11</v>
      </c>
      <c r="F87" s="22" t="n">
        <v>5.85</v>
      </c>
      <c r="G87" s="22" t="n">
        <v>176.22</v>
      </c>
      <c r="H87" s="22" t="n">
        <v>182.11</v>
      </c>
      <c r="I87" s="14">
        <f>IF(E87&gt;=0.5,IF(F87&gt;0,"Strong Rising Trend","Strong Falling Trend"),IF(E87&gt;=0.2,IF(F87&gt;0,"Moderate Rising Trend","Moderate Falling Trend"),"Weak / Unreliable Trend"))</f>
        <v/>
      </c>
      <c r="J87" s="14" t="inlineStr">
        <is>
          <t>Statistical trend only, not a meteorological forecast</t>
        </is>
      </c>
    </row>
    <row r="88" ht="15" customHeight="1" s="12">
      <c r="A88" s="14" t="inlineStr">
        <is>
          <t>Loralai</t>
        </is>
      </c>
      <c r="B88" s="14" t="inlineStr">
        <is>
          <t>Balochistan</t>
        </is>
      </c>
      <c r="C88" s="22" t="n">
        <v>178.96</v>
      </c>
      <c r="D88" s="22" t="n">
        <v>186.32</v>
      </c>
      <c r="E88" s="21" t="n">
        <v>0.2312</v>
      </c>
      <c r="F88" s="22" t="n">
        <v>7.359</v>
      </c>
      <c r="G88" s="22" t="n">
        <v>179.08</v>
      </c>
      <c r="H88" s="22" t="n">
        <v>186.49</v>
      </c>
      <c r="I88" s="14">
        <f>IF(E88&gt;=0.5,IF(F88&gt;0,"Strong Rising Trend","Strong Falling Trend"),IF(E88&gt;=0.2,IF(F88&gt;0,"Moderate Rising Trend","Moderate Falling Trend"),"Weak / Unreliable Trend"))</f>
        <v/>
      </c>
      <c r="J88" s="14" t="inlineStr">
        <is>
          <t>Statistical trend only, not a meteorological forecast</t>
        </is>
      </c>
    </row>
    <row r="89" ht="15" customHeight="1" s="12">
      <c r="A89" s="14" t="inlineStr">
        <is>
          <t>Lower Dir</t>
        </is>
      </c>
      <c r="B89" s="14" t="inlineStr">
        <is>
          <t>Khyber Pakhtunkhwa</t>
        </is>
      </c>
      <c r="C89" s="22" t="n">
        <v>349.52</v>
      </c>
      <c r="D89" s="22" t="n">
        <v>341.48</v>
      </c>
      <c r="E89" s="21" t="n">
        <v>0.1302</v>
      </c>
      <c r="F89" s="22" t="n">
        <v>-8.041</v>
      </c>
      <c r="G89" s="22" t="n">
        <v>349.4</v>
      </c>
      <c r="H89" s="22" t="n">
        <v>341.31</v>
      </c>
      <c r="I89" s="14">
        <f>IF(E89&gt;=0.5,IF(F89&gt;0,"Strong Rising Trend","Strong Falling Trend"),IF(E89&gt;=0.2,IF(F89&gt;0,"Moderate Rising Trend","Moderate Falling Trend"),"Weak / Unreliable Trend"))</f>
        <v/>
      </c>
      <c r="J89" s="14" t="inlineStr">
        <is>
          <t>Statistical trend only, not a meteorological forecast</t>
        </is>
      </c>
    </row>
    <row r="90" ht="15" customHeight="1" s="12">
      <c r="A90" s="14" t="inlineStr">
        <is>
          <t>Malakand</t>
        </is>
      </c>
      <c r="B90" s="14" t="inlineStr">
        <is>
          <t>Khyber Pakhtunkhwa</t>
        </is>
      </c>
      <c r="C90" s="22" t="n">
        <v>290.26</v>
      </c>
      <c r="D90" s="22" t="n">
        <v>276.34</v>
      </c>
      <c r="E90" s="21" t="n">
        <v>0.3509</v>
      </c>
      <c r="F90" s="22" t="n">
        <v>-13.93</v>
      </c>
      <c r="G90" s="22" t="n">
        <v>290.15</v>
      </c>
      <c r="H90" s="22" t="n">
        <v>276.14</v>
      </c>
      <c r="I90" s="14">
        <f>IF(E90&gt;=0.5,IF(F90&gt;0,"Strong Rising Trend","Strong Falling Trend"),IF(E90&gt;=0.2,IF(F90&gt;0,"Moderate Rising Trend","Moderate Falling Trend"),"Weak / Unreliable Trend"))</f>
        <v/>
      </c>
      <c r="J90" s="14" t="inlineStr">
        <is>
          <t>Statistical trend only, not a meteorological forecast</t>
        </is>
      </c>
    </row>
    <row r="91" ht="15" customHeight="1" s="12">
      <c r="A91" s="14" t="inlineStr">
        <is>
          <t>Malir Karachi</t>
        </is>
      </c>
      <c r="B91" s="14" t="inlineStr">
        <is>
          <t>Sindh</t>
        </is>
      </c>
      <c r="C91" s="22" t="n">
        <v>284.19</v>
      </c>
      <c r="D91" s="22" t="n">
        <v>294.01</v>
      </c>
      <c r="E91" s="21" t="n">
        <v>0.0615</v>
      </c>
      <c r="F91" s="22" t="n">
        <v>9.814</v>
      </c>
      <c r="G91" s="22" t="n">
        <v>284.21</v>
      </c>
      <c r="H91" s="22" t="n">
        <v>294.06</v>
      </c>
      <c r="I91" s="14">
        <f>IF(E91&gt;=0.5,IF(F91&gt;0,"Strong Rising Trend","Strong Falling Trend"),IF(E91&gt;=0.2,IF(F91&gt;0,"Moderate Rising Trend","Moderate Falling Trend"),"Weak / Unreliable Trend"))</f>
        <v/>
      </c>
      <c r="J91" s="14" t="inlineStr">
        <is>
          <t>Statistical trend only, not a meteorological forecast</t>
        </is>
      </c>
    </row>
    <row r="92" ht="15" customHeight="1" s="12">
      <c r="A92" s="14" t="inlineStr">
        <is>
          <t>Mandi Bahauddin</t>
        </is>
      </c>
      <c r="B92" s="14" t="inlineStr">
        <is>
          <t>Punjab</t>
        </is>
      </c>
      <c r="C92" s="22" t="n">
        <v>589.29</v>
      </c>
      <c r="D92" s="22" t="n">
        <v>604.28</v>
      </c>
      <c r="E92" s="21" t="n">
        <v>0.3255</v>
      </c>
      <c r="F92" s="22" t="n">
        <v>14.988</v>
      </c>
      <c r="G92" s="22" t="n">
        <v>589.53</v>
      </c>
      <c r="H92" s="22" t="n">
        <v>604.62</v>
      </c>
      <c r="I92" s="14">
        <f>IF(E92&gt;=0.5,IF(F92&gt;0,"Strong Rising Trend","Strong Falling Trend"),IF(E92&gt;=0.2,IF(F92&gt;0,"Moderate Rising Trend","Moderate Falling Trend"),"Weak / Unreliable Trend"))</f>
        <v/>
      </c>
      <c r="J92" s="14" t="inlineStr">
        <is>
          <t>Statistical trend only, not a meteorological forecast</t>
        </is>
      </c>
    </row>
    <row r="93" ht="15" customHeight="1" s="12">
      <c r="A93" s="14" t="inlineStr">
        <is>
          <t>Mansehra</t>
        </is>
      </c>
      <c r="B93" s="14" t="inlineStr">
        <is>
          <t>Khyber Pakhtunkhwa</t>
        </is>
      </c>
      <c r="C93" s="22" t="n">
        <v>618.97</v>
      </c>
      <c r="D93" s="22" t="n">
        <v>628.0599999999999</v>
      </c>
      <c r="E93" s="21" t="n">
        <v>0.2994</v>
      </c>
      <c r="F93" s="22" t="n">
        <v>9.083</v>
      </c>
      <c r="G93" s="22" t="n">
        <v>619.1</v>
      </c>
      <c r="H93" s="22" t="n">
        <v>628.24</v>
      </c>
      <c r="I93" s="14">
        <f>IF(E93&gt;=0.5,IF(F93&gt;0,"Strong Rising Trend","Strong Falling Trend"),IF(E93&gt;=0.2,IF(F93&gt;0,"Moderate Rising Trend","Moderate Falling Trend"),"Weak / Unreliable Trend"))</f>
        <v/>
      </c>
      <c r="J93" s="14" t="inlineStr">
        <is>
          <t>Statistical trend only, not a meteorological forecast</t>
        </is>
      </c>
    </row>
    <row r="94" ht="15" customHeight="1" s="12">
      <c r="A94" s="14" t="inlineStr">
        <is>
          <t>Mardan</t>
        </is>
      </c>
      <c r="B94" s="14" t="inlineStr">
        <is>
          <t>Khyber Pakhtunkhwa</t>
        </is>
      </c>
      <c r="C94" s="22" t="n">
        <v>374.55</v>
      </c>
      <c r="D94" s="22" t="n">
        <v>366.95</v>
      </c>
      <c r="E94" s="21" t="n">
        <v>0.1946</v>
      </c>
      <c r="F94" s="22" t="n">
        <v>-7.602</v>
      </c>
      <c r="G94" s="22" t="n">
        <v>374.5</v>
      </c>
      <c r="H94" s="22" t="n">
        <v>366.86</v>
      </c>
      <c r="I94" s="14">
        <f>IF(E94&gt;=0.5,IF(F94&gt;0,"Strong Rising Trend","Strong Falling Trend"),IF(E94&gt;=0.2,IF(F94&gt;0,"Moderate Rising Trend","Moderate Falling Trend"),"Weak / Unreliable Trend"))</f>
        <v/>
      </c>
      <c r="J94" s="14" t="inlineStr">
        <is>
          <t>Statistical trend only, not a meteorological forecast</t>
        </is>
      </c>
    </row>
    <row r="95" ht="15" customHeight="1" s="12">
      <c r="A95" s="14" t="inlineStr">
        <is>
          <t>Mastung</t>
        </is>
      </c>
      <c r="B95" s="14" t="inlineStr">
        <is>
          <t>Balochistan</t>
        </is>
      </c>
      <c r="C95" s="22" t="n">
        <v>48.48</v>
      </c>
      <c r="D95" s="22" t="n">
        <v>52.27</v>
      </c>
      <c r="E95" s="21" t="n">
        <v>0.3769</v>
      </c>
      <c r="F95" s="22" t="n">
        <v>3.784</v>
      </c>
      <c r="G95" s="22" t="n">
        <v>48.53</v>
      </c>
      <c r="H95" s="22" t="n">
        <v>52.34</v>
      </c>
      <c r="I95" s="14">
        <f>IF(E95&gt;=0.5,IF(F95&gt;0,"Strong Rising Trend","Strong Falling Trend"),IF(E95&gt;=0.2,IF(F95&gt;0,"Moderate Rising Trend","Moderate Falling Trend"),"Weak / Unreliable Trend"))</f>
        <v/>
      </c>
      <c r="J95" s="14" t="inlineStr">
        <is>
          <t>Statistical trend only, not a meteorological forecast</t>
        </is>
      </c>
    </row>
    <row r="96" ht="15" customHeight="1" s="12">
      <c r="A96" s="14" t="inlineStr">
        <is>
          <t>Matiari</t>
        </is>
      </c>
      <c r="B96" s="14" t="inlineStr">
        <is>
          <t>Sindh</t>
        </is>
      </c>
      <c r="C96" s="22" t="n">
        <v>239.52</v>
      </c>
      <c r="D96" s="22" t="n">
        <v>248.92</v>
      </c>
      <c r="E96" s="21" t="n">
        <v>0.0915</v>
      </c>
      <c r="F96" s="22" t="n">
        <v>9.404</v>
      </c>
      <c r="G96" s="22" t="n">
        <v>239.58</v>
      </c>
      <c r="H96" s="22" t="n">
        <v>249.04</v>
      </c>
      <c r="I96" s="14">
        <f>IF(E96&gt;=0.5,IF(F96&gt;0,"Strong Rising Trend","Strong Falling Trend"),IF(E96&gt;=0.2,IF(F96&gt;0,"Moderate Rising Trend","Moderate Falling Trend"),"Weak / Unreliable Trend"))</f>
        <v/>
      </c>
      <c r="J96" s="14" t="inlineStr">
        <is>
          <t>Statistical trend only, not a meteorological forecast</t>
        </is>
      </c>
    </row>
    <row r="97" ht="15" customHeight="1" s="12">
      <c r="A97" s="14" t="inlineStr">
        <is>
          <t>Mianwali</t>
        </is>
      </c>
      <c r="B97" s="14" t="inlineStr">
        <is>
          <t>Punjab</t>
        </is>
      </c>
      <c r="C97" s="22" t="n">
        <v>354.83</v>
      </c>
      <c r="D97" s="22" t="n">
        <v>350.4</v>
      </c>
      <c r="E97" s="21" t="n">
        <v>0.0677</v>
      </c>
      <c r="F97" s="22" t="n">
        <v>-4.425</v>
      </c>
      <c r="G97" s="22" t="n">
        <v>354.86</v>
      </c>
      <c r="H97" s="22" t="n">
        <v>350.42</v>
      </c>
      <c r="I97" s="14">
        <f>IF(E97&gt;=0.5,IF(F97&gt;0,"Strong Rising Trend","Strong Falling Trend"),IF(E97&gt;=0.2,IF(F97&gt;0,"Moderate Rising Trend","Moderate Falling Trend"),"Weak / Unreliable Trend"))</f>
        <v/>
      </c>
      <c r="J97" s="14" t="inlineStr">
        <is>
          <t>Statistical trend only, not a meteorological forecast</t>
        </is>
      </c>
    </row>
    <row r="98" ht="15" customHeight="1" s="12">
      <c r="A98" s="14" t="inlineStr">
        <is>
          <t>Mirpur</t>
        </is>
      </c>
      <c r="B98" s="14" t="inlineStr">
        <is>
          <t>Azad Kashmir</t>
        </is>
      </c>
      <c r="C98" s="22" t="n">
        <v>993.89</v>
      </c>
      <c r="D98" s="22" t="n">
        <v>1020.03</v>
      </c>
      <c r="E98" s="21" t="n">
        <v>0.427</v>
      </c>
      <c r="F98" s="22" t="n">
        <v>26.135</v>
      </c>
      <c r="G98" s="22" t="n">
        <v>994.3</v>
      </c>
      <c r="H98" s="22" t="n">
        <v>1020.62</v>
      </c>
      <c r="I98" s="14">
        <f>IF(E98&gt;=0.5,IF(F98&gt;0,"Strong Rising Trend","Strong Falling Trend"),IF(E98&gt;=0.2,IF(F98&gt;0,"Moderate Rising Trend","Moderate Falling Trend"),"Weak / Unreliable Trend"))</f>
        <v/>
      </c>
      <c r="J98" s="14" t="inlineStr">
        <is>
          <t>Statistical trend only, not a meteorological forecast</t>
        </is>
      </c>
    </row>
    <row r="99" ht="15" customHeight="1" s="12">
      <c r="A99" s="14" t="inlineStr">
        <is>
          <t>Mirpur Khas</t>
        </is>
      </c>
      <c r="B99" s="14" t="inlineStr">
        <is>
          <t>Sindh</t>
        </is>
      </c>
      <c r="C99" s="22" t="n">
        <v>315.43</v>
      </c>
      <c r="D99" s="22" t="n">
        <v>327.31</v>
      </c>
      <c r="E99" s="21" t="n">
        <v>0.1557</v>
      </c>
      <c r="F99" s="22" t="n">
        <v>11.875</v>
      </c>
      <c r="G99" s="22" t="n">
        <v>315.55</v>
      </c>
      <c r="H99" s="22" t="n">
        <v>327.5</v>
      </c>
      <c r="I99" s="14">
        <f>IF(E99&gt;=0.5,IF(F99&gt;0,"Strong Rising Trend","Strong Falling Trend"),IF(E99&gt;=0.2,IF(F99&gt;0,"Moderate Rising Trend","Moderate Falling Trend"),"Weak / Unreliable Trend"))</f>
        <v/>
      </c>
      <c r="J99" s="14" t="inlineStr">
        <is>
          <t>Statistical trend only, not a meteorological forecast</t>
        </is>
      </c>
    </row>
    <row r="100" ht="15" customHeight="1" s="12">
      <c r="A100" s="14" t="inlineStr">
        <is>
          <t>Mohmand</t>
        </is>
      </c>
      <c r="B100" s="14" t="inlineStr">
        <is>
          <t>Khyber Pakhtunkhwa</t>
        </is>
      </c>
      <c r="C100" s="22" t="n">
        <v>91.65000000000001</v>
      </c>
      <c r="D100" s="22" t="n">
        <v>85.36</v>
      </c>
      <c r="E100" s="21" t="n">
        <v>0.3651</v>
      </c>
      <c r="F100" s="22" t="n">
        <v>-6.295</v>
      </c>
      <c r="G100" s="22" t="n">
        <v>91.59999999999999</v>
      </c>
      <c r="H100" s="22" t="n">
        <v>85.26000000000001</v>
      </c>
      <c r="I100" s="14">
        <f>IF(E100&gt;=0.5,IF(F100&gt;0,"Strong Rising Trend","Strong Falling Trend"),IF(E100&gt;=0.2,IF(F100&gt;0,"Moderate Rising Trend","Moderate Falling Trend"),"Weak / Unreliable Trend"))</f>
        <v/>
      </c>
      <c r="J100" s="14" t="inlineStr">
        <is>
          <t>Statistical trend only, not a meteorological forecast</t>
        </is>
      </c>
    </row>
    <row r="101" ht="15" customHeight="1" s="12">
      <c r="A101" s="14" t="inlineStr">
        <is>
          <t>Multan</t>
        </is>
      </c>
      <c r="B101" s="14" t="inlineStr">
        <is>
          <t>Punjab</t>
        </is>
      </c>
      <c r="C101" s="22" t="n">
        <v>154.93</v>
      </c>
      <c r="D101" s="22" t="n">
        <v>159.81</v>
      </c>
      <c r="E101" s="21" t="n">
        <v>0.1108</v>
      </c>
      <c r="F101" s="22" t="n">
        <v>4.874</v>
      </c>
      <c r="G101" s="22" t="n">
        <v>155.04</v>
      </c>
      <c r="H101" s="22" t="n">
        <v>159.95</v>
      </c>
      <c r="I101" s="14">
        <f>IF(E101&gt;=0.5,IF(F101&gt;0,"Strong Rising Trend","Strong Falling Trend"),IF(E101&gt;=0.2,IF(F101&gt;0,"Moderate Rising Trend","Moderate Falling Trend"),"Weak / Unreliable Trend"))</f>
        <v/>
      </c>
      <c r="J101" s="14" t="inlineStr">
        <is>
          <t>Statistical trend only, not a meteorological forecast</t>
        </is>
      </c>
    </row>
    <row r="102" ht="15" customHeight="1" s="12">
      <c r="A102" s="14" t="inlineStr">
        <is>
          <t>Musakhel</t>
        </is>
      </c>
      <c r="B102" s="14" t="inlineStr">
        <is>
          <t>Balochistan</t>
        </is>
      </c>
      <c r="C102" s="22" t="n">
        <v>274.35</v>
      </c>
      <c r="D102" s="22" t="n">
        <v>280.72</v>
      </c>
      <c r="E102" s="21" t="n">
        <v>0.1211</v>
      </c>
      <c r="F102" s="22" t="n">
        <v>6.377</v>
      </c>
      <c r="G102" s="22" t="n">
        <v>274.46</v>
      </c>
      <c r="H102" s="22" t="n">
        <v>280.89</v>
      </c>
      <c r="I102" s="14">
        <f>IF(E102&gt;=0.5,IF(F102&gt;0,"Strong Rising Trend","Strong Falling Trend"),IF(E102&gt;=0.2,IF(F102&gt;0,"Moderate Rising Trend","Moderate Falling Trend"),"Weak / Unreliable Trend"))</f>
        <v/>
      </c>
      <c r="J102" s="14" t="inlineStr">
        <is>
          <t>Statistical trend only, not a meteorological forecast</t>
        </is>
      </c>
    </row>
    <row r="103" ht="15" customHeight="1" s="12">
      <c r="A103" s="14" t="inlineStr">
        <is>
          <t>Muzaffarabad</t>
        </is>
      </c>
      <c r="B103" s="14" t="inlineStr">
        <is>
          <t>Azad Kashmir</t>
        </is>
      </c>
      <c r="C103" s="22" t="n">
        <v>706.66</v>
      </c>
      <c r="D103" s="22" t="n">
        <v>722.48</v>
      </c>
      <c r="E103" s="21" t="n">
        <v>0.3077</v>
      </c>
      <c r="F103" s="22" t="n">
        <v>15.813</v>
      </c>
      <c r="G103" s="22" t="n">
        <v>706.91</v>
      </c>
      <c r="H103" s="22" t="n">
        <v>722.83</v>
      </c>
      <c r="I103" s="14">
        <f>IF(E103&gt;=0.5,IF(F103&gt;0,"Strong Rising Trend","Strong Falling Trend"),IF(E103&gt;=0.2,IF(F103&gt;0,"Moderate Rising Trend","Moderate Falling Trend"),"Weak / Unreliable Trend"))</f>
        <v/>
      </c>
      <c r="J103" s="14" t="inlineStr">
        <is>
          <t>Statistical trend only, not a meteorological forecast</t>
        </is>
      </c>
    </row>
    <row r="104" ht="15" customHeight="1" s="12">
      <c r="A104" s="14" t="inlineStr">
        <is>
          <t>Muzaffargarh</t>
        </is>
      </c>
      <c r="B104" s="14" t="inlineStr">
        <is>
          <t>Punjab</t>
        </is>
      </c>
      <c r="C104" s="22" t="n">
        <v>169.35</v>
      </c>
      <c r="D104" s="22" t="n">
        <v>173.4</v>
      </c>
      <c r="E104" s="21" t="n">
        <v>0.0716</v>
      </c>
      <c r="F104" s="22" t="n">
        <v>4.051</v>
      </c>
      <c r="G104" s="22" t="n">
        <v>169.44</v>
      </c>
      <c r="H104" s="22" t="n">
        <v>173.52</v>
      </c>
      <c r="I104" s="14">
        <f>IF(E104&gt;=0.5,IF(F104&gt;0,"Strong Rising Trend","Strong Falling Trend"),IF(E104&gt;=0.2,IF(F104&gt;0,"Moderate Rising Trend","Moderate Falling Trend"),"Weak / Unreliable Trend"))</f>
        <v/>
      </c>
      <c r="J104" s="14" t="inlineStr">
        <is>
          <t>Statistical trend only, not a meteorological forecast</t>
        </is>
      </c>
    </row>
    <row r="105" ht="15" customHeight="1" s="12">
      <c r="A105" s="14" t="inlineStr">
        <is>
          <t>Nagar</t>
        </is>
      </c>
      <c r="B105" s="14" t="inlineStr">
        <is>
          <t>Gilgit Baltistan</t>
        </is>
      </c>
      <c r="C105" s="22" t="n">
        <v>122.38</v>
      </c>
      <c r="D105" s="22" t="n">
        <v>121.96</v>
      </c>
      <c r="E105" s="21" t="n">
        <v>0.0154</v>
      </c>
      <c r="F105" s="22" t="n">
        <v>-0.416</v>
      </c>
      <c r="G105" s="22" t="n">
        <v>122.38</v>
      </c>
      <c r="H105" s="22" t="n">
        <v>121.96</v>
      </c>
      <c r="I105" s="14">
        <f>IF(E105&gt;=0.5,IF(F105&gt;0,"Strong Rising Trend","Strong Falling Trend"),IF(E105&gt;=0.2,IF(F105&gt;0,"Moderate Rising Trend","Moderate Falling Trend"),"Weak / Unreliable Trend"))</f>
        <v/>
      </c>
      <c r="J105" s="14" t="inlineStr">
        <is>
          <t>Statistical trend only, not a meteorological forecast</t>
        </is>
      </c>
    </row>
    <row r="106" ht="15" customHeight="1" s="12">
      <c r="A106" s="14" t="inlineStr">
        <is>
          <t>Nankana Sahib</t>
        </is>
      </c>
      <c r="B106" s="14" t="inlineStr">
        <is>
          <t>Punjab</t>
        </is>
      </c>
      <c r="C106" s="22" t="n">
        <v>560.97</v>
      </c>
      <c r="D106" s="22" t="n">
        <v>585.04</v>
      </c>
      <c r="E106" s="21" t="n">
        <v>0.7169</v>
      </c>
      <c r="F106" s="22" t="n">
        <v>24.065</v>
      </c>
      <c r="G106" s="22" t="n">
        <v>561.34</v>
      </c>
      <c r="H106" s="22" t="n">
        <v>585.5599999999999</v>
      </c>
      <c r="I106" s="14">
        <f>IF(E106&gt;=0.5,IF(F106&gt;0,"Strong Rising Trend","Strong Falling Trend"),IF(E106&gt;=0.2,IF(F106&gt;0,"Moderate Rising Trend","Moderate Falling Trend"),"Weak / Unreliable Trend"))</f>
        <v/>
      </c>
      <c r="J106" s="14" t="inlineStr">
        <is>
          <t>Statistical trend only, not a meteorological forecast</t>
        </is>
      </c>
    </row>
    <row r="107" ht="15" customHeight="1" s="12">
      <c r="A107" s="14" t="inlineStr">
        <is>
          <t>Narowal</t>
        </is>
      </c>
      <c r="B107" s="14" t="inlineStr">
        <is>
          <t>Punjab</t>
        </is>
      </c>
      <c r="C107" s="22" t="n">
        <v>1005.4</v>
      </c>
      <c r="D107" s="22" t="n">
        <v>1024.83</v>
      </c>
      <c r="E107" s="21" t="n">
        <v>0.2878</v>
      </c>
      <c r="F107" s="22" t="n">
        <v>19.429</v>
      </c>
      <c r="G107" s="22" t="n">
        <v>1005.69</v>
      </c>
      <c r="H107" s="22" t="n">
        <v>1025.25</v>
      </c>
      <c r="I107" s="14">
        <f>IF(E107&gt;=0.5,IF(F107&gt;0,"Strong Rising Trend","Strong Falling Trend"),IF(E107&gt;=0.2,IF(F107&gt;0,"Moderate Rising Trend","Moderate Falling Trend"),"Weak / Unreliable Trend"))</f>
        <v/>
      </c>
      <c r="J107" s="14" t="inlineStr">
        <is>
          <t>Statistical trend only, not a meteorological forecast</t>
        </is>
      </c>
    </row>
    <row r="108" ht="15" customHeight="1" s="12">
      <c r="A108" s="14" t="inlineStr">
        <is>
          <t>Nasirabad</t>
        </is>
      </c>
      <c r="B108" s="14" t="inlineStr">
        <is>
          <t>Balochistan</t>
        </is>
      </c>
      <c r="C108" s="22" t="n">
        <v>138.27</v>
      </c>
      <c r="D108" s="22" t="n">
        <v>146.86</v>
      </c>
      <c r="E108" s="21" t="n">
        <v>0.2886</v>
      </c>
      <c r="F108" s="22" t="n">
        <v>8.583</v>
      </c>
      <c r="G108" s="22" t="n">
        <v>138.37</v>
      </c>
      <c r="H108" s="22" t="n">
        <v>147.01</v>
      </c>
      <c r="I108" s="14">
        <f>IF(E108&gt;=0.5,IF(F108&gt;0,"Strong Rising Trend","Strong Falling Trend"),IF(E108&gt;=0.2,IF(F108&gt;0,"Moderate Rising Trend","Moderate Falling Trend"),"Weak / Unreliable Trend"))</f>
        <v/>
      </c>
      <c r="J108" s="14" t="inlineStr">
        <is>
          <t>Statistical trend only, not a meteorological forecast</t>
        </is>
      </c>
    </row>
    <row r="109" ht="15" customHeight="1" s="12">
      <c r="A109" s="14" t="inlineStr">
        <is>
          <t>Naushahro Feroze</t>
        </is>
      </c>
      <c r="B109" s="14" t="inlineStr">
        <is>
          <t>Sindh</t>
        </is>
      </c>
      <c r="C109" s="22" t="n">
        <v>201.27</v>
      </c>
      <c r="D109" s="22" t="n">
        <v>210.34</v>
      </c>
      <c r="E109" s="21" t="n">
        <v>0.08409999999999999</v>
      </c>
      <c r="F109" s="22" t="n">
        <v>9.071999999999999</v>
      </c>
      <c r="G109" s="22" t="n">
        <v>201.32</v>
      </c>
      <c r="H109" s="22" t="n">
        <v>210.44</v>
      </c>
      <c r="I109" s="14">
        <f>IF(E109&gt;=0.5,IF(F109&gt;0,"Strong Rising Trend","Strong Falling Trend"),IF(E109&gt;=0.2,IF(F109&gt;0,"Moderate Rising Trend","Moderate Falling Trend"),"Weak / Unreliable Trend"))</f>
        <v/>
      </c>
      <c r="J109" s="14" t="inlineStr">
        <is>
          <t>Statistical trend only, not a meteorological forecast</t>
        </is>
      </c>
    </row>
    <row r="110" ht="15" customHeight="1" s="12">
      <c r="A110" s="14" t="inlineStr">
        <is>
          <t>Neelum</t>
        </is>
      </c>
      <c r="B110" s="14" t="inlineStr">
        <is>
          <t>Azad Kashmir</t>
        </is>
      </c>
      <c r="C110" s="22" t="n">
        <v>444.3</v>
      </c>
      <c r="D110" s="22" t="n">
        <v>450.33</v>
      </c>
      <c r="E110" s="21" t="n">
        <v>0.2252</v>
      </c>
      <c r="F110" s="22" t="n">
        <v>6.023</v>
      </c>
      <c r="G110" s="22" t="n">
        <v>444.39</v>
      </c>
      <c r="H110" s="22" t="n">
        <v>450.45</v>
      </c>
      <c r="I110" s="14">
        <f>IF(E110&gt;=0.5,IF(F110&gt;0,"Strong Rising Trend","Strong Falling Trend"),IF(E110&gt;=0.2,IF(F110&gt;0,"Moderate Rising Trend","Moderate Falling Trend"),"Weak / Unreliable Trend"))</f>
        <v/>
      </c>
      <c r="J110" s="14" t="inlineStr">
        <is>
          <t>Statistical trend only, not a meteorological forecast</t>
        </is>
      </c>
    </row>
    <row r="111" ht="15" customHeight="1" s="12">
      <c r="A111" s="14" t="inlineStr">
        <is>
          <t>North Waziristan</t>
        </is>
      </c>
      <c r="B111" s="14" t="inlineStr">
        <is>
          <t>Khyber Pakhtunkhwa</t>
        </is>
      </c>
      <c r="C111" s="22" t="n">
        <v>188.76</v>
      </c>
      <c r="D111" s="22" t="n">
        <v>185.03</v>
      </c>
      <c r="E111" s="21" t="n">
        <v>0.08160000000000001</v>
      </c>
      <c r="F111" s="22" t="n">
        <v>-3.733</v>
      </c>
      <c r="G111" s="22" t="n">
        <v>188.72</v>
      </c>
      <c r="H111" s="22" t="n">
        <v>184.97</v>
      </c>
      <c r="I111" s="14">
        <f>IF(E111&gt;=0.5,IF(F111&gt;0,"Strong Rising Trend","Strong Falling Trend"),IF(E111&gt;=0.2,IF(F111&gt;0,"Moderate Rising Trend","Moderate Falling Trend"),"Weak / Unreliable Trend"))</f>
        <v/>
      </c>
      <c r="J111" s="14" t="inlineStr">
        <is>
          <t>Statistical trend only, not a meteorological forecast</t>
        </is>
      </c>
    </row>
    <row r="112" ht="15" customHeight="1" s="12">
      <c r="A112" s="14" t="inlineStr">
        <is>
          <t>Nowshera</t>
        </is>
      </c>
      <c r="B112" s="14" t="inlineStr">
        <is>
          <t>Khyber Pakhtunkhwa</t>
        </is>
      </c>
      <c r="C112" s="22" t="n">
        <v>314.06</v>
      </c>
      <c r="D112" s="22" t="n">
        <v>310.21</v>
      </c>
      <c r="E112" s="21" t="n">
        <v>0.06469999999999999</v>
      </c>
      <c r="F112" s="22" t="n">
        <v>-3.853</v>
      </c>
      <c r="G112" s="22" t="n">
        <v>314.08</v>
      </c>
      <c r="H112" s="22" t="n">
        <v>310.21</v>
      </c>
      <c r="I112" s="14">
        <f>IF(E112&gt;=0.5,IF(F112&gt;0,"Strong Rising Trend","Strong Falling Trend"),IF(E112&gt;=0.2,IF(F112&gt;0,"Moderate Rising Trend","Moderate Falling Trend"),"Weak / Unreliable Trend"))</f>
        <v/>
      </c>
      <c r="J112" s="14" t="inlineStr">
        <is>
          <t>Statistical trend only, not a meteorological forecast</t>
        </is>
      </c>
    </row>
    <row r="113" ht="15" customHeight="1" s="12">
      <c r="A113" s="14" t="inlineStr">
        <is>
          <t>Nushki</t>
        </is>
      </c>
      <c r="B113" s="14" t="inlineStr">
        <is>
          <t>Balochistan</t>
        </is>
      </c>
      <c r="C113" s="22" t="n">
        <v>14.73</v>
      </c>
      <c r="D113" s="22" t="n">
        <v>16.08</v>
      </c>
      <c r="E113" s="21" t="n">
        <v>0.4322</v>
      </c>
      <c r="F113" s="22" t="n">
        <v>1.343</v>
      </c>
      <c r="G113" s="22" t="n">
        <v>14.75</v>
      </c>
      <c r="H113" s="22" t="n">
        <v>16.1</v>
      </c>
      <c r="I113" s="14">
        <f>IF(E113&gt;=0.5,IF(F113&gt;0,"Strong Rising Trend","Strong Falling Trend"),IF(E113&gt;=0.2,IF(F113&gt;0,"Moderate Rising Trend","Moderate Falling Trend"),"Weak / Unreliable Trend"))</f>
        <v/>
      </c>
      <c r="J113" s="14" t="inlineStr">
        <is>
          <t>Statistical trend only, not a meteorological forecast</t>
        </is>
      </c>
    </row>
    <row r="114" ht="15" customHeight="1" s="12">
      <c r="A114" s="14" t="inlineStr">
        <is>
          <t>Okara</t>
        </is>
      </c>
      <c r="B114" s="14" t="inlineStr">
        <is>
          <t>Punjab</t>
        </is>
      </c>
      <c r="C114" s="22" t="n">
        <v>373.58</v>
      </c>
      <c r="D114" s="22" t="n">
        <v>389.46</v>
      </c>
      <c r="E114" s="21" t="n">
        <v>0.5047</v>
      </c>
      <c r="F114" s="22" t="n">
        <v>15.883</v>
      </c>
      <c r="G114" s="22" t="n">
        <v>373.85</v>
      </c>
      <c r="H114" s="22" t="n">
        <v>389.85</v>
      </c>
      <c r="I114" s="14">
        <f>IF(E114&gt;=0.5,IF(F114&gt;0,"Strong Rising Trend","Strong Falling Trend"),IF(E114&gt;=0.2,IF(F114&gt;0,"Moderate Rising Trend","Moderate Falling Trend"),"Weak / Unreliable Trend"))</f>
        <v/>
      </c>
      <c r="J114" s="14" t="inlineStr">
        <is>
          <t>Statistical trend only, not a meteorological forecast</t>
        </is>
      </c>
    </row>
    <row r="115" ht="15" customHeight="1" s="12">
      <c r="A115" s="14" t="inlineStr">
        <is>
          <t>Orakzai</t>
        </is>
      </c>
      <c r="B115" s="14" t="inlineStr">
        <is>
          <t>Khyber Pakhtunkhwa</t>
        </is>
      </c>
      <c r="C115" s="22" t="n">
        <v>266.72</v>
      </c>
      <c r="D115" s="22" t="n">
        <v>253.62</v>
      </c>
      <c r="E115" s="21" t="n">
        <v>0.4122</v>
      </c>
      <c r="F115" s="22" t="n">
        <v>-13.098</v>
      </c>
      <c r="G115" s="22" t="n">
        <v>266.6</v>
      </c>
      <c r="H115" s="22" t="n">
        <v>253.42</v>
      </c>
      <c r="I115" s="14">
        <f>IF(E115&gt;=0.5,IF(F115&gt;0,"Strong Rising Trend","Strong Falling Trend"),IF(E115&gt;=0.2,IF(F115&gt;0,"Moderate Rising Trend","Moderate Falling Trend"),"Weak / Unreliable Trend"))</f>
        <v/>
      </c>
      <c r="J115" s="14" t="inlineStr">
        <is>
          <t>Statistical trend only, not a meteorological forecast</t>
        </is>
      </c>
    </row>
    <row r="116" ht="15" customHeight="1" s="12">
      <c r="A116" s="14" t="inlineStr">
        <is>
          <t>Pakpattan</t>
        </is>
      </c>
      <c r="B116" s="14" t="inlineStr">
        <is>
          <t>Punjab</t>
        </is>
      </c>
      <c r="C116" s="22" t="n">
        <v>300.71</v>
      </c>
      <c r="D116" s="22" t="n">
        <v>312.97</v>
      </c>
      <c r="E116" s="21" t="n">
        <v>0.3602</v>
      </c>
      <c r="F116" s="22" t="n">
        <v>12.26</v>
      </c>
      <c r="G116" s="22" t="n">
        <v>300.97</v>
      </c>
      <c r="H116" s="22" t="n">
        <v>313.33</v>
      </c>
      <c r="I116" s="14">
        <f>IF(E116&gt;=0.5,IF(F116&gt;0,"Strong Rising Trend","Strong Falling Trend"),IF(E116&gt;=0.2,IF(F116&gt;0,"Moderate Rising Trend","Moderate Falling Trend"),"Weak / Unreliable Trend"))</f>
        <v/>
      </c>
      <c r="J116" s="14" t="inlineStr">
        <is>
          <t>Statistical trend only, not a meteorological forecast</t>
        </is>
      </c>
    </row>
    <row r="117" ht="15" customHeight="1" s="12">
      <c r="A117" s="14" t="inlineStr">
        <is>
          <t>Panjgur</t>
        </is>
      </c>
      <c r="B117" s="14" t="inlineStr">
        <is>
          <t>Balochistan</t>
        </is>
      </c>
      <c r="C117" s="22" t="n">
        <v>84.59999999999999</v>
      </c>
      <c r="D117" s="22" t="n">
        <v>89.90000000000001</v>
      </c>
      <c r="E117" s="21" t="n">
        <v>0.1504</v>
      </c>
      <c r="F117" s="22" t="n">
        <v>5.296</v>
      </c>
      <c r="G117" s="22" t="n">
        <v>84.63</v>
      </c>
      <c r="H117" s="22" t="n">
        <v>89.95999999999999</v>
      </c>
      <c r="I117" s="14">
        <f>IF(E117&gt;=0.5,IF(F117&gt;0,"Strong Rising Trend","Strong Falling Trend"),IF(E117&gt;=0.2,IF(F117&gt;0,"Moderate Rising Trend","Moderate Falling Trend"),"Weak / Unreliable Trend"))</f>
        <v/>
      </c>
      <c r="J117" s="14" t="inlineStr">
        <is>
          <t>Statistical trend only, not a meteorological forecast</t>
        </is>
      </c>
    </row>
    <row r="118" ht="15" customHeight="1" s="12">
      <c r="A118" s="14" t="inlineStr">
        <is>
          <t>Peshawar</t>
        </is>
      </c>
      <c r="B118" s="14" t="inlineStr">
        <is>
          <t>Khyber Pakhtunkhwa</t>
        </is>
      </c>
      <c r="C118" s="22" t="n">
        <v>170.29</v>
      </c>
      <c r="D118" s="22" t="n">
        <v>161.4</v>
      </c>
      <c r="E118" s="21" t="n">
        <v>0.3763</v>
      </c>
      <c r="F118" s="22" t="n">
        <v>-8.891999999999999</v>
      </c>
      <c r="G118" s="22" t="n">
        <v>170.22</v>
      </c>
      <c r="H118" s="22" t="n">
        <v>161.28</v>
      </c>
      <c r="I118" s="14">
        <f>IF(E118&gt;=0.5,IF(F118&gt;0,"Strong Rising Trend","Strong Falling Trend"),IF(E118&gt;=0.2,IF(F118&gt;0,"Moderate Rising Trend","Moderate Falling Trend"),"Weak / Unreliable Trend"))</f>
        <v/>
      </c>
      <c r="J118" s="14" t="inlineStr">
        <is>
          <t>Statistical trend only, not a meteorological forecast</t>
        </is>
      </c>
    </row>
    <row r="119" ht="15" customHeight="1" s="12">
      <c r="A119" s="14" t="inlineStr">
        <is>
          <t>Pishin</t>
        </is>
      </c>
      <c r="B119" s="14" t="inlineStr">
        <is>
          <t>Balochistan</t>
        </is>
      </c>
      <c r="C119" s="22" t="n">
        <v>45.38</v>
      </c>
      <c r="D119" s="22" t="n">
        <v>48.87</v>
      </c>
      <c r="E119" s="21" t="n">
        <v>0.313</v>
      </c>
      <c r="F119" s="22" t="n">
        <v>3.492</v>
      </c>
      <c r="G119" s="22" t="n">
        <v>45.42</v>
      </c>
      <c r="H119" s="22" t="n">
        <v>48.93</v>
      </c>
      <c r="I119" s="14">
        <f>IF(E119&gt;=0.5,IF(F119&gt;0,"Strong Rising Trend","Strong Falling Trend"),IF(E119&gt;=0.2,IF(F119&gt;0,"Moderate Rising Trend","Moderate Falling Trend"),"Weak / Unreliable Trend"))</f>
        <v/>
      </c>
      <c r="J119" s="14" t="inlineStr">
        <is>
          <t>Statistical trend only, not a meteorological forecast</t>
        </is>
      </c>
    </row>
    <row r="120" ht="15" customHeight="1" s="12">
      <c r="A120" s="14" t="inlineStr">
        <is>
          <t>Poonch</t>
        </is>
      </c>
      <c r="B120" s="14" t="inlineStr">
        <is>
          <t>Azad Kashmir</t>
        </is>
      </c>
      <c r="C120" s="22" t="n">
        <v>836.23</v>
      </c>
      <c r="D120" s="22" t="n">
        <v>854.7</v>
      </c>
      <c r="E120" s="21" t="n">
        <v>0.2864</v>
      </c>
      <c r="F120" s="22" t="n">
        <v>18.467</v>
      </c>
      <c r="G120" s="22" t="n">
        <v>836.53</v>
      </c>
      <c r="H120" s="22" t="n">
        <v>855.12</v>
      </c>
      <c r="I120" s="14">
        <f>IF(E120&gt;=0.5,IF(F120&gt;0,"Strong Rising Trend","Strong Falling Trend"),IF(E120&gt;=0.2,IF(F120&gt;0,"Moderate Rising Trend","Moderate Falling Trend"),"Weak / Unreliable Trend"))</f>
        <v/>
      </c>
      <c r="J120" s="14" t="inlineStr">
        <is>
          <t>Statistical trend only, not a meteorological forecast</t>
        </is>
      </c>
    </row>
    <row r="121" ht="15" customHeight="1" s="12">
      <c r="A121" s="14" t="inlineStr">
        <is>
          <t>Quetta</t>
        </is>
      </c>
      <c r="B121" s="14" t="inlineStr">
        <is>
          <t>Balochistan</t>
        </is>
      </c>
      <c r="C121" s="22" t="n">
        <v>62.05</v>
      </c>
      <c r="D121" s="22" t="n">
        <v>67.15000000000001</v>
      </c>
      <c r="E121" s="21" t="n">
        <v>0.3656</v>
      </c>
      <c r="F121" s="22" t="n">
        <v>5.101</v>
      </c>
      <c r="G121" s="22" t="n">
        <v>62.12</v>
      </c>
      <c r="H121" s="22" t="n">
        <v>67.25</v>
      </c>
      <c r="I121" s="14">
        <f>IF(E121&gt;=0.5,IF(F121&gt;0,"Strong Rising Trend","Strong Falling Trend"),IF(E121&gt;=0.2,IF(F121&gt;0,"Moderate Rising Trend","Moderate Falling Trend"),"Weak / Unreliable Trend"))</f>
        <v/>
      </c>
      <c r="J121" s="14" t="inlineStr">
        <is>
          <t>Statistical trend only, not a meteorological forecast</t>
        </is>
      </c>
    </row>
    <row r="122" ht="15" customHeight="1" s="12">
      <c r="A122" s="14" t="inlineStr">
        <is>
          <t>Rahim Yar Khan</t>
        </is>
      </c>
      <c r="B122" s="14" t="inlineStr">
        <is>
          <t>Punjab</t>
        </is>
      </c>
      <c r="C122" s="22" t="n">
        <v>217.42</v>
      </c>
      <c r="D122" s="22" t="n">
        <v>225.48</v>
      </c>
      <c r="E122" s="21" t="n">
        <v>0.1332</v>
      </c>
      <c r="F122" s="22" t="n">
        <v>8.061999999999999</v>
      </c>
      <c r="G122" s="22" t="n">
        <v>217.53</v>
      </c>
      <c r="H122" s="22" t="n">
        <v>225.65</v>
      </c>
      <c r="I122" s="14">
        <f>IF(E122&gt;=0.5,IF(F122&gt;0,"Strong Rising Trend","Strong Falling Trend"),IF(E122&gt;=0.2,IF(F122&gt;0,"Moderate Rising Trend","Moderate Falling Trend"),"Weak / Unreliable Trend"))</f>
        <v/>
      </c>
      <c r="J122" s="14" t="inlineStr">
        <is>
          <t>Statistical trend only, not a meteorological forecast</t>
        </is>
      </c>
    </row>
    <row r="123" ht="15" customHeight="1" s="12">
      <c r="A123" s="14" t="inlineStr">
        <is>
          <t>Rajanpur</t>
        </is>
      </c>
      <c r="B123" s="14" t="inlineStr">
        <is>
          <t>Punjab</t>
        </is>
      </c>
      <c r="C123" s="22" t="n">
        <v>199.38</v>
      </c>
      <c r="D123" s="22" t="n">
        <v>203.31</v>
      </c>
      <c r="E123" s="21" t="n">
        <v>0.0331</v>
      </c>
      <c r="F123" s="22" t="n">
        <v>3.928</v>
      </c>
      <c r="G123" s="22" t="n">
        <v>199.45</v>
      </c>
      <c r="H123" s="22" t="n">
        <v>203.4</v>
      </c>
      <c r="I123" s="14">
        <f>IF(E123&gt;=0.5,IF(F123&gt;0,"Strong Rising Trend","Strong Falling Trend"),IF(E123&gt;=0.2,IF(F123&gt;0,"Moderate Rising Trend","Moderate Falling Trend"),"Weak / Unreliable Trend"))</f>
        <v/>
      </c>
      <c r="J123" s="14" t="inlineStr">
        <is>
          <t>Statistical trend only, not a meteorological forecast</t>
        </is>
      </c>
    </row>
    <row r="124" ht="15" customHeight="1" s="12">
      <c r="A124" s="14" t="inlineStr">
        <is>
          <t>Rawalpindi</t>
        </is>
      </c>
      <c r="B124" s="14" t="inlineStr">
        <is>
          <t>Punjab</t>
        </is>
      </c>
      <c r="C124" s="22" t="n">
        <v>878.61</v>
      </c>
      <c r="D124" s="22" t="n">
        <v>898.33</v>
      </c>
      <c r="E124" s="21" t="n">
        <v>0.3922</v>
      </c>
      <c r="F124" s="22" t="n">
        <v>19.714</v>
      </c>
      <c r="G124" s="22" t="n">
        <v>878.92</v>
      </c>
      <c r="H124" s="22" t="n">
        <v>898.77</v>
      </c>
      <c r="I124" s="14">
        <f>IF(E124&gt;=0.5,IF(F124&gt;0,"Strong Rising Trend","Strong Falling Trend"),IF(E124&gt;=0.2,IF(F124&gt;0,"Moderate Rising Trend","Moderate Falling Trend"),"Weak / Unreliable Trend"))</f>
        <v/>
      </c>
      <c r="J124" s="14" t="inlineStr">
        <is>
          <t>Statistical trend only, not a meteorological forecast</t>
        </is>
      </c>
    </row>
    <row r="125" ht="15" customHeight="1" s="12">
      <c r="A125" s="14" t="inlineStr">
        <is>
          <t>Rondu</t>
        </is>
      </c>
      <c r="B125" s="14" t="inlineStr">
        <is>
          <t>Gilgit Baltistan</t>
        </is>
      </c>
      <c r="C125" s="22" t="n">
        <v>133.46</v>
      </c>
      <c r="D125" s="22" t="n">
        <v>135.31</v>
      </c>
      <c r="E125" s="21" t="n">
        <v>0.1011</v>
      </c>
      <c r="F125" s="22" t="n">
        <v>1.844</v>
      </c>
      <c r="G125" s="22" t="n">
        <v>133.51</v>
      </c>
      <c r="H125" s="22" t="n">
        <v>135.37</v>
      </c>
      <c r="I125" s="14">
        <f>IF(E125&gt;=0.5,IF(F125&gt;0,"Strong Rising Trend","Strong Falling Trend"),IF(E125&gt;=0.2,IF(F125&gt;0,"Moderate Rising Trend","Moderate Falling Trend"),"Weak / Unreliable Trend"))</f>
        <v/>
      </c>
      <c r="J125" s="14" t="inlineStr">
        <is>
          <t>Statistical trend only, not a meteorological forecast</t>
        </is>
      </c>
    </row>
    <row r="126" ht="15" customHeight="1" s="12">
      <c r="A126" s="14" t="inlineStr">
        <is>
          <t>Sahiwal</t>
        </is>
      </c>
      <c r="B126" s="14" t="inlineStr">
        <is>
          <t>Punjab</t>
        </is>
      </c>
      <c r="C126" s="22" t="n">
        <v>302.25</v>
      </c>
      <c r="D126" s="22" t="n">
        <v>314.74</v>
      </c>
      <c r="E126" s="21" t="n">
        <v>0.3849</v>
      </c>
      <c r="F126" s="22" t="n">
        <v>12.495</v>
      </c>
      <c r="G126" s="22" t="n">
        <v>302.51</v>
      </c>
      <c r="H126" s="22" t="n">
        <v>315.1</v>
      </c>
      <c r="I126" s="14">
        <f>IF(E126&gt;=0.5,IF(F126&gt;0,"Strong Rising Trend","Strong Falling Trend"),IF(E126&gt;=0.2,IF(F126&gt;0,"Moderate Rising Trend","Moderate Falling Trend"),"Weak / Unreliable Trend"))</f>
        <v/>
      </c>
      <c r="J126" s="14" t="inlineStr">
        <is>
          <t>Statistical trend only, not a meteorological forecast</t>
        </is>
      </c>
    </row>
    <row r="127" ht="15" customHeight="1" s="12">
      <c r="A127" s="14" t="inlineStr">
        <is>
          <t>Sanghar</t>
        </is>
      </c>
      <c r="B127" s="14" t="inlineStr">
        <is>
          <t>Sindh</t>
        </is>
      </c>
      <c r="C127" s="22" t="n">
        <v>307.6</v>
      </c>
      <c r="D127" s="22" t="n">
        <v>319.08</v>
      </c>
      <c r="E127" s="21" t="n">
        <v>0.1249</v>
      </c>
      <c r="F127" s="22" t="n">
        <v>11.48</v>
      </c>
      <c r="G127" s="22" t="n">
        <v>307.71</v>
      </c>
      <c r="H127" s="22" t="n">
        <v>319.25</v>
      </c>
      <c r="I127" s="14">
        <f>IF(E127&gt;=0.5,IF(F127&gt;0,"Strong Rising Trend","Strong Falling Trend"),IF(E127&gt;=0.2,IF(F127&gt;0,"Moderate Rising Trend","Moderate Falling Trend"),"Weak / Unreliable Trend"))</f>
        <v/>
      </c>
      <c r="J127" s="14" t="inlineStr">
        <is>
          <t>Statistical trend only, not a meteorological forecast</t>
        </is>
      </c>
    </row>
    <row r="128" ht="15" customHeight="1" s="12">
      <c r="A128" s="14" t="inlineStr">
        <is>
          <t>Sargodha</t>
        </is>
      </c>
      <c r="B128" s="14" t="inlineStr">
        <is>
          <t>Punjab</t>
        </is>
      </c>
      <c r="C128" s="22" t="n">
        <v>393.49</v>
      </c>
      <c r="D128" s="22" t="n">
        <v>400.24</v>
      </c>
      <c r="E128" s="21" t="n">
        <v>0.1824</v>
      </c>
      <c r="F128" s="22" t="n">
        <v>6.755</v>
      </c>
      <c r="G128" s="22" t="n">
        <v>393.6</v>
      </c>
      <c r="H128" s="22" t="n">
        <v>400.4</v>
      </c>
      <c r="I128" s="14">
        <f>IF(E128&gt;=0.5,IF(F128&gt;0,"Strong Rising Trend","Strong Falling Trend"),IF(E128&gt;=0.2,IF(F128&gt;0,"Moderate Rising Trend","Moderate Falling Trend"),"Weak / Unreliable Trend"))</f>
        <v/>
      </c>
      <c r="J128" s="14" t="inlineStr">
        <is>
          <t>Statistical trend only, not a meteorological forecast</t>
        </is>
      </c>
    </row>
    <row r="129" ht="15" customHeight="1" s="12">
      <c r="A129" s="14" t="inlineStr">
        <is>
          <t>Shaheed Benazir Abad</t>
        </is>
      </c>
      <c r="B129" s="14" t="inlineStr">
        <is>
          <t>Sindh</t>
        </is>
      </c>
      <c r="C129" s="22" t="n">
        <v>236.7</v>
      </c>
      <c r="D129" s="22" t="n">
        <v>246.13</v>
      </c>
      <c r="E129" s="21" t="n">
        <v>0.0891</v>
      </c>
      <c r="F129" s="22" t="n">
        <v>9.423</v>
      </c>
      <c r="G129" s="22" t="n">
        <v>236.77</v>
      </c>
      <c r="H129" s="22" t="n">
        <v>246.25</v>
      </c>
      <c r="I129" s="14">
        <f>IF(E129&gt;=0.5,IF(F129&gt;0,"Strong Rising Trend","Strong Falling Trend"),IF(E129&gt;=0.2,IF(F129&gt;0,"Moderate Rising Trend","Moderate Falling Trend"),"Weak / Unreliable Trend"))</f>
        <v/>
      </c>
      <c r="J129" s="14" t="inlineStr">
        <is>
          <t>Statistical trend only, not a meteorological forecast</t>
        </is>
      </c>
    </row>
    <row r="130" ht="15" customHeight="1" s="12">
      <c r="A130" s="14" t="inlineStr">
        <is>
          <t>Shaheed Sikandarabad</t>
        </is>
      </c>
      <c r="B130" s="14" t="inlineStr">
        <is>
          <t>Balochistan</t>
        </is>
      </c>
      <c r="C130" s="22" t="n">
        <v>109.46</v>
      </c>
      <c r="D130" s="22" t="n">
        <v>117.26</v>
      </c>
      <c r="E130" s="21" t="n">
        <v>0.4401</v>
      </c>
      <c r="F130" s="22" t="n">
        <v>7.797</v>
      </c>
      <c r="G130" s="22" t="n">
        <v>109.55</v>
      </c>
      <c r="H130" s="22" t="n">
        <v>117.4</v>
      </c>
      <c r="I130" s="14">
        <f>IF(E130&gt;=0.5,IF(F130&gt;0,"Strong Rising Trend","Strong Falling Trend"),IF(E130&gt;=0.2,IF(F130&gt;0,"Moderate Rising Trend","Moderate Falling Trend"),"Weak / Unreliable Trend"))</f>
        <v/>
      </c>
      <c r="J130" s="14" t="inlineStr">
        <is>
          <t>Statistical trend only, not a meteorological forecast</t>
        </is>
      </c>
    </row>
    <row r="131" ht="15" customHeight="1" s="12">
      <c r="A131" s="14" t="inlineStr">
        <is>
          <t>Shangla</t>
        </is>
      </c>
      <c r="B131" s="14" t="inlineStr">
        <is>
          <t>Khyber Pakhtunkhwa</t>
        </is>
      </c>
      <c r="C131" s="22" t="n">
        <v>451.56</v>
      </c>
      <c r="D131" s="22" t="n">
        <v>447.88</v>
      </c>
      <c r="E131" s="21" t="n">
        <v>0.0842</v>
      </c>
      <c r="F131" s="22" t="n">
        <v>-3.675</v>
      </c>
      <c r="G131" s="22" t="n">
        <v>451.49</v>
      </c>
      <c r="H131" s="22" t="n">
        <v>447.79</v>
      </c>
      <c r="I131" s="14">
        <f>IF(E131&gt;=0.5,IF(F131&gt;0,"Strong Rising Trend","Strong Falling Trend"),IF(E131&gt;=0.2,IF(F131&gt;0,"Moderate Rising Trend","Moderate Falling Trend"),"Weak / Unreliable Trend"))</f>
        <v/>
      </c>
      <c r="J131" s="14" t="inlineStr">
        <is>
          <t>Statistical trend only, not a meteorological forecast</t>
        </is>
      </c>
    </row>
    <row r="132" ht="15" customHeight="1" s="12">
      <c r="A132" s="14" t="inlineStr">
        <is>
          <t>Sheikhupura</t>
        </is>
      </c>
      <c r="B132" s="14" t="inlineStr">
        <is>
          <t>Punjab</t>
        </is>
      </c>
      <c r="C132" s="22" t="n">
        <v>660.8099999999999</v>
      </c>
      <c r="D132" s="22" t="n">
        <v>685.8099999999999</v>
      </c>
      <c r="E132" s="21" t="n">
        <v>0.6298</v>
      </c>
      <c r="F132" s="22" t="n">
        <v>24.999</v>
      </c>
      <c r="G132" s="22" t="n">
        <v>661.1900000000001</v>
      </c>
      <c r="H132" s="22" t="n">
        <v>686.36</v>
      </c>
      <c r="I132" s="14">
        <f>IF(E132&gt;=0.5,IF(F132&gt;0,"Strong Rising Trend","Strong Falling Trend"),IF(E132&gt;=0.2,IF(F132&gt;0,"Moderate Rising Trend","Moderate Falling Trend"),"Weak / Unreliable Trend"))</f>
        <v/>
      </c>
      <c r="J132" s="14" t="inlineStr">
        <is>
          <t>Statistical trend only, not a meteorological forecast</t>
        </is>
      </c>
    </row>
    <row r="133" ht="15" customHeight="1" s="12">
      <c r="A133" s="14" t="inlineStr">
        <is>
          <t>Sherani</t>
        </is>
      </c>
      <c r="B133" s="14" t="inlineStr">
        <is>
          <t>Balochistan</t>
        </is>
      </c>
      <c r="C133" s="22" t="n">
        <v>194.86</v>
      </c>
      <c r="D133" s="22" t="n">
        <v>200.59</v>
      </c>
      <c r="E133" s="21" t="n">
        <v>0.1783</v>
      </c>
      <c r="F133" s="22" t="n">
        <v>5.727</v>
      </c>
      <c r="G133" s="22" t="n">
        <v>194.94</v>
      </c>
      <c r="H133" s="22" t="n">
        <v>200.7</v>
      </c>
      <c r="I133" s="14">
        <f>IF(E133&gt;=0.5,IF(F133&gt;0,"Strong Rising Trend","Strong Falling Trend"),IF(E133&gt;=0.2,IF(F133&gt;0,"Moderate Rising Trend","Moderate Falling Trend"),"Weak / Unreliable Trend"))</f>
        <v/>
      </c>
      <c r="J133" s="14" t="inlineStr">
        <is>
          <t>Statistical trend only, not a meteorological forecast</t>
        </is>
      </c>
    </row>
    <row r="134" ht="15" customHeight="1" s="12">
      <c r="A134" s="14" t="inlineStr">
        <is>
          <t>Shigar</t>
        </is>
      </c>
      <c r="B134" s="14" t="inlineStr">
        <is>
          <t>Gilgit Baltistan</t>
        </is>
      </c>
      <c r="C134" s="22" t="n">
        <v>97.70999999999999</v>
      </c>
      <c r="D134" s="22" t="n">
        <v>98.81999999999999</v>
      </c>
      <c r="E134" s="21" t="n">
        <v>0.0605</v>
      </c>
      <c r="F134" s="22" t="n">
        <v>1.11</v>
      </c>
      <c r="G134" s="22" t="n">
        <v>97.75</v>
      </c>
      <c r="H134" s="22" t="n">
        <v>98.87</v>
      </c>
      <c r="I134" s="14">
        <f>IF(E134&gt;=0.5,IF(F134&gt;0,"Strong Rising Trend","Strong Falling Trend"),IF(E134&gt;=0.2,IF(F134&gt;0,"Moderate Rising Trend","Moderate Falling Trend"),"Weak / Unreliable Trend"))</f>
        <v/>
      </c>
      <c r="J134" s="14" t="inlineStr">
        <is>
          <t>Statistical trend only, not a meteorological forecast</t>
        </is>
      </c>
    </row>
    <row r="135" ht="15" customHeight="1" s="12">
      <c r="A135" s="14" t="inlineStr">
        <is>
          <t>Shikarpur</t>
        </is>
      </c>
      <c r="B135" s="14" t="inlineStr">
        <is>
          <t>Sindh</t>
        </is>
      </c>
      <c r="C135" s="22" t="n">
        <v>106.71</v>
      </c>
      <c r="D135" s="22" t="n">
        <v>111.58</v>
      </c>
      <c r="E135" s="21" t="n">
        <v>0.1078</v>
      </c>
      <c r="F135" s="22" t="n">
        <v>4.871</v>
      </c>
      <c r="G135" s="22" t="n">
        <v>106.76</v>
      </c>
      <c r="H135" s="22" t="n">
        <v>111.66</v>
      </c>
      <c r="I135" s="14">
        <f>IF(E135&gt;=0.5,IF(F135&gt;0,"Strong Rising Trend","Strong Falling Trend"),IF(E135&gt;=0.2,IF(F135&gt;0,"Moderate Rising Trend","Moderate Falling Trend"),"Weak / Unreliable Trend"))</f>
        <v/>
      </c>
      <c r="J135" s="14" t="inlineStr">
        <is>
          <t>Statistical trend only, not a meteorological forecast</t>
        </is>
      </c>
    </row>
    <row r="136" ht="15" customHeight="1" s="12">
      <c r="A136" s="14" t="inlineStr">
        <is>
          <t>Sialkot</t>
        </is>
      </c>
      <c r="B136" s="14" t="inlineStr">
        <is>
          <t>Punjab</t>
        </is>
      </c>
      <c r="C136" s="22" t="n">
        <v>948.1</v>
      </c>
      <c r="D136" s="22" t="n">
        <v>972.59</v>
      </c>
      <c r="E136" s="21" t="n">
        <v>0.413</v>
      </c>
      <c r="F136" s="22" t="n">
        <v>24.491</v>
      </c>
      <c r="G136" s="22" t="n">
        <v>948.46</v>
      </c>
      <c r="H136" s="22" t="n">
        <v>973.12</v>
      </c>
      <c r="I136" s="14">
        <f>IF(E136&gt;=0.5,IF(F136&gt;0,"Strong Rising Trend","Strong Falling Trend"),IF(E136&gt;=0.2,IF(F136&gt;0,"Moderate Rising Trend","Moderate Falling Trend"),"Weak / Unreliable Trend"))</f>
        <v/>
      </c>
      <c r="J136" s="14" t="inlineStr">
        <is>
          <t>Statistical trend only, not a meteorological forecast</t>
        </is>
      </c>
    </row>
    <row r="137" ht="15" customHeight="1" s="12">
      <c r="A137" s="14" t="inlineStr">
        <is>
          <t>Sibi</t>
        </is>
      </c>
      <c r="B137" s="14" t="inlineStr">
        <is>
          <t>Balochistan</t>
        </is>
      </c>
      <c r="C137" s="22" t="n">
        <v>216.01</v>
      </c>
      <c r="D137" s="22" t="n">
        <v>228.4</v>
      </c>
      <c r="E137" s="21" t="n">
        <v>0.2689</v>
      </c>
      <c r="F137" s="22" t="n">
        <v>12.38</v>
      </c>
      <c r="G137" s="22" t="n">
        <v>216.18</v>
      </c>
      <c r="H137" s="22" t="n">
        <v>228.64</v>
      </c>
      <c r="I137" s="14">
        <f>IF(E137&gt;=0.5,IF(F137&gt;0,"Strong Rising Trend","Strong Falling Trend"),IF(E137&gt;=0.2,IF(F137&gt;0,"Moderate Rising Trend","Moderate Falling Trend"),"Weak / Unreliable Trend"))</f>
        <v/>
      </c>
      <c r="J137" s="14" t="inlineStr">
        <is>
          <t>Statistical trend only, not a meteorological forecast</t>
        </is>
      </c>
    </row>
    <row r="138" ht="15" customHeight="1" s="12">
      <c r="A138" s="14" t="inlineStr">
        <is>
          <t>Skardu</t>
        </is>
      </c>
      <c r="B138" s="14" t="inlineStr">
        <is>
          <t>Gilgit Baltistan</t>
        </is>
      </c>
      <c r="C138" s="22" t="n">
        <v>147.92</v>
      </c>
      <c r="D138" s="22" t="n">
        <v>149.52</v>
      </c>
      <c r="E138" s="21" t="n">
        <v>0.0287</v>
      </c>
      <c r="F138" s="22" t="n">
        <v>1.608</v>
      </c>
      <c r="G138" s="22" t="n">
        <v>147.95</v>
      </c>
      <c r="H138" s="22" t="n">
        <v>149.57</v>
      </c>
      <c r="I138" s="14">
        <f>IF(E138&gt;=0.5,IF(F138&gt;0,"Strong Rising Trend","Strong Falling Trend"),IF(E138&gt;=0.2,IF(F138&gt;0,"Moderate Rising Trend","Moderate Falling Trend"),"Weak / Unreliable Trend"))</f>
        <v/>
      </c>
      <c r="J138" s="14" t="inlineStr">
        <is>
          <t>Statistical trend only, not a meteorological forecast</t>
        </is>
      </c>
    </row>
    <row r="139" ht="15" customHeight="1" s="12">
      <c r="A139" s="14" t="inlineStr">
        <is>
          <t>Sohbatpur</t>
        </is>
      </c>
      <c r="B139" s="14" t="inlineStr">
        <is>
          <t>Balochistan</t>
        </is>
      </c>
      <c r="C139" s="22" t="n">
        <v>145.04</v>
      </c>
      <c r="D139" s="22" t="n">
        <v>152.55</v>
      </c>
      <c r="E139" s="21" t="n">
        <v>0.1819</v>
      </c>
      <c r="F139" s="22" t="n">
        <v>7.505</v>
      </c>
      <c r="G139" s="22" t="n">
        <v>145.13</v>
      </c>
      <c r="H139" s="22" t="n">
        <v>152.68</v>
      </c>
      <c r="I139" s="14">
        <f>IF(E139&gt;=0.5,IF(F139&gt;0,"Strong Rising Trend","Strong Falling Trend"),IF(E139&gt;=0.2,IF(F139&gt;0,"Moderate Rising Trend","Moderate Falling Trend"),"Weak / Unreliable Trend"))</f>
        <v/>
      </c>
      <c r="J139" s="14" t="inlineStr">
        <is>
          <t>Statistical trend only, not a meteorological forecast</t>
        </is>
      </c>
    </row>
    <row r="140" ht="15" customHeight="1" s="12">
      <c r="A140" s="14" t="inlineStr">
        <is>
          <t>South Karachi</t>
        </is>
      </c>
      <c r="B140" s="14" t="inlineStr">
        <is>
          <t>Sindh</t>
        </is>
      </c>
      <c r="C140" s="22" t="n">
        <v>291.4</v>
      </c>
      <c r="D140" s="22" t="n">
        <v>301.63</v>
      </c>
      <c r="E140" s="21" t="n">
        <v>0.0579</v>
      </c>
      <c r="F140" s="22" t="n">
        <v>10.233</v>
      </c>
      <c r="G140" s="22" t="n">
        <v>291.39</v>
      </c>
      <c r="H140" s="22" t="n">
        <v>301.67</v>
      </c>
      <c r="I140" s="14">
        <f>IF(E140&gt;=0.5,IF(F140&gt;0,"Strong Rising Trend","Strong Falling Trend"),IF(E140&gt;=0.2,IF(F140&gt;0,"Moderate Rising Trend","Moderate Falling Trend"),"Weak / Unreliable Trend"))</f>
        <v/>
      </c>
      <c r="J140" s="14" t="inlineStr">
        <is>
          <t>Statistical trend only, not a meteorological forecast</t>
        </is>
      </c>
    </row>
    <row r="141" ht="15" customHeight="1" s="12">
      <c r="A141" s="14" t="inlineStr">
        <is>
          <t>South Waziristan</t>
        </is>
      </c>
      <c r="B141" s="14" t="inlineStr">
        <is>
          <t>Khyber Pakhtunkhwa</t>
        </is>
      </c>
      <c r="C141" s="22" t="n">
        <v>179.26</v>
      </c>
      <c r="D141" s="22" t="n">
        <v>180.98</v>
      </c>
      <c r="E141" s="21" t="n">
        <v>0.021</v>
      </c>
      <c r="F141" s="22" t="n">
        <v>1.719</v>
      </c>
      <c r="G141" s="22" t="n">
        <v>179.28</v>
      </c>
      <c r="H141" s="22" t="n">
        <v>181.01</v>
      </c>
      <c r="I141" s="14">
        <f>IF(E141&gt;=0.5,IF(F141&gt;0,"Strong Rising Trend","Strong Falling Trend"),IF(E141&gt;=0.2,IF(F141&gt;0,"Moderate Rising Trend","Moderate Falling Trend"),"Weak / Unreliable Trend"))</f>
        <v/>
      </c>
      <c r="J141" s="14" t="inlineStr">
        <is>
          <t>Statistical trend only, not a meteorological forecast</t>
        </is>
      </c>
    </row>
    <row r="142" ht="15" customHeight="1" s="12">
      <c r="A142" s="14" t="inlineStr">
        <is>
          <t>Sudhnoti</t>
        </is>
      </c>
      <c r="B142" s="14" t="inlineStr">
        <is>
          <t>Azad Kashmir</t>
        </is>
      </c>
      <c r="C142" s="22" t="n">
        <v>992.28</v>
      </c>
      <c r="D142" s="22" t="n">
        <v>1016.99</v>
      </c>
      <c r="E142" s="21" t="n">
        <v>0.3786</v>
      </c>
      <c r="F142" s="22" t="n">
        <v>24.715</v>
      </c>
      <c r="G142" s="22" t="n">
        <v>992.6799999999999</v>
      </c>
      <c r="H142" s="22" t="n">
        <v>1017.57</v>
      </c>
      <c r="I142" s="14">
        <f>IF(E142&gt;=0.5,IF(F142&gt;0,"Strong Rising Trend","Strong Falling Trend"),IF(E142&gt;=0.2,IF(F142&gt;0,"Moderate Rising Trend","Moderate Falling Trend"),"Weak / Unreliable Trend"))</f>
        <v/>
      </c>
      <c r="J142" s="14" t="inlineStr">
        <is>
          <t>Statistical trend only, not a meteorological forecast</t>
        </is>
      </c>
    </row>
    <row r="143" ht="15" customHeight="1" s="12">
      <c r="A143" s="14" t="inlineStr">
        <is>
          <t>Sujawal</t>
        </is>
      </c>
      <c r="B143" s="14" t="inlineStr">
        <is>
          <t>Sindh</t>
        </is>
      </c>
      <c r="C143" s="22" t="n">
        <v>362.17</v>
      </c>
      <c r="D143" s="22" t="n">
        <v>377.29</v>
      </c>
      <c r="E143" s="21" t="n">
        <v>0.1348</v>
      </c>
      <c r="F143" s="22" t="n">
        <v>15.122</v>
      </c>
      <c r="G143" s="22" t="n">
        <v>362.27</v>
      </c>
      <c r="H143" s="22" t="n">
        <v>377.48</v>
      </c>
      <c r="I143" s="14">
        <f>IF(E143&gt;=0.5,IF(F143&gt;0,"Strong Rising Trend","Strong Falling Trend"),IF(E143&gt;=0.2,IF(F143&gt;0,"Moderate Rising Trend","Moderate Falling Trend"),"Weak / Unreliable Trend"))</f>
        <v/>
      </c>
      <c r="J143" s="14" t="inlineStr">
        <is>
          <t>Statistical trend only, not a meteorological forecast</t>
        </is>
      </c>
    </row>
    <row r="144" ht="15" customHeight="1" s="12">
      <c r="A144" s="14" t="inlineStr">
        <is>
          <t>Sukkur</t>
        </is>
      </c>
      <c r="B144" s="14" t="inlineStr">
        <is>
          <t>Sindh</t>
        </is>
      </c>
      <c r="C144" s="22" t="n">
        <v>178.75</v>
      </c>
      <c r="D144" s="22" t="n">
        <v>185.62</v>
      </c>
      <c r="E144" s="21" t="n">
        <v>0.0804</v>
      </c>
      <c r="F144" s="22" t="n">
        <v>6.872</v>
      </c>
      <c r="G144" s="22" t="n">
        <v>178.8</v>
      </c>
      <c r="H144" s="22" t="n">
        <v>185.71</v>
      </c>
      <c r="I144" s="14">
        <f>IF(E144&gt;=0.5,IF(F144&gt;0,"Strong Rising Trend","Strong Falling Trend"),IF(E144&gt;=0.2,IF(F144&gt;0,"Moderate Rising Trend","Moderate Falling Trend"),"Weak / Unreliable Trend"))</f>
        <v/>
      </c>
      <c r="J144" s="14" t="inlineStr">
        <is>
          <t>Statistical trend only, not a meteorological forecast</t>
        </is>
      </c>
    </row>
    <row r="145" ht="15" customHeight="1" s="12">
      <c r="A145" s="14" t="inlineStr">
        <is>
          <t>Swabi</t>
        </is>
      </c>
      <c r="B145" s="14" t="inlineStr">
        <is>
          <t>Khyber Pakhtunkhwa</t>
        </is>
      </c>
      <c r="C145" s="22" t="n">
        <v>568.79</v>
      </c>
      <c r="D145" s="22" t="n">
        <v>572.91</v>
      </c>
      <c r="E145" s="21" t="n">
        <v>0.0716</v>
      </c>
      <c r="F145" s="22" t="n">
        <v>4.118</v>
      </c>
      <c r="G145" s="22" t="n">
        <v>568.88</v>
      </c>
      <c r="H145" s="22" t="n">
        <v>573.03</v>
      </c>
      <c r="I145" s="14">
        <f>IF(E145&gt;=0.5,IF(F145&gt;0,"Strong Rising Trend","Strong Falling Trend"),IF(E145&gt;=0.2,IF(F145&gt;0,"Moderate Rising Trend","Moderate Falling Trend"),"Weak / Unreliable Trend"))</f>
        <v/>
      </c>
      <c r="J145" s="14" t="inlineStr">
        <is>
          <t>Statistical trend only, not a meteorological forecast</t>
        </is>
      </c>
    </row>
    <row r="146" ht="15" customHeight="1" s="12">
      <c r="A146" s="14" t="inlineStr">
        <is>
          <t>Swat</t>
        </is>
      </c>
      <c r="B146" s="14" t="inlineStr">
        <is>
          <t>Khyber Pakhtunkhwa</t>
        </is>
      </c>
      <c r="C146" s="22" t="n">
        <v>290.91</v>
      </c>
      <c r="D146" s="22" t="n">
        <v>286.89</v>
      </c>
      <c r="E146" s="21" t="n">
        <v>0.0948</v>
      </c>
      <c r="F146" s="22" t="n">
        <v>-4.02</v>
      </c>
      <c r="G146" s="22" t="n">
        <v>290.82</v>
      </c>
      <c r="H146" s="22" t="n">
        <v>286.77</v>
      </c>
      <c r="I146" s="14">
        <f>IF(E146&gt;=0.5,IF(F146&gt;0,"Strong Rising Trend","Strong Falling Trend"),IF(E146&gt;=0.2,IF(F146&gt;0,"Moderate Rising Trend","Moderate Falling Trend"),"Weak / Unreliable Trend"))</f>
        <v/>
      </c>
      <c r="J146" s="14" t="inlineStr">
        <is>
          <t>Statistical trend only, not a meteorological forecast</t>
        </is>
      </c>
    </row>
    <row r="147" ht="15" customHeight="1" s="12">
      <c r="A147" s="14" t="inlineStr">
        <is>
          <t>Tando Allahyar</t>
        </is>
      </c>
      <c r="B147" s="14" t="inlineStr">
        <is>
          <t>Sindh</t>
        </is>
      </c>
      <c r="C147" s="22" t="n">
        <v>278.43</v>
      </c>
      <c r="D147" s="22" t="n">
        <v>289.03</v>
      </c>
      <c r="E147" s="21" t="n">
        <v>0.1097</v>
      </c>
      <c r="F147" s="22" t="n">
        <v>10.597</v>
      </c>
      <c r="G147" s="22" t="n">
        <v>278.51</v>
      </c>
      <c r="H147" s="22" t="n">
        <v>289.17</v>
      </c>
      <c r="I147" s="14">
        <f>IF(E147&gt;=0.5,IF(F147&gt;0,"Strong Rising Trend","Strong Falling Trend"),IF(E147&gt;=0.2,IF(F147&gt;0,"Moderate Rising Trend","Moderate Falling Trend"),"Weak / Unreliable Trend"))</f>
        <v/>
      </c>
      <c r="J147" s="14" t="inlineStr">
        <is>
          <t>Statistical trend only, not a meteorological forecast</t>
        </is>
      </c>
    </row>
    <row r="148" ht="15" customHeight="1" s="12">
      <c r="A148" s="14" t="inlineStr">
        <is>
          <t>Tando Muhammad Khan</t>
        </is>
      </c>
      <c r="B148" s="14" t="inlineStr">
        <is>
          <t>Sindh</t>
        </is>
      </c>
      <c r="C148" s="22" t="n">
        <v>280.51</v>
      </c>
      <c r="D148" s="22" t="n">
        <v>290.81</v>
      </c>
      <c r="E148" s="21" t="n">
        <v>0.0989</v>
      </c>
      <c r="F148" s="22" t="n">
        <v>10.306</v>
      </c>
      <c r="G148" s="22" t="n">
        <v>280.55</v>
      </c>
      <c r="H148" s="22" t="n">
        <v>290.9</v>
      </c>
      <c r="I148" s="14">
        <f>IF(E148&gt;=0.5,IF(F148&gt;0,"Strong Rising Trend","Strong Falling Trend"),IF(E148&gt;=0.2,IF(F148&gt;0,"Moderate Rising Trend","Moderate Falling Trend"),"Weak / Unreliable Trend"))</f>
        <v/>
      </c>
      <c r="J148" s="14" t="inlineStr">
        <is>
          <t>Statistical trend only, not a meteorological forecast</t>
        </is>
      </c>
    </row>
    <row r="149" ht="15" customHeight="1" s="12">
      <c r="A149" s="14" t="inlineStr">
        <is>
          <t>Tangir</t>
        </is>
      </c>
      <c r="B149" s="14" t="inlineStr">
        <is>
          <t>Gilgit Baltistan</t>
        </is>
      </c>
      <c r="C149" s="22" t="n">
        <v>237.24</v>
      </c>
      <c r="D149" s="22" t="n">
        <v>235.72</v>
      </c>
      <c r="E149" s="21" t="n">
        <v>0.0199</v>
      </c>
      <c r="F149" s="22" t="n">
        <v>-1.52</v>
      </c>
      <c r="G149" s="22" t="n">
        <v>237.17</v>
      </c>
      <c r="H149" s="22" t="n">
        <v>235.64</v>
      </c>
      <c r="I149" s="14">
        <f>IF(E149&gt;=0.5,IF(F149&gt;0,"Strong Rising Trend","Strong Falling Trend"),IF(E149&gt;=0.2,IF(F149&gt;0,"Moderate Rising Trend","Moderate Falling Trend"),"Weak / Unreliable Trend"))</f>
        <v/>
      </c>
      <c r="J149" s="14" t="inlineStr">
        <is>
          <t>Statistical trend only, not a meteorological forecast</t>
        </is>
      </c>
    </row>
    <row r="150" ht="15" customHeight="1" s="12">
      <c r="A150" s="14" t="inlineStr">
        <is>
          <t>Tank</t>
        </is>
      </c>
      <c r="B150" s="14" t="inlineStr">
        <is>
          <t>Khyber Pakhtunkhwa</t>
        </is>
      </c>
      <c r="C150" s="22" t="n">
        <v>226.48</v>
      </c>
      <c r="D150" s="22" t="n">
        <v>228.69</v>
      </c>
      <c r="E150" s="21" t="n">
        <v>0.0125</v>
      </c>
      <c r="F150" s="22" t="n">
        <v>2.207</v>
      </c>
      <c r="G150" s="22" t="n">
        <v>226.56</v>
      </c>
      <c r="H150" s="22" t="n">
        <v>228.79</v>
      </c>
      <c r="I150" s="14">
        <f>IF(E150&gt;=0.5,IF(F150&gt;0,"Strong Rising Trend","Strong Falling Trend"),IF(E150&gt;=0.2,IF(F150&gt;0,"Moderate Rising Trend","Moderate Falling Trend"),"Weak / Unreliable Trend"))</f>
        <v/>
      </c>
      <c r="J150" s="14" t="inlineStr">
        <is>
          <t>Statistical trend only, not a meteorological forecast</t>
        </is>
      </c>
    </row>
    <row r="151" ht="15" customHeight="1" s="12">
      <c r="A151" s="14" t="inlineStr">
        <is>
          <t>Tharparkar</t>
        </is>
      </c>
      <c r="B151" s="14" t="inlineStr">
        <is>
          <t>Sindh</t>
        </is>
      </c>
      <c r="C151" s="22" t="n">
        <v>424.02</v>
      </c>
      <c r="D151" s="22" t="n">
        <v>437.51</v>
      </c>
      <c r="E151" s="21" t="n">
        <v>0.184</v>
      </c>
      <c r="F151" s="22" t="n">
        <v>13.495</v>
      </c>
      <c r="G151" s="22" t="n">
        <v>424.17</v>
      </c>
      <c r="H151" s="22" t="n">
        <v>437.75</v>
      </c>
      <c r="I151" s="14">
        <f>IF(E151&gt;=0.5,IF(F151&gt;0,"Strong Rising Trend","Strong Falling Trend"),IF(E151&gt;=0.2,IF(F151&gt;0,"Moderate Rising Trend","Moderate Falling Trend"),"Weak / Unreliable Trend"))</f>
        <v/>
      </c>
      <c r="J151" s="14" t="inlineStr">
        <is>
          <t>Statistical trend only, not a meteorological forecast</t>
        </is>
      </c>
    </row>
    <row r="152" ht="15" customHeight="1" s="12">
      <c r="A152" s="14" t="inlineStr">
        <is>
          <t>Thatta</t>
        </is>
      </c>
      <c r="B152" s="14" t="inlineStr">
        <is>
          <t>Sindh</t>
        </is>
      </c>
      <c r="C152" s="22" t="n">
        <v>300.47</v>
      </c>
      <c r="D152" s="22" t="n">
        <v>311.89</v>
      </c>
      <c r="E152" s="21" t="n">
        <v>0.0906</v>
      </c>
      <c r="F152" s="22" t="n">
        <v>11.421</v>
      </c>
      <c r="G152" s="22" t="n">
        <v>300.52</v>
      </c>
      <c r="H152" s="22" t="n">
        <v>312</v>
      </c>
      <c r="I152" s="14">
        <f>IF(E152&gt;=0.5,IF(F152&gt;0,"Strong Rising Trend","Strong Falling Trend"),IF(E152&gt;=0.2,IF(F152&gt;0,"Moderate Rising Trend","Moderate Falling Trend"),"Weak / Unreliable Trend"))</f>
        <v/>
      </c>
      <c r="J152" s="14" t="inlineStr">
        <is>
          <t>Statistical trend only, not a meteorological forecast</t>
        </is>
      </c>
    </row>
    <row r="153" ht="15" customHeight="1" s="12">
      <c r="A153" s="14" t="inlineStr">
        <is>
          <t>Toba Tek Singh</t>
        </is>
      </c>
      <c r="B153" s="14" t="inlineStr">
        <is>
          <t>Punjab</t>
        </is>
      </c>
      <c r="C153" s="22" t="n">
        <v>253.15</v>
      </c>
      <c r="D153" s="22" t="n">
        <v>260.42</v>
      </c>
      <c r="E153" s="21" t="n">
        <v>0.2076</v>
      </c>
      <c r="F153" s="22" t="n">
        <v>7.269</v>
      </c>
      <c r="G153" s="22" t="n">
        <v>253.3</v>
      </c>
      <c r="H153" s="22" t="n">
        <v>260.63</v>
      </c>
      <c r="I153" s="14">
        <f>IF(E153&gt;=0.5,IF(F153&gt;0,"Strong Rising Trend","Strong Falling Trend"),IF(E153&gt;=0.2,IF(F153&gt;0,"Moderate Rising Trend","Moderate Falling Trend"),"Weak / Unreliable Trend"))</f>
        <v/>
      </c>
      <c r="J153" s="14" t="inlineStr">
        <is>
          <t>Statistical trend only, not a meteorological forecast</t>
        </is>
      </c>
    </row>
    <row r="154" ht="15" customHeight="1" s="12">
      <c r="A154" s="14" t="inlineStr">
        <is>
          <t>Tor Ghar</t>
        </is>
      </c>
      <c r="B154" s="14" t="inlineStr">
        <is>
          <t>Khyber Pakhtunkhwa</t>
        </is>
      </c>
      <c r="C154" s="22" t="n">
        <v>630.3200000000001</v>
      </c>
      <c r="D154" s="22" t="n">
        <v>633.98</v>
      </c>
      <c r="E154" s="21" t="n">
        <v>0.052</v>
      </c>
      <c r="F154" s="22" t="n">
        <v>3.662</v>
      </c>
      <c r="G154" s="22" t="n">
        <v>630.39</v>
      </c>
      <c r="H154" s="22" t="n">
        <v>634.08</v>
      </c>
      <c r="I154" s="14">
        <f>IF(E154&gt;=0.5,IF(F154&gt;0,"Strong Rising Trend","Strong Falling Trend"),IF(E154&gt;=0.2,IF(F154&gt;0,"Moderate Rising Trend","Moderate Falling Trend"),"Weak / Unreliable Trend"))</f>
        <v/>
      </c>
      <c r="J154" s="14" t="inlineStr">
        <is>
          <t>Statistical trend only, not a meteorological forecast</t>
        </is>
      </c>
    </row>
    <row r="155" ht="15" customHeight="1" s="12">
      <c r="A155" s="14" t="inlineStr">
        <is>
          <t>Umer Kot</t>
        </is>
      </c>
      <c r="B155" s="14" t="inlineStr">
        <is>
          <t>Sindh</t>
        </is>
      </c>
      <c r="C155" s="22" t="n">
        <v>320.07</v>
      </c>
      <c r="D155" s="22" t="n">
        <v>330.82</v>
      </c>
      <c r="E155" s="21" t="n">
        <v>0.1687</v>
      </c>
      <c r="F155" s="22" t="n">
        <v>10.756</v>
      </c>
      <c r="G155" s="22" t="n">
        <v>320.16</v>
      </c>
      <c r="H155" s="22" t="n">
        <v>330.98</v>
      </c>
      <c r="I155" s="14">
        <f>IF(E155&gt;=0.5,IF(F155&gt;0,"Strong Rising Trend","Strong Falling Trend"),IF(E155&gt;=0.2,IF(F155&gt;0,"Moderate Rising Trend","Moderate Falling Trend"),"Weak / Unreliable Trend"))</f>
        <v/>
      </c>
      <c r="J155" s="14" t="inlineStr">
        <is>
          <t>Statistical trend only, not a meteorological forecast</t>
        </is>
      </c>
    </row>
    <row r="156" ht="15" customHeight="1" s="12">
      <c r="A156" s="14" t="inlineStr">
        <is>
          <t>Upper Dir</t>
        </is>
      </c>
      <c r="B156" s="14" t="inlineStr">
        <is>
          <t>Khyber Pakhtunkhwa</t>
        </is>
      </c>
      <c r="C156" s="22" t="n">
        <v>314.21</v>
      </c>
      <c r="D156" s="22" t="n">
        <v>307.75</v>
      </c>
      <c r="E156" s="21" t="n">
        <v>0.0964</v>
      </c>
      <c r="F156" s="22" t="n">
        <v>-6.465</v>
      </c>
      <c r="G156" s="22" t="n">
        <v>314.09</v>
      </c>
      <c r="H156" s="22" t="n">
        <v>307.57</v>
      </c>
      <c r="I156" s="14">
        <f>IF(E156&gt;=0.5,IF(F156&gt;0,"Strong Rising Trend","Strong Falling Trend"),IF(E156&gt;=0.2,IF(F156&gt;0,"Moderate Rising Trend","Moderate Falling Trend"),"Weak / Unreliable Trend"))</f>
        <v/>
      </c>
      <c r="J156" s="14" t="inlineStr">
        <is>
          <t>Statistical trend only, not a meteorological forecast</t>
        </is>
      </c>
    </row>
    <row r="157" ht="15" customHeight="1" s="12">
      <c r="A157" s="14" t="inlineStr">
        <is>
          <t>Vehari</t>
        </is>
      </c>
      <c r="B157" s="14" t="inlineStr">
        <is>
          <t>Punjab</t>
        </is>
      </c>
      <c r="C157" s="22" t="n">
        <v>224.58</v>
      </c>
      <c r="D157" s="22" t="n">
        <v>234.57</v>
      </c>
      <c r="E157" s="21" t="n">
        <v>0.3515</v>
      </c>
      <c r="F157" s="22" t="n">
        <v>9.99</v>
      </c>
      <c r="G157" s="22" t="n">
        <v>224.78</v>
      </c>
      <c r="H157" s="22" t="n">
        <v>234.84</v>
      </c>
      <c r="I157" s="14">
        <f>IF(E157&gt;=0.5,IF(F157&gt;0,"Strong Rising Trend","Strong Falling Trend"),IF(E157&gt;=0.2,IF(F157&gt;0,"Moderate Rising Trend","Moderate Falling Trend"),"Weak / Unreliable Trend"))</f>
        <v/>
      </c>
      <c r="J157" s="14" t="inlineStr">
        <is>
          <t>Statistical trend only, not a meteorological forecast</t>
        </is>
      </c>
    </row>
    <row r="158" ht="15" customHeight="1" s="12">
      <c r="A158" s="14" t="inlineStr">
        <is>
          <t>Washuk</t>
        </is>
      </c>
      <c r="B158" s="14" t="inlineStr">
        <is>
          <t>Balochistan</t>
        </is>
      </c>
      <c r="C158" s="22" t="n">
        <v>37.57</v>
      </c>
      <c r="D158" s="22" t="n">
        <v>40.21</v>
      </c>
      <c r="E158" s="21" t="n">
        <v>0.2799</v>
      </c>
      <c r="F158" s="22" t="n">
        <v>2.638</v>
      </c>
      <c r="G158" s="22" t="n">
        <v>37.59</v>
      </c>
      <c r="H158" s="22" t="n">
        <v>40.25</v>
      </c>
      <c r="I158" s="14">
        <f>IF(E158&gt;=0.5,IF(F158&gt;0,"Strong Rising Trend","Strong Falling Trend"),IF(E158&gt;=0.2,IF(F158&gt;0,"Moderate Rising Trend","Moderate Falling Trend"),"Weak / Unreliable Trend"))</f>
        <v/>
      </c>
      <c r="J158" s="14" t="inlineStr">
        <is>
          <t>Statistical trend only, not a meteorological forecast</t>
        </is>
      </c>
    </row>
    <row r="159" ht="15" customHeight="1" s="12">
      <c r="A159" s="14" t="inlineStr">
        <is>
          <t>West Karachi</t>
        </is>
      </c>
      <c r="B159" s="14" t="inlineStr">
        <is>
          <t>Sindh</t>
        </is>
      </c>
      <c r="C159" s="22" t="n">
        <v>301.91</v>
      </c>
      <c r="D159" s="22" t="n">
        <v>312.3</v>
      </c>
      <c r="E159" s="21" t="n">
        <v>0.0573</v>
      </c>
      <c r="F159" s="22" t="n">
        <v>10.39</v>
      </c>
      <c r="G159" s="22" t="n">
        <v>301.9</v>
      </c>
      <c r="H159" s="22" t="n">
        <v>312.34</v>
      </c>
      <c r="I159" s="14">
        <f>IF(E159&gt;=0.5,IF(F159&gt;0,"Strong Rising Trend","Strong Falling Trend"),IF(E159&gt;=0.2,IF(F159&gt;0,"Moderate Rising Trend","Moderate Falling Trend"),"Weak / Unreliable Trend"))</f>
        <v/>
      </c>
      <c r="J159" s="14" t="inlineStr">
        <is>
          <t>Statistical trend only, not a meteorological forecast</t>
        </is>
      </c>
    </row>
    <row r="160" ht="15" customHeight="1" s="12">
      <c r="A160" s="14" t="inlineStr">
        <is>
          <t>Zhob</t>
        </is>
      </c>
      <c r="B160" s="14" t="inlineStr">
        <is>
          <t>Balochistan</t>
        </is>
      </c>
      <c r="C160" s="22" t="n">
        <v>135.26</v>
      </c>
      <c r="D160" s="22" t="n">
        <v>140.46</v>
      </c>
      <c r="E160" s="21" t="n">
        <v>0.2824</v>
      </c>
      <c r="F160" s="22" t="n">
        <v>5.197</v>
      </c>
      <c r="G160" s="22" t="n">
        <v>135.34</v>
      </c>
      <c r="H160" s="22" t="n">
        <v>140.57</v>
      </c>
      <c r="I160" s="14">
        <f>IF(E160&gt;=0.5,IF(F160&gt;0,"Strong Rising Trend","Strong Falling Trend"),IF(E160&gt;=0.2,IF(F160&gt;0,"Moderate Rising Trend","Moderate Falling Trend"),"Weak / Unreliable Trend"))</f>
        <v/>
      </c>
      <c r="J160" s="14" t="inlineStr">
        <is>
          <t>Statistical trend only, not a meteorological forecast</t>
        </is>
      </c>
    </row>
    <row r="161" ht="15" customHeight="1" s="12">
      <c r="A161" s="14" t="inlineStr">
        <is>
          <t>Ziarat</t>
        </is>
      </c>
      <c r="B161" s="14" t="inlineStr">
        <is>
          <t>Balochistan</t>
        </is>
      </c>
      <c r="C161" s="22" t="n">
        <v>150.9</v>
      </c>
      <c r="D161" s="22" t="n">
        <v>160</v>
      </c>
      <c r="E161" s="21" t="n">
        <v>0.2566</v>
      </c>
      <c r="F161" s="22" t="n">
        <v>9.099</v>
      </c>
      <c r="G161" s="22" t="n">
        <v>151.03</v>
      </c>
      <c r="H161" s="22" t="n">
        <v>160.19</v>
      </c>
      <c r="I161" s="14">
        <f>IF(E161&gt;=0.5,IF(F161&gt;0,"Strong Rising Trend","Strong Falling Trend"),IF(E161&gt;=0.2,IF(F161&gt;0,"Moderate Rising Trend","Moderate Falling Trend"),"Weak / Unreliable Trend"))</f>
        <v/>
      </c>
      <c r="J161" s="14" t="inlineStr">
        <is>
          <t>Statistical trend only, not a meteorological forecast</t>
        </is>
      </c>
    </row>
  </sheetData>
  <autoFilter ref="A1:J16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2026-07-03T10:19:23Z</dcterms:created>
  <dcterms:modified xmlns:dcterms="http://purl.org/dc/terms/" xmlns:xsi="http://www.w3.org/2001/XMLSchema-instance" xsi:type="dcterms:W3CDTF">2026-07-05T03:02:27Z</dcterms:modified>
  <cp:revision>0</cp:revision>
</cp:coreProperties>
</file>